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835" yWindow="360" windowWidth="27840" windowHeight="15480"/>
  </bookViews>
  <sheets>
    <sheet sheetId="1" name="Clube cinema" state="visible" r:id="rId4"/>
    <sheet sheetId="4" name="Log" state="visible" r:id="rId5"/>
  </sheets>
  <definedNames>
    <definedName name="_xlnm._FilterDatabase">'Clube cinema'!$A$1:$W$2177</definedName>
  </definedNames>
  <calcPr calcId="171027"/>
</workbook>
</file>

<file path=xl/sharedStrings.xml><?xml version="1.0" encoding="utf-8"?>
<sst xmlns="http://schemas.openxmlformats.org/spreadsheetml/2006/main" count="6673" uniqueCount="2392">
  <si>
    <t>Número</t>
  </si>
  <si>
    <t>Tipo</t>
  </si>
  <si>
    <t>Ano</t>
  </si>
  <si>
    <t>Onde ver</t>
  </si>
  <si>
    <t>Carmen</t>
  </si>
  <si>
    <t>Cezar</t>
  </si>
  <si>
    <t>Chris</t>
  </si>
  <si>
    <t>Cris</t>
  </si>
  <si>
    <t>Eliane</t>
  </si>
  <si>
    <t>Fernando</t>
  </si>
  <si>
    <t>Helena</t>
  </si>
  <si>
    <t xml:space="preserve">Ivanete </t>
  </si>
  <si>
    <t xml:space="preserve">João </t>
  </si>
  <si>
    <t>M.Ignez</t>
  </si>
  <si>
    <t>Tereza</t>
  </si>
  <si>
    <t>Vera</t>
  </si>
  <si>
    <t>Zaninha</t>
  </si>
  <si>
    <t>Total pontos</t>
  </si>
  <si>
    <t>Total Votos</t>
  </si>
  <si>
    <t>Média Pond.</t>
  </si>
  <si>
    <t>IMDB</t>
  </si>
  <si>
    <t>Discutidos</t>
  </si>
  <si>
    <t>Ancora (media geral ponderada do clube):</t>
  </si>
  <si>
    <t>Zorba, o Grego</t>
  </si>
  <si>
    <t>F</t>
  </si>
  <si>
    <t>Não tem</t>
  </si>
  <si>
    <t>Zootopia: Essa Cidade é o Bicho</t>
  </si>
  <si>
    <t>Prime</t>
  </si>
  <si>
    <t>Zona de Separação</t>
  </si>
  <si>
    <t>S</t>
  </si>
  <si>
    <t>Netflix</t>
  </si>
  <si>
    <t>Zona de interesse</t>
  </si>
  <si>
    <t>Zodíaco</t>
  </si>
  <si>
    <t>Apple</t>
  </si>
  <si>
    <t>Z: O começo de Tudo</t>
  </si>
  <si>
    <t>Yesterday</t>
  </si>
  <si>
    <t>Yentl</t>
  </si>
  <si>
    <t>Yellowstone</t>
  </si>
  <si>
    <t>Yara</t>
  </si>
  <si>
    <t>Xeque-Mate</t>
  </si>
  <si>
    <t>Wyatt Earp And the Cowboy War</t>
  </si>
  <si>
    <t>Winter on Fire: Ukraine's Fight for Freedom</t>
  </si>
  <si>
    <t>Whiplash: Em Busca da Perfeição</t>
  </si>
  <si>
    <t>Globo</t>
  </si>
  <si>
    <t>x</t>
  </si>
  <si>
    <t>Where I Belong</t>
  </si>
  <si>
    <t>What Happened, Miss Simone?</t>
  </si>
  <si>
    <t>Wendy e Lucy</t>
  </si>
  <si>
    <t xml:space="preserve">Não tem </t>
  </si>
  <si>
    <t>Weekend</t>
  </si>
  <si>
    <t>Wasp Network: Rede de Espiões</t>
  </si>
  <si>
    <t xml:space="preserve">WALL-E </t>
  </si>
  <si>
    <t>Telecine</t>
  </si>
  <si>
    <t>Wall Street: O Dinheiro Nunca Dorme</t>
  </si>
  <si>
    <t>Walk. Ride. Rodeo</t>
  </si>
  <si>
    <t>Vozes Inocentes</t>
  </si>
  <si>
    <t xml:space="preserve">Vórtex </t>
  </si>
  <si>
    <t>Vôo Criminoso</t>
  </si>
  <si>
    <t>Netlix</t>
  </si>
  <si>
    <t xml:space="preserve">Volver </t>
  </si>
  <si>
    <t>Now</t>
  </si>
  <si>
    <t>Volta pra mim</t>
  </si>
  <si>
    <t>Você Não Estava Aqui</t>
  </si>
  <si>
    <t>Você já viu vagalumes?</t>
  </si>
  <si>
    <t>Vivo ou Morto - Um mistério Knives Out</t>
  </si>
  <si>
    <t xml:space="preserve">Viver Duas Vezes </t>
  </si>
  <si>
    <t>Viver</t>
  </si>
  <si>
    <t>Viva: A Vida é uma Festa</t>
  </si>
  <si>
    <t>Vitória: A Vida de Uma Rainha</t>
  </si>
  <si>
    <t>Globoplay</t>
  </si>
  <si>
    <t>Vitória</t>
  </si>
  <si>
    <t>Visto para o amor</t>
  </si>
  <si>
    <t xml:space="preserve">Vis a vis </t>
  </si>
  <si>
    <t>Virgin River</t>
  </si>
  <si>
    <t xml:space="preserve">Vinicius </t>
  </si>
  <si>
    <t>Vingança &amp; Castigo</t>
  </si>
  <si>
    <t>Vinagre de Maçã</t>
  </si>
  <si>
    <t>Vikings</t>
  </si>
  <si>
    <t xml:space="preserve">Vidas Que Se Cruzam </t>
  </si>
  <si>
    <t>Prime/Google</t>
  </si>
  <si>
    <t xml:space="preserve">Vidas Passadas </t>
  </si>
  <si>
    <t>My Family</t>
  </si>
  <si>
    <t xml:space="preserve">Vidas Duplas </t>
  </si>
  <si>
    <t>Vidas cruzadas</t>
  </si>
  <si>
    <t>Vidas ao Vento</t>
  </si>
  <si>
    <t>Vidas Amargas</t>
  </si>
  <si>
    <t>Vidas à Deriva</t>
  </si>
  <si>
    <t>Vida de Casado</t>
  </si>
  <si>
    <t xml:space="preserve">Vida de Cabra </t>
  </si>
  <si>
    <t>Victoria e Misterio</t>
  </si>
  <si>
    <t xml:space="preserve">Victoria e Abdul: O Confidente da Rainha </t>
  </si>
  <si>
    <t>Vicky Cristina Barcelona</t>
  </si>
  <si>
    <t>Google</t>
  </si>
  <si>
    <t>Vice</t>
  </si>
  <si>
    <t>Vestigios do Dia</t>
  </si>
  <si>
    <t>Versailles</t>
  </si>
  <si>
    <t>Vermiglio - A noiva da montanha</t>
  </si>
  <si>
    <t>Verdade e Justiça</t>
  </si>
  <si>
    <t>Ventos da liberdade</t>
  </si>
  <si>
    <t>Ventos da Liberdade</t>
  </si>
  <si>
    <t>Telecine/Prime</t>
  </si>
  <si>
    <t xml:space="preserve">Veludo Azul </t>
  </si>
  <si>
    <t>Valor Sentimental</t>
  </si>
  <si>
    <t>Vale o escrito: A Guerra do Jogo do Bicho</t>
  </si>
  <si>
    <t xml:space="preserve">Vá e Veja </t>
  </si>
  <si>
    <t>V de Vingança</t>
  </si>
  <si>
    <t>HBO</t>
  </si>
  <si>
    <t xml:space="preserve">Un+une </t>
  </si>
  <si>
    <t>Un + Une</t>
  </si>
  <si>
    <t>Uma voz contra o poder</t>
  </si>
  <si>
    <t>Uma Vida: A História de Nicholas Winton</t>
  </si>
  <si>
    <t>My family</t>
  </si>
  <si>
    <t>Uma vida oculta</t>
  </si>
  <si>
    <t>Uma vida de esperança</t>
  </si>
  <si>
    <t xml:space="preserve">F </t>
  </si>
  <si>
    <t>Uma razão para viver</t>
  </si>
  <si>
    <t>Uma questão de química</t>
  </si>
  <si>
    <t>Uma Prova de Amor</t>
  </si>
  <si>
    <t>Netflix/Telecine</t>
  </si>
  <si>
    <t>Uma parede entre nós</t>
  </si>
  <si>
    <t>Uma Nova Mulher</t>
  </si>
  <si>
    <t>Uma Nova Chance para Amar</t>
  </si>
  <si>
    <t>Youtube</t>
  </si>
  <si>
    <t>Uma Noite em Miami...</t>
  </si>
  <si>
    <t>Uma Nobre Intenção</t>
  </si>
  <si>
    <t>Uma Mulher Fatal</t>
  </si>
  <si>
    <t xml:space="preserve">Uma Mulher Fantástica </t>
  </si>
  <si>
    <t xml:space="preserve">Uma mulher diferente </t>
  </si>
  <si>
    <t>Uma Mulher Contra Hitler</t>
  </si>
  <si>
    <t>Uma Mente Brilhante</t>
  </si>
  <si>
    <t>Uma Mãe Contra um País</t>
  </si>
  <si>
    <t>Uma Linda Vida</t>
  </si>
  <si>
    <t>Uma Linda mulher</t>
  </si>
  <si>
    <t>Uma Lição de Vida</t>
  </si>
  <si>
    <t xml:space="preserve">Uma Lição de Amor </t>
  </si>
  <si>
    <t xml:space="preserve">Uma História Real </t>
  </si>
  <si>
    <t>Uma História Americana</t>
  </si>
  <si>
    <t>YouTube</t>
  </si>
  <si>
    <t>Uma Garota de Muita Sorte</t>
  </si>
  <si>
    <t>Uma familia quase perfeita</t>
  </si>
  <si>
    <t>Uma Familia Feliz</t>
  </si>
  <si>
    <t>Reserva</t>
  </si>
  <si>
    <t>Uma Familia extraordinária</t>
  </si>
  <si>
    <t>Uma Doce Revolução</t>
  </si>
  <si>
    <t>Uma Doce Mentira</t>
  </si>
  <si>
    <t>Uma Casa na Pradaria</t>
  </si>
  <si>
    <t>2026</t>
  </si>
  <si>
    <t>Uma Boa Pessoa</t>
  </si>
  <si>
    <t>Uma batalha após a outra</t>
  </si>
  <si>
    <t>Um talento extraordinário</t>
  </si>
  <si>
    <t>Um Sonho Possível</t>
  </si>
  <si>
    <t>Um Sonho de Liberdade</t>
  </si>
  <si>
    <t xml:space="preserve">Um Senhor  Estagiário </t>
  </si>
  <si>
    <t>Um Segredo entre nós</t>
  </si>
  <si>
    <t>Um Reino Unido</t>
  </si>
  <si>
    <t>Um Plano Perfeito</t>
  </si>
  <si>
    <t>Um Plano Brilhante</t>
  </si>
  <si>
    <t>Um Pesadelo Americano</t>
  </si>
  <si>
    <t>FD</t>
  </si>
  <si>
    <t>Um Perfil para Dois</t>
  </si>
  <si>
    <t>Um pequeno favor</t>
  </si>
  <si>
    <t>Um Peixe Chamado Wanda</t>
  </si>
  <si>
    <t>Um Ninho Para Dois</t>
  </si>
  <si>
    <t>Um Natal nas Estrelas</t>
  </si>
  <si>
    <t>Um Momento Pode Mudar Tudo</t>
  </si>
  <si>
    <t>Um Marido Fiel</t>
  </si>
  <si>
    <t>Um lugar silencioso</t>
  </si>
  <si>
    <t>Google Play</t>
  </si>
  <si>
    <t>Um lugar para recomeçar</t>
  </si>
  <si>
    <t>Um Lugar Chamado Notting Hill</t>
  </si>
  <si>
    <t>Um lugar bem longe daqui</t>
  </si>
  <si>
    <t>Um lugar</t>
  </si>
  <si>
    <t>Um Lindo Dia na Vizinhança</t>
  </si>
  <si>
    <t>Um limite entre nós</t>
  </si>
  <si>
    <t>Um Inverno em Nova York</t>
  </si>
  <si>
    <t>Um Instante de Amor</t>
  </si>
  <si>
    <t>Now/Looke</t>
  </si>
  <si>
    <t>Um homem sério</t>
  </si>
  <si>
    <t>Um Homem Fiel</t>
  </si>
  <si>
    <t>Looke</t>
  </si>
  <si>
    <t xml:space="preserve">Um Homem entre Gigantes </t>
  </si>
  <si>
    <t xml:space="preserve">Um Homem de Sorte </t>
  </si>
  <si>
    <t>Um Homem de Família</t>
  </si>
  <si>
    <t>Prime/Telecine</t>
  </si>
  <si>
    <t>Um homem de ação</t>
  </si>
  <si>
    <t xml:space="preserve">Um Herói do Nosso Tempo </t>
  </si>
  <si>
    <t xml:space="preserve">Um Filho que Caiu do Céu </t>
  </si>
  <si>
    <t>Um Filho</t>
  </si>
  <si>
    <t>Um Estranho no Ninho</t>
  </si>
  <si>
    <t>Um Divã Para Dois</t>
  </si>
  <si>
    <t>Um direito meu</t>
  </si>
  <si>
    <t>Um dia e meio</t>
  </si>
  <si>
    <t>Um Dia Difícil</t>
  </si>
  <si>
    <t>Um Dia de Chuva em Nova York</t>
  </si>
  <si>
    <t>Um dia</t>
  </si>
  <si>
    <t>Um crime de Mestre</t>
  </si>
  <si>
    <t xml:space="preserve">Um Contratempo </t>
  </si>
  <si>
    <t>Um Conto de Fadas Perfeito</t>
  </si>
  <si>
    <t>Um Completo Desconhecido</t>
  </si>
  <si>
    <t>Um Castelo para o Natal</t>
  </si>
  <si>
    <t>Um Casamento à Indiana</t>
  </si>
  <si>
    <t>Um Brinde ao Natal</t>
  </si>
  <si>
    <t xml:space="preserve">Um Bom Ano </t>
  </si>
  <si>
    <t>Um Belo Domingo</t>
  </si>
  <si>
    <t>Um Banho de Vida</t>
  </si>
  <si>
    <t>Um Bairro Distante</t>
  </si>
  <si>
    <t>Um Ato de Esperança</t>
  </si>
  <si>
    <t xml:space="preserve">Um Ato de Coragem </t>
  </si>
  <si>
    <t>Um Ano Mais</t>
  </si>
  <si>
    <t>Um anjo em minha mesa</t>
  </si>
  <si>
    <t>Um Amor Impossível</t>
  </si>
  <si>
    <t>Google/Now</t>
  </si>
  <si>
    <t>Um Amor do Passado</t>
  </si>
  <si>
    <t>Um alguém apaixonado</t>
  </si>
  <si>
    <t>Última chamada para Istambul</t>
  </si>
  <si>
    <t xml:space="preserve">Tully </t>
  </si>
  <si>
    <t>Tuiskoms</t>
  </si>
  <si>
    <t>Tudo Sobre Minha Mãe</t>
  </si>
  <si>
    <t>Tudo por Ela</t>
  </si>
  <si>
    <t>Tudo por Dinheiro</t>
  </si>
  <si>
    <t>Tudo pode dar certo</t>
  </si>
  <si>
    <t xml:space="preserve">Tudo pelo Poder </t>
  </si>
  <si>
    <t>Tudo ou Nada</t>
  </si>
  <si>
    <t>Tudo o que tínhamos</t>
  </si>
  <si>
    <t>Tudo em Todo Lugar ao Mesmo Tempo</t>
  </si>
  <si>
    <t>Tudo em familia</t>
  </si>
  <si>
    <t xml:space="preserve">Tubarão </t>
  </si>
  <si>
    <t>Tropa de Elite 2: O Inimigo Agora é Outro</t>
  </si>
  <si>
    <t>Tropa de Elite</t>
  </si>
  <si>
    <t>Troca Surpresa</t>
  </si>
  <si>
    <t>Triângulo da Tristeza</t>
  </si>
  <si>
    <t>Treze Vidas: o resgate</t>
  </si>
  <si>
    <t>Treta</t>
  </si>
  <si>
    <t>Três Homens em Conflito</t>
  </si>
  <si>
    <t>Três Estranhos Idênticos</t>
  </si>
  <si>
    <t xml:space="preserve">Três Cristos </t>
  </si>
  <si>
    <t>Três Anúncios para um Crime</t>
  </si>
  <si>
    <t>Microsoft</t>
  </si>
  <si>
    <t>Três amigas</t>
  </si>
  <si>
    <t>Trem Noturno para Lisboa</t>
  </si>
  <si>
    <t>Trapped</t>
  </si>
  <si>
    <t>Trapaça</t>
  </si>
  <si>
    <t>Transatlântico</t>
  </si>
  <si>
    <t>Trama Fantasma</t>
  </si>
  <si>
    <t>Netflix/Prime</t>
  </si>
  <si>
    <t>Trainspotting: Sem Limites</t>
  </si>
  <si>
    <t>Traídos pelo Destino</t>
  </si>
  <si>
    <t>Traição</t>
  </si>
  <si>
    <t>Toy Story 3</t>
  </si>
  <si>
    <t>Touch</t>
  </si>
  <si>
    <t>Toscana</t>
  </si>
  <si>
    <t>Top Gun: Maverick</t>
  </si>
  <si>
    <t>Top Gun: Ases Indomáveis</t>
  </si>
  <si>
    <t>Tony Manero</t>
  </si>
  <si>
    <t xml:space="preserve">Tomates Verdes Fritos </t>
  </si>
  <si>
    <t>Todos nós Desconhecidos</t>
  </si>
  <si>
    <t>Todos Já Sabem</t>
  </si>
  <si>
    <t>Todo tempo que temos</t>
  </si>
  <si>
    <t>Todo Mundo Quase Morto</t>
  </si>
  <si>
    <t>Toda luz que Não Podemos Ver</t>
  </si>
  <si>
    <t>MS</t>
  </si>
  <si>
    <t xml:space="preserve">Titanic </t>
  </si>
  <si>
    <t>Tiros em Columbine</t>
  </si>
  <si>
    <t>Tio Frank</t>
  </si>
  <si>
    <t>Tinha Que Ser Você</t>
  </si>
  <si>
    <t>Till - A busca por justiça</t>
  </si>
  <si>
    <t>This is Us</t>
  </si>
  <si>
    <t>Thelma &amp; Louise</t>
  </si>
  <si>
    <t>The White Princess</t>
  </si>
  <si>
    <t>The White Lotus</t>
  </si>
  <si>
    <t xml:space="preserve">S </t>
  </si>
  <si>
    <t>The Undoing</t>
  </si>
  <si>
    <t>The Underground Railroad</t>
  </si>
  <si>
    <t xml:space="preserve">The Tudors </t>
  </si>
  <si>
    <t>The Tattooist of Auschwitz</t>
  </si>
  <si>
    <t>The Spanish Princess</t>
  </si>
  <si>
    <t>The Price of Family</t>
  </si>
  <si>
    <t>The Post: A Guerra Secreta</t>
  </si>
  <si>
    <t>The Paradise</t>
  </si>
  <si>
    <t>The Night of</t>
  </si>
  <si>
    <t>The New Look</t>
  </si>
  <si>
    <t>The Madison</t>
  </si>
  <si>
    <t>The Hardacres</t>
  </si>
  <si>
    <t>The Hand of God</t>
  </si>
  <si>
    <t>The Great</t>
  </si>
  <si>
    <t>The Good Bad Mother</t>
  </si>
  <si>
    <t>The Forty Year Old Version</t>
  </si>
  <si>
    <t>The Falls</t>
  </si>
  <si>
    <t>The Crown</t>
  </si>
  <si>
    <t>The Caine Mutiny Court-Martial</t>
  </si>
  <si>
    <t>The C.Word</t>
  </si>
  <si>
    <t>The Butterfly’s Dream</t>
  </si>
  <si>
    <t>The Affair: Infidelidade</t>
  </si>
  <si>
    <t>Tese Sobre um Homicídio</t>
  </si>
  <si>
    <t>Territory</t>
  </si>
  <si>
    <t>Terra Sem Lei</t>
  </si>
  <si>
    <t xml:space="preserve">Terra Selvagem </t>
  </si>
  <si>
    <t>Terra Fria</t>
  </si>
  <si>
    <t>HBO/YouTube</t>
  </si>
  <si>
    <t>Terra de Ninguém</t>
  </si>
  <si>
    <t>Terra de minas</t>
  </si>
  <si>
    <t>Terceira Pessoa</t>
  </si>
  <si>
    <t>Tempos Modernos</t>
  </si>
  <si>
    <t>Tempos de Guerra</t>
  </si>
  <si>
    <t>Temporário 12</t>
  </si>
  <si>
    <t>Tempo de matar</t>
  </si>
  <si>
    <t>Tempo de Glória</t>
  </si>
  <si>
    <t xml:space="preserve">Tempestade de Areia </t>
  </si>
  <si>
    <t>Taxi Driver</t>
  </si>
  <si>
    <t>Táticas do amor</t>
  </si>
  <si>
    <t>Task</t>
  </si>
  <si>
    <t>Tár</t>
  </si>
  <si>
    <t>Family/Reserva</t>
  </si>
  <si>
    <t>Tangerinas</t>
  </si>
  <si>
    <t>Talvar</t>
  </si>
  <si>
    <t>Suprema</t>
  </si>
  <si>
    <t>Superbad: É Hoje</t>
  </si>
  <si>
    <t>Sunshine - O Despertar de um Século</t>
  </si>
  <si>
    <t>Sully: O Herói do Rio Hudson</t>
  </si>
  <si>
    <t>Suite Francesa</t>
  </si>
  <si>
    <t>Sua Majestade, Mrs. Brown</t>
  </si>
  <si>
    <t>Stranger Things</t>
  </si>
  <si>
    <t>Strange Weather</t>
  </si>
  <si>
    <t>Stillwater, em busca da verdade</t>
  </si>
  <si>
    <t>Stan&amp;Ollie</t>
  </si>
  <si>
    <t>Sra. Henderson Apresenta</t>
  </si>
  <si>
    <t>Sra. Harris vai à Paris</t>
  </si>
  <si>
    <t>Spotlight: Segredos Revelados</t>
  </si>
  <si>
    <t>Spartacus</t>
  </si>
  <si>
    <t>Sou Sua Mulher</t>
  </si>
  <si>
    <t>Sono de Inverno</t>
  </si>
  <si>
    <t>Sonhos de trem</t>
  </si>
  <si>
    <t>Sonata de Outono</t>
  </si>
  <si>
    <t>Somos Todos Iguais</t>
  </si>
  <si>
    <t>Sommersby: O retorno de um estranho</t>
  </si>
  <si>
    <t>Sombras da Guerra</t>
  </si>
  <si>
    <t>Som da Liberdade</t>
  </si>
  <si>
    <t>Som da Esperança: A História de Possum Trot</t>
  </si>
  <si>
    <t xml:space="preserve">Sociedade dos Poetas Mortos </t>
  </si>
  <si>
    <t>Sobre Meninos e Lobos</t>
  </si>
  <si>
    <t>Google/Looke</t>
  </si>
  <si>
    <t xml:space="preserve">Sob o Sol da Toscana </t>
  </si>
  <si>
    <t>Sob o Domínio do Mal</t>
  </si>
  <si>
    <t>Sob a Pele do Lobo</t>
  </si>
  <si>
    <t>Sniper Americano</t>
  </si>
  <si>
    <t>Snatch - porcos e diamantes</t>
  </si>
  <si>
    <t>Sleepers: a Vingança Adormecida</t>
  </si>
  <si>
    <t>Släpp taget</t>
  </si>
  <si>
    <t xml:space="preserve">Sisi </t>
  </si>
  <si>
    <t>Sirât</t>
  </si>
  <si>
    <t>Sing Street: Música e Sonho</t>
  </si>
  <si>
    <t>Sing Sing</t>
  </si>
  <si>
    <t>Sinédoque, Nova York</t>
  </si>
  <si>
    <t>Sindicato de Ladrões</t>
  </si>
  <si>
    <t>Simplesmente Feliz</t>
  </si>
  <si>
    <t>Simplesmente Complicado</t>
  </si>
  <si>
    <t>Simplesmente Amor</t>
  </si>
  <si>
    <t>Simplesmente Acontece</t>
  </si>
  <si>
    <t>Silêncio</t>
  </si>
  <si>
    <t>Sideways: Entre Umas e Outras</t>
  </si>
  <si>
    <t>Sicario, Terra de Ninguém</t>
  </si>
  <si>
    <t>Shtisel</t>
  </si>
  <si>
    <t>Shirley para Presidente</t>
  </si>
  <si>
    <t>She</t>
  </si>
  <si>
    <t>Shame</t>
  </si>
  <si>
    <t>Shakespeare Apaixonado</t>
  </si>
  <si>
    <t>Sexo, mentiras e videotape</t>
  </si>
  <si>
    <t>Seven: Os Sete Crimes Capitais</t>
  </si>
  <si>
    <t>Seven Seconds</t>
  </si>
  <si>
    <t>Setembro em Shiraz</t>
  </si>
  <si>
    <t>Sete Vidas</t>
  </si>
  <si>
    <t>Sete homens e um destino</t>
  </si>
  <si>
    <t>Sete Homens e um Destino</t>
  </si>
  <si>
    <t>Sete Dias Sem Fim</t>
  </si>
  <si>
    <t>Netflix/Google</t>
  </si>
  <si>
    <t>Sergio</t>
  </si>
  <si>
    <t>Serena</t>
  </si>
  <si>
    <t>Sereias</t>
  </si>
  <si>
    <t>Sequestro em Cleveland</t>
  </si>
  <si>
    <t>Netfliix</t>
  </si>
  <si>
    <t xml:space="preserve">Senna </t>
  </si>
  <si>
    <t>Sempre Bela</t>
  </si>
  <si>
    <t xml:space="preserve">Sempre ao seu lado </t>
  </si>
  <si>
    <t>Sementes Podres</t>
  </si>
  <si>
    <t>Sem Saída</t>
  </si>
  <si>
    <t>Sem Reservas</t>
  </si>
  <si>
    <t>Sem Limite</t>
  </si>
  <si>
    <t>Sem Escalas</t>
  </si>
  <si>
    <t>Selma: Uma Luta pela Igualdade</t>
  </si>
  <si>
    <t>Seis minutos para meia noite</t>
  </si>
  <si>
    <t>Segurança em Jogo</t>
  </si>
  <si>
    <t>Segredos Oficiais</t>
  </si>
  <si>
    <t xml:space="preserve">Segredos e Mentiras </t>
  </si>
  <si>
    <t>Segredos e Despedidas</t>
  </si>
  <si>
    <t>Now/Telecine</t>
  </si>
  <si>
    <t>Segredos do Passado</t>
  </si>
  <si>
    <t>Segredo de Sangue</t>
  </si>
  <si>
    <t>Section 375</t>
  </si>
  <si>
    <t>Seberg Contra Todos</t>
  </si>
  <si>
    <t>Se Eu Fosse Você 2</t>
  </si>
  <si>
    <t>Se Eu Fechar os Olhos Agora</t>
  </si>
  <si>
    <t xml:space="preserve">Globoplay </t>
  </si>
  <si>
    <t>Se Beber, Não Case!</t>
  </si>
  <si>
    <t>Se a Rua Beale Falasse</t>
  </si>
  <si>
    <t>Scoop</t>
  </si>
  <si>
    <t>Scenes from a Marriage</t>
  </si>
  <si>
    <t>Scarface</t>
  </si>
  <si>
    <t>Sarah's oil</t>
  </si>
  <si>
    <t>Sangue no Gelo</t>
  </si>
  <si>
    <t xml:space="preserve">Sangue Negro </t>
  </si>
  <si>
    <t>Google/Prime</t>
  </si>
  <si>
    <t>Sangue e Ouro</t>
  </si>
  <si>
    <t>Sangue de Viena</t>
  </si>
  <si>
    <t>Saneamento Básico, O Filme</t>
  </si>
  <si>
    <t>Sanditon</t>
  </si>
  <si>
    <t>Samba</t>
  </si>
  <si>
    <t>Telecine/Globo</t>
  </si>
  <si>
    <t>Salma Solteira</t>
  </si>
  <si>
    <t>Saída à francesa</t>
  </si>
  <si>
    <t>Safe</t>
  </si>
  <si>
    <t xml:space="preserve">Sadece Sen </t>
  </si>
  <si>
    <t xml:space="preserve">Ruth &amp; Alex </t>
  </si>
  <si>
    <t>Rute e Boaz</t>
  </si>
  <si>
    <t xml:space="preserve">Rush:No Limite da Emoção </t>
  </si>
  <si>
    <t>Ruptura</t>
  </si>
  <si>
    <t>RRR</t>
  </si>
  <si>
    <t>Roubo pelos ares</t>
  </si>
  <si>
    <t>Roubo nas Alturas</t>
  </si>
  <si>
    <t>Roubando Vidas</t>
  </si>
  <si>
    <t>Rosa e Momo</t>
  </si>
  <si>
    <t>Rooster</t>
  </si>
  <si>
    <t xml:space="preserve">Roman J.Israel </t>
  </si>
  <si>
    <t xml:space="preserve">Roma </t>
  </si>
  <si>
    <t>Rocketman</t>
  </si>
  <si>
    <t xml:space="preserve">Rock My Heart </t>
  </si>
  <si>
    <t>Robô selvagem</t>
  </si>
  <si>
    <t>Risco Duplo</t>
  </si>
  <si>
    <t>Ripley</t>
  </si>
  <si>
    <t>Riphagen</t>
  </si>
  <si>
    <t>Rio</t>
  </si>
  <si>
    <t xml:space="preserve">Revelações </t>
  </si>
  <si>
    <t>Revanche</t>
  </si>
  <si>
    <t>Retratos Fantasmas</t>
  </si>
  <si>
    <t>Retratos de uma Guerra</t>
  </si>
  <si>
    <t>Retratos da Vida</t>
  </si>
  <si>
    <t>Retrato de uma Jovem em Chamas</t>
  </si>
  <si>
    <t>Telecine/AppleqG.Play</t>
  </si>
  <si>
    <t>Retrato de um Campeão</t>
  </si>
  <si>
    <t>Retorno da Lenda</t>
  </si>
  <si>
    <t>Respire</t>
  </si>
  <si>
    <t>Respect: A História de Aretha Franklin</t>
  </si>
  <si>
    <t>Resistência</t>
  </si>
  <si>
    <t>Resgate do coração</t>
  </si>
  <si>
    <t>Resgate</t>
  </si>
  <si>
    <t>Réquiem para um sonho</t>
  </si>
  <si>
    <t>Repetente</t>
  </si>
  <si>
    <t>Relatos Selvagens</t>
  </si>
  <si>
    <t>Relatos  do Mundo</t>
  </si>
  <si>
    <t>Reine Sobre Mim</t>
  </si>
  <si>
    <t>Reinado</t>
  </si>
  <si>
    <t>Refém de um criminoso</t>
  </si>
  <si>
    <t>Refém da Paixão</t>
  </si>
  <si>
    <t>Rede de Ódio</t>
  </si>
  <si>
    <t xml:space="preserve">Recursos Desumanos </t>
  </si>
  <si>
    <t>Recruta</t>
  </si>
  <si>
    <t xml:space="preserve">Recomeço </t>
  </si>
  <si>
    <t>Rebecca-A Mulher Inesquecivel</t>
  </si>
  <si>
    <t>Reaprendendo a Amar</t>
  </si>
  <si>
    <t>Reality - A Grande Ilusão</t>
  </si>
  <si>
    <t>Razão e sensibilidade</t>
  </si>
  <si>
    <t xml:space="preserve">Ray </t>
  </si>
  <si>
    <t xml:space="preserve">Raul, o Inicio, o Fim e o Meio </t>
  </si>
  <si>
    <t>Rainhas da Bolsa</t>
  </si>
  <si>
    <t>Radioactive</t>
  </si>
  <si>
    <t xml:space="preserve">Raça e Redenção </t>
  </si>
  <si>
    <t>Quo  Vadis, Aída?</t>
  </si>
  <si>
    <t>Telecine/G.Play/Prime</t>
  </si>
  <si>
    <t>Questões de Familia</t>
  </si>
  <si>
    <t>Questão de Tempo</t>
  </si>
  <si>
    <t>Questão de Honra</t>
  </si>
  <si>
    <t>Querido Menino</t>
  </si>
  <si>
    <t>Querido John</t>
  </si>
  <si>
    <t>Querida Alice</t>
  </si>
  <si>
    <t>Quem me Ama, me Segue!</t>
  </si>
  <si>
    <t>Quem é Erin Carter</t>
  </si>
  <si>
    <t>Quem  quer ser um milionário</t>
  </si>
  <si>
    <t>Netflix/Looke</t>
  </si>
  <si>
    <t>Queime Depois de Ler</t>
  </si>
  <si>
    <t>Queen Loretta</t>
  </si>
  <si>
    <t xml:space="preserve">Que mal eu fiz a Deus? </t>
  </si>
  <si>
    <t>Que horas ela volta?</t>
  </si>
  <si>
    <t>Netflix/GloboPlay</t>
  </si>
  <si>
    <t>Que falta você me faz</t>
  </si>
  <si>
    <t>Que cilada</t>
  </si>
  <si>
    <t>Quatro histórias de desejo</t>
  </si>
  <si>
    <t>Quatro Gerações</t>
  </si>
  <si>
    <t>Quatro Dias com Ela</t>
  </si>
  <si>
    <t>Quase Famosos</t>
  </si>
  <si>
    <t xml:space="preserve">Quase Deuses </t>
  </si>
  <si>
    <t>Quase 18</t>
  </si>
  <si>
    <t>Quarto 2806: A Acusação</t>
  </si>
  <si>
    <t>Quarta-Feira</t>
  </si>
  <si>
    <t>Quando um Homem Ama uma Mulher</t>
  </si>
  <si>
    <t>Quando eu penso no Natal</t>
  </si>
  <si>
    <t>Quando encontrei você</t>
  </si>
  <si>
    <t>Quando Duas Mulheres Pecam</t>
  </si>
  <si>
    <t>Quando chega o outono</t>
  </si>
  <si>
    <t>Quando Bangladesh Chorou</t>
  </si>
  <si>
    <t>Quando a Vida Acontece</t>
  </si>
  <si>
    <t>Pureza</t>
  </si>
  <si>
    <t>Pura Paixão</t>
  </si>
  <si>
    <t>Pulp Fiction: tempo de violência</t>
  </si>
  <si>
    <t>Psicose</t>
  </si>
  <si>
    <t>Próximo</t>
  </si>
  <si>
    <t>Prova de Redenção</t>
  </si>
  <si>
    <t>Proposta Indecente</t>
  </si>
  <si>
    <t>Prometheus</t>
  </si>
  <si>
    <t>Professor Polvo</t>
  </si>
  <si>
    <t>Professor Marston e as Mulheres-Maravilhas</t>
  </si>
  <si>
    <t>Procura-se Gonker</t>
  </si>
  <si>
    <t>Procurando Elly</t>
  </si>
  <si>
    <t>Prisioneiro do Caos</t>
  </si>
  <si>
    <t>Priscilla, a rainha do deserto</t>
  </si>
  <si>
    <t>Priscilla</t>
  </si>
  <si>
    <t>Primeiro, Mataram o Meu Pai</t>
  </si>
  <si>
    <t xml:space="preserve">Primeiro da Classe </t>
  </si>
  <si>
    <t>Netflix/Youtube</t>
  </si>
  <si>
    <t xml:space="preserve">Primeiro Ano  </t>
  </si>
  <si>
    <t xml:space="preserve">Looke/Prime </t>
  </si>
  <si>
    <t>Primavera, Verão, Outono, Inverno... e Primavera</t>
  </si>
  <si>
    <t>Pressão</t>
  </si>
  <si>
    <t xml:space="preserve">Presságio </t>
  </si>
  <si>
    <t>Presente de Grego</t>
  </si>
  <si>
    <t xml:space="preserve">Prenda-me se for Capaz </t>
  </si>
  <si>
    <t>Premonições</t>
  </si>
  <si>
    <t>Precisamos Falar Sobre o Kevin</t>
  </si>
  <si>
    <t>Preciosa: Uma História de Esperança</t>
  </si>
  <si>
    <t>Preciosa, uma História de esperança</t>
  </si>
  <si>
    <t>Prazeres Mortais</t>
  </si>
  <si>
    <t>Pousando no Amor</t>
  </si>
  <si>
    <t>Posto de Combate</t>
  </si>
  <si>
    <t>Por Trás dos Seus Olhos</t>
  </si>
  <si>
    <t>Por Lugares Incríveis</t>
  </si>
  <si>
    <t>Ponto Final: Match Point</t>
  </si>
  <si>
    <t>Ponte dos espiões</t>
  </si>
  <si>
    <t>Poldark, Herói de Guerra</t>
  </si>
  <si>
    <t>Glogoplay</t>
  </si>
  <si>
    <t>Poesia</t>
  </si>
  <si>
    <t xml:space="preserve">Poderia me Perdoar? </t>
  </si>
  <si>
    <t>Pode Guardar um Segredo?</t>
  </si>
  <si>
    <t>Pobres Criaturas</t>
  </si>
  <si>
    <t>Platoon</t>
  </si>
  <si>
    <t>Plano B</t>
  </si>
  <si>
    <t>Piratas do Caribe: A Maldição do Pérola Negra</t>
  </si>
  <si>
    <t>Piratas da Informática: Piratas do Vale do Silício</t>
  </si>
  <si>
    <t>Pinóquio por Guillermo Del Toro</t>
  </si>
  <si>
    <t>Pink</t>
  </si>
  <si>
    <t>Pieces of a Woman</t>
  </si>
  <si>
    <t>Piaf Um Hino Ao Amor</t>
  </si>
  <si>
    <t>Philomena</t>
  </si>
  <si>
    <t xml:space="preserve">Persuasão </t>
  </si>
  <si>
    <t>Perfume: A História de um Assassino</t>
  </si>
  <si>
    <t>Perfume de Mulher</t>
  </si>
  <si>
    <t>Perfeitos Desconhecidos</t>
  </si>
  <si>
    <t>Perdoai-nos as nossas ofensas</t>
  </si>
  <si>
    <t>Perdidos na Noite</t>
  </si>
  <si>
    <t>Perdido em Marte</t>
  </si>
  <si>
    <t xml:space="preserve">Perdida </t>
  </si>
  <si>
    <t>Perdas e Danos</t>
  </si>
  <si>
    <t>Pequenos Incêndios Por Toda Parte</t>
  </si>
  <si>
    <t>Pequenos Desastres</t>
  </si>
  <si>
    <t>Pequeno Segredo</t>
  </si>
  <si>
    <t>Pequenas coisas como estas</t>
  </si>
  <si>
    <t>Pequenas Cartas Obscenas</t>
  </si>
  <si>
    <t>Pequena Miss Sunshine</t>
  </si>
  <si>
    <t>Pelo Caminho</t>
  </si>
  <si>
    <t>Peixe Grande e suas Histórias Maravilhosas</t>
  </si>
  <si>
    <t>Pedido Irlandês</t>
  </si>
  <si>
    <t>Pedaços De Uma Mulher</t>
  </si>
  <si>
    <t>Pedaço de Mim</t>
  </si>
  <si>
    <t>Pecados Íntimos</t>
  </si>
  <si>
    <t>Pecadores</t>
  </si>
  <si>
    <t>Pearl Harbor</t>
  </si>
  <si>
    <t>Peaky Blinders</t>
  </si>
  <si>
    <t xml:space="preserve">Paterson </t>
  </si>
  <si>
    <t xml:space="preserve">Paternidade </t>
  </si>
  <si>
    <t>Patch Adams, o Amor é Contagioso</t>
  </si>
  <si>
    <t>Netflix/Apple</t>
  </si>
  <si>
    <t>Pastoral Americana</t>
  </si>
  <si>
    <t>Passei por aqui</t>
  </si>
  <si>
    <t>Pássaro branco - Uma História de Extraordinário</t>
  </si>
  <si>
    <t>Pássaro branco</t>
  </si>
  <si>
    <t>Passaporte para Liberdade</t>
  </si>
  <si>
    <t xml:space="preserve">Parente é Serpente </t>
  </si>
  <si>
    <t xml:space="preserve">Parasita </t>
  </si>
  <si>
    <t>Netflix/Now</t>
  </si>
  <si>
    <t>Paradise Now</t>
  </si>
  <si>
    <t>Paradise</t>
  </si>
  <si>
    <t>Para Sempre no  meu coração</t>
  </si>
  <si>
    <t>Para Sempre Lilya</t>
  </si>
  <si>
    <t xml:space="preserve">Para sempre Alice </t>
  </si>
  <si>
    <t>Para Sempre</t>
  </si>
  <si>
    <t>Para Sama</t>
  </si>
  <si>
    <t>Para Roma, com Amor</t>
  </si>
  <si>
    <t>Papillon</t>
  </si>
  <si>
    <t xml:space="preserve">Pantera Negra </t>
  </si>
  <si>
    <t>Palmer</t>
  </si>
  <si>
    <t xml:space="preserve">Palmeiras na Neve </t>
  </si>
  <si>
    <t>Palavras nas paredes do banheiro</t>
  </si>
  <si>
    <t>Palavras de Amor</t>
  </si>
  <si>
    <t>Paixão Sufocante</t>
  </si>
  <si>
    <t>Paixão Perigosa</t>
  </si>
  <si>
    <t>Paixão Obsessiva</t>
  </si>
  <si>
    <t>Pais e Filhos</t>
  </si>
  <si>
    <t>Pais e filhas</t>
  </si>
  <si>
    <t>Pai Nosso ?</t>
  </si>
  <si>
    <t>Pai mãe irmã irmão</t>
  </si>
  <si>
    <t>Padre Johnny</t>
  </si>
  <si>
    <t>Paddleton</t>
  </si>
  <si>
    <t>Pad Man</t>
  </si>
  <si>
    <t>P.S. Eu Te Amo</t>
  </si>
  <si>
    <t xml:space="preserve">Ozark </t>
  </si>
  <si>
    <t>Outlander</t>
  </si>
  <si>
    <t>Oslo, 31 de agosto</t>
  </si>
  <si>
    <t>Osama</t>
  </si>
  <si>
    <t>Os últimos passos de um homem</t>
  </si>
  <si>
    <t xml:space="preserve">Os Últimos  Czares </t>
  </si>
  <si>
    <t>Os Testamentos das Filhas de Gilead</t>
  </si>
  <si>
    <t>Os Suspeitos</t>
  </si>
  <si>
    <t>Prime/Now/YouTube</t>
  </si>
  <si>
    <t>Os Sete Relógios de Agatha Christie</t>
  </si>
  <si>
    <t>Os segredos de Saqqara</t>
  </si>
  <si>
    <t xml:space="preserve">Os Segredos de Manscheid </t>
  </si>
  <si>
    <t>Os Segredos de Madame Claude</t>
  </si>
  <si>
    <t>Os rejeitados</t>
  </si>
  <si>
    <t>Os Pilares da Terra</t>
  </si>
  <si>
    <t>Os pacientes do Dr. Garcia</t>
  </si>
  <si>
    <t>Os oito odiados</t>
  </si>
  <si>
    <t>Os Miseráveis</t>
  </si>
  <si>
    <t>Os Meyerowitz: Família Não Se Escolhe</t>
  </si>
  <si>
    <t>Os Melhores Anos de Uma Vida</t>
  </si>
  <si>
    <t>Res.Cultural</t>
  </si>
  <si>
    <t>Os Maias</t>
  </si>
  <si>
    <t>Os Infratores</t>
  </si>
  <si>
    <t>Os Infiltrados</t>
  </si>
  <si>
    <t>Os Infiéis</t>
  </si>
  <si>
    <t xml:space="preserve">Os indomáveis </t>
  </si>
  <si>
    <t>Os Imperdoáveis</t>
  </si>
  <si>
    <t>Os herdeiros da terra</t>
  </si>
  <si>
    <t>Os Falsários</t>
  </si>
  <si>
    <t>Os Fabelmans</t>
  </si>
  <si>
    <t>Os Escritos Secretos</t>
  </si>
  <si>
    <t>Os donos do jogo</t>
  </si>
  <si>
    <t>Os dois hemisférios de Lucca</t>
  </si>
  <si>
    <t>Os Descendentes</t>
  </si>
  <si>
    <t>Os cantores</t>
  </si>
  <si>
    <t>Os Caçadores da Arca Perdida</t>
  </si>
  <si>
    <t>Os Borgias</t>
  </si>
  <si>
    <t>Os Bons companheiros</t>
  </si>
  <si>
    <t>Os Banshees de Inisherin</t>
  </si>
  <si>
    <t>Os arquivos Menten</t>
  </si>
  <si>
    <t>Os 7 de Chicago</t>
  </si>
  <si>
    <t>Os 12 Macacos</t>
  </si>
  <si>
    <t xml:space="preserve">Origin </t>
  </si>
  <si>
    <t xml:space="preserve">Orgulho e Preconceito </t>
  </si>
  <si>
    <t>Oppenheimer</t>
  </si>
  <si>
    <t>Operação Final</t>
  </si>
  <si>
    <t>One of us</t>
  </si>
  <si>
    <t>One Day</t>
  </si>
  <si>
    <t>Onde Vivem os Monstros</t>
  </si>
  <si>
    <t>Onde os Fracos não têm Vez</t>
  </si>
  <si>
    <t xml:space="preserve">Onde está Segunda? </t>
  </si>
  <si>
    <t>Onde está meu coração?</t>
  </si>
  <si>
    <t>Olhos que Condenam</t>
  </si>
  <si>
    <t>Oldboy</t>
  </si>
  <si>
    <t>Oitava série</t>
  </si>
  <si>
    <t>HBO/Google</t>
  </si>
  <si>
    <t>Oi Papai</t>
  </si>
  <si>
    <t>Obsessão Secreta</t>
  </si>
  <si>
    <t>Obrigado por Fumar</t>
  </si>
  <si>
    <t xml:space="preserve">O Zoológico de Varsóvia </t>
  </si>
  <si>
    <t>O Vôo</t>
  </si>
  <si>
    <t>O Violino do Meu Pai</t>
  </si>
  <si>
    <t>O Violinista que veio do mar</t>
  </si>
  <si>
    <t xml:space="preserve">O Vendedor de Sonhos </t>
  </si>
  <si>
    <t>O Vencedor</t>
  </si>
  <si>
    <t>O Vazio do Domingo</t>
  </si>
  <si>
    <t>O Último Vermeer</t>
  </si>
  <si>
    <t>O último vagão</t>
  </si>
  <si>
    <t>O ultimo samurai</t>
  </si>
  <si>
    <t>O Último Reino</t>
  </si>
  <si>
    <t>O Último Rei da Escócia</t>
  </si>
  <si>
    <t>O Último Pub</t>
  </si>
  <si>
    <t>O Último Imperador</t>
  </si>
  <si>
    <t>O Último Duelo</t>
  </si>
  <si>
    <t>O Último dos Moicanos</t>
  </si>
  <si>
    <t>Telecine/Microsoft</t>
  </si>
  <si>
    <t>O último azul</t>
  </si>
  <si>
    <t>O Último Amor de Mr.Morgan</t>
  </si>
  <si>
    <t xml:space="preserve">O Turista </t>
  </si>
  <si>
    <t>O Turista</t>
  </si>
  <si>
    <t>O Trem italiano da felicidade</t>
  </si>
  <si>
    <t xml:space="preserve">O Tradutor </t>
  </si>
  <si>
    <t>O Tigre e o Dragão</t>
  </si>
  <si>
    <t>O Tigre Branco</t>
  </si>
  <si>
    <t>O testamento o segredo de Anita Harley</t>
  </si>
  <si>
    <t>O Tempo entre costuras</t>
  </si>
  <si>
    <t>O Tempero da Vida</t>
  </si>
  <si>
    <t>O Telefone do Sr.Harrigan</t>
  </si>
  <si>
    <t>O Talentoso Ripley</t>
  </si>
  <si>
    <t>O Sucessor</t>
  </si>
  <si>
    <t>O Substituto</t>
  </si>
  <si>
    <t>O Sorriso de Mona Lisa</t>
  </si>
  <si>
    <t>O Sonho de Cassandra</t>
  </si>
  <si>
    <t>O Som do Silêncio</t>
  </si>
  <si>
    <t xml:space="preserve">O Som do Coração </t>
  </si>
  <si>
    <t>O Som ao Redor</t>
  </si>
  <si>
    <t>O Solista</t>
  </si>
  <si>
    <t>O Sócio</t>
  </si>
  <si>
    <t>O Silêncio dos outros</t>
  </si>
  <si>
    <t>O Silêncio dos Inocentes</t>
  </si>
  <si>
    <t>O Show de Truman: O Show da Vida</t>
  </si>
  <si>
    <t xml:space="preserve">O Sexto Sentido  </t>
  </si>
  <si>
    <t>O Sequestro do Papa</t>
  </si>
  <si>
    <t>O Segredo: Ouse Sonhar</t>
  </si>
  <si>
    <t>O Segredo dos seus Olhos</t>
  </si>
  <si>
    <t>O Segredo de Brokeback Mountain</t>
  </si>
  <si>
    <t>O Segredo de Beethoven</t>
  </si>
  <si>
    <t>O segredo de Aman</t>
  </si>
  <si>
    <t>O Segredo</t>
  </si>
  <si>
    <t>O Sal da Terra</t>
  </si>
  <si>
    <t>Youtube/Globoplay</t>
  </si>
  <si>
    <t>O Sabor da Vida</t>
  </si>
  <si>
    <t>O Reverso da Fortuna</t>
  </si>
  <si>
    <t>O Retorno de John Henry</t>
  </si>
  <si>
    <t>O Retorno de Ben</t>
  </si>
  <si>
    <t xml:space="preserve">O Resgate do Soldado Ryan </t>
  </si>
  <si>
    <t>O Resgate de Ruby</t>
  </si>
  <si>
    <t xml:space="preserve">O Rei Leão </t>
  </si>
  <si>
    <t>O Rei Leão</t>
  </si>
  <si>
    <t>O Rei do Povo</t>
  </si>
  <si>
    <t>O Rei de Staten Island</t>
  </si>
  <si>
    <t>O Rei de Porcelana</t>
  </si>
  <si>
    <t>O Regresso</t>
  </si>
  <si>
    <t>O reformatório Nickel</t>
  </si>
  <si>
    <t>O Reencontro</t>
  </si>
  <si>
    <t>Globo/Looke</t>
  </si>
  <si>
    <t>O Recepcionista</t>
  </si>
  <si>
    <t>O Que Traz Boas Novas</t>
  </si>
  <si>
    <t>O que tiver que ser</t>
  </si>
  <si>
    <t>O Quarto do Filho</t>
  </si>
  <si>
    <t>O Quarto de Jack</t>
  </si>
  <si>
    <t>O Quarto ao Lado</t>
  </si>
  <si>
    <t>O Protetor 2</t>
  </si>
  <si>
    <t>O Protetor</t>
  </si>
  <si>
    <t>O proprio enterro</t>
  </si>
  <si>
    <t>O Profissional</t>
  </si>
  <si>
    <t>O Professor</t>
  </si>
  <si>
    <t>O Processo</t>
  </si>
  <si>
    <t>O Preço da Verdade</t>
  </si>
  <si>
    <t xml:space="preserve">Prime </t>
  </si>
  <si>
    <t>O Preço da Traição</t>
  </si>
  <si>
    <t>O preço da Familia</t>
  </si>
  <si>
    <t>O Poderoso Chefão: Parte III</t>
  </si>
  <si>
    <t xml:space="preserve">O Poderoso Chefão: Parte II </t>
  </si>
  <si>
    <t xml:space="preserve">O Poderoso Chefão </t>
  </si>
  <si>
    <t>O Poder e a Lei</t>
  </si>
  <si>
    <t>O Poder de um Jovem</t>
  </si>
  <si>
    <t>O Poder de Diane</t>
  </si>
  <si>
    <t xml:space="preserve">O Poço </t>
  </si>
  <si>
    <t>O Plano Perfeito</t>
  </si>
  <si>
    <t>O Pior Vizinho do Mundo</t>
  </si>
  <si>
    <t>O Piano</t>
  </si>
  <si>
    <t>Looke/YouTube</t>
  </si>
  <si>
    <t>O Pianista</t>
  </si>
  <si>
    <t>O Peso do Talento</t>
  </si>
  <si>
    <t>O Perdão</t>
  </si>
  <si>
    <t>Shop.Gávea</t>
  </si>
  <si>
    <t>O Pequeno Nicolau</t>
  </si>
  <si>
    <t>O Passado</t>
  </si>
  <si>
    <t>O Pálido Olho Azul</t>
  </si>
  <si>
    <t>O Palhaço</t>
  </si>
  <si>
    <t>O Pai que Move Montanhas</t>
  </si>
  <si>
    <t xml:space="preserve">O Pagamento Final </t>
  </si>
  <si>
    <t>O Pacto</t>
  </si>
  <si>
    <t xml:space="preserve">O Paciente Inglês </t>
  </si>
  <si>
    <t>O Paciente</t>
  </si>
  <si>
    <t>O Outro Pai</t>
  </si>
  <si>
    <t>O Outro lado da esperança</t>
  </si>
  <si>
    <t>O Óleo de Lorenzo</t>
  </si>
  <si>
    <t>O museu da inocência</t>
  </si>
  <si>
    <t>O Mundo vai tremer</t>
  </si>
  <si>
    <t>O Mundo depois de nós</t>
  </si>
  <si>
    <t>O Morro dos ventos uivantes</t>
  </si>
  <si>
    <t>O Mordomo da Casa Branca</t>
  </si>
  <si>
    <t>O Monstro em mim</t>
  </si>
  <si>
    <t>O Mistério de Maya</t>
  </si>
  <si>
    <t>O Mistério de Henri Pick</t>
  </si>
  <si>
    <t xml:space="preserve">O Mistério da Libélula </t>
  </si>
  <si>
    <t>O Mínimo para Viver</t>
  </si>
  <si>
    <t>O Milagre de Tyson</t>
  </si>
  <si>
    <t xml:space="preserve">O MILAGRE </t>
  </si>
  <si>
    <t>O Milagre</t>
  </si>
  <si>
    <t>O Método Kominsky</t>
  </si>
  <si>
    <t>O Menu</t>
  </si>
  <si>
    <t xml:space="preserve">O Mensageiro  </t>
  </si>
  <si>
    <t>O Menino que Matou Meus Pais</t>
  </si>
  <si>
    <t>O Menino que Descobriu o Vento</t>
  </si>
  <si>
    <t>O Menino do Pijama Listrado</t>
  </si>
  <si>
    <t>O Melhor Lugar da Terra</t>
  </si>
  <si>
    <t>O Melhor Lance</t>
  </si>
  <si>
    <t>O Melhor Está Por Vir</t>
  </si>
  <si>
    <t>O Melhor do mundo</t>
  </si>
  <si>
    <t>O Mecanismo</t>
  </si>
  <si>
    <t>O Maravilhoso Agora</t>
  </si>
  <si>
    <t>O Maior Amor do Mundo</t>
  </si>
  <si>
    <t xml:space="preserve">O Lutador </t>
  </si>
  <si>
    <t>O Lugar da esperança</t>
  </si>
  <si>
    <t xml:space="preserve">O Lobo de Wall Street </t>
  </si>
  <si>
    <t>O Lobo Atrás da Porta</t>
  </si>
  <si>
    <t>O livro dos sonhos</t>
  </si>
  <si>
    <t xml:space="preserve">O Limite da traição </t>
  </si>
  <si>
    <t>O Leopardo</t>
  </si>
  <si>
    <t>O Leitor</t>
  </si>
  <si>
    <t xml:space="preserve">O Lagosta </t>
  </si>
  <si>
    <t xml:space="preserve">O Lado Bom da Vida </t>
  </si>
  <si>
    <t>O Labirinto do Fauno</t>
  </si>
  <si>
    <t>O Juiz</t>
  </si>
  <si>
    <t>O Jogo da Rainha</t>
  </si>
  <si>
    <t xml:space="preserve">O Jogo da Imitação </t>
  </si>
  <si>
    <t xml:space="preserve">O Jardineiro Fiel </t>
  </si>
  <si>
    <t>O Jardineiro</t>
  </si>
  <si>
    <t>O Jardim Secreto</t>
  </si>
  <si>
    <t>O Jantar</t>
  </si>
  <si>
    <t xml:space="preserve">O Irlandês </t>
  </si>
  <si>
    <t>O Invasor</t>
  </si>
  <si>
    <t>O intruso</t>
  </si>
  <si>
    <t>O Insulto</t>
  </si>
  <si>
    <t>O Inocente</t>
  </si>
  <si>
    <t>O Inglês que Subiu a Colina e Desceu a Montanha</t>
  </si>
  <si>
    <t>O Informante</t>
  </si>
  <si>
    <t>Netfix</t>
  </si>
  <si>
    <t xml:space="preserve">O Impossivel </t>
  </si>
  <si>
    <t>O Ilusionista</t>
  </si>
  <si>
    <t xml:space="preserve">O Iluminado </t>
  </si>
  <si>
    <t xml:space="preserve">O Homem que viu o infinito </t>
  </si>
  <si>
    <t>O Homem que Mudou o Jogo</t>
  </si>
  <si>
    <t>O Homem que Matou o Facínora</t>
  </si>
  <si>
    <t>O Homem do Jazz</t>
  </si>
  <si>
    <t>O Homem das Castanhas</t>
  </si>
  <si>
    <t>O Grupo Baader Meinhof</t>
  </si>
  <si>
    <t>O Grande Truque</t>
  </si>
  <si>
    <t xml:space="preserve">O Grande Mestre </t>
  </si>
  <si>
    <t>O Grande Hotel Budapeste</t>
  </si>
  <si>
    <t>O Grande Herói</t>
  </si>
  <si>
    <t>O Grande Gatsby</t>
  </si>
  <si>
    <t>O Grande Ditador</t>
  </si>
  <si>
    <t>O Grande Desafio</t>
  </si>
  <si>
    <t xml:space="preserve">O Gosto dos Outros </t>
  </si>
  <si>
    <t>O Golpista do Tinder</t>
  </si>
  <si>
    <t>O Golpe do Amor</t>
  </si>
  <si>
    <t>O Gerente da Noite</t>
  </si>
  <si>
    <t>O Gênio e o Louco</t>
  </si>
  <si>
    <t>O Gangster</t>
  </si>
  <si>
    <t>O Gambito da Rainha</t>
  </si>
  <si>
    <t>O Franco Atirador</t>
  </si>
  <si>
    <t>O Fotógrafo de Mauthausen</t>
  </si>
  <si>
    <t>O Florescer de uma Garota</t>
  </si>
  <si>
    <t xml:space="preserve">O Filho Uruguaio </t>
  </si>
  <si>
    <t>O Filho de Saul</t>
  </si>
  <si>
    <t>O filho de mil homens</t>
  </si>
  <si>
    <t xml:space="preserve">O Filho de Jean </t>
  </si>
  <si>
    <t>O Filho da Noiva</t>
  </si>
  <si>
    <t>O Faz Nada</t>
  </si>
  <si>
    <t>O Farol</t>
  </si>
  <si>
    <t>O Fantasma da Ópera</t>
  </si>
  <si>
    <t>O Famoso Alfaiate</t>
  </si>
  <si>
    <t>O Fabuloso Destino de Amélie Poulain</t>
  </si>
  <si>
    <t>Telecine/Apple</t>
  </si>
  <si>
    <t>O Fabricante de Lágrimas</t>
  </si>
  <si>
    <t>O Expresso da Meia-Noite</t>
  </si>
  <si>
    <t>O Exorcista</t>
  </si>
  <si>
    <t>O Estranho que nós Amamos</t>
  </si>
  <si>
    <t>O Espião</t>
  </si>
  <si>
    <t>O Espelho tem Duas Faces</t>
  </si>
  <si>
    <t>O Escândalo</t>
  </si>
  <si>
    <t>O Escafandro e a Borboleta</t>
  </si>
  <si>
    <t>O Enfermeiro da Noite</t>
  </si>
  <si>
    <t xml:space="preserve">O drama </t>
  </si>
  <si>
    <t>O Doutor da Felicidade</t>
  </si>
  <si>
    <t>O Domo de vidro</t>
  </si>
  <si>
    <t>O Dissidente</t>
  </si>
  <si>
    <t xml:space="preserve">O Discurso do Rei </t>
  </si>
  <si>
    <t>O Dilema das Redes</t>
  </si>
  <si>
    <t>O Diário de Bridget Jones</t>
  </si>
  <si>
    <t>O Diário de Anne Frank</t>
  </si>
  <si>
    <t>O Diabo Veste Prada 2</t>
  </si>
  <si>
    <t xml:space="preserve">O Diabo Veste Prada </t>
  </si>
  <si>
    <t xml:space="preserve">O Diabo de Cada Dia </t>
  </si>
  <si>
    <t>O Dia do Atentado</t>
  </si>
  <si>
    <t>O Destino de Uma Nação</t>
  </si>
  <si>
    <t>O Destino de Haffmann</t>
  </si>
  <si>
    <t xml:space="preserve">O Despertar de uma Paixao </t>
  </si>
  <si>
    <t>O Despertar de um Homem</t>
  </si>
  <si>
    <t>O Despertar de Motti</t>
  </si>
  <si>
    <t>O Declinio do Império Americano</t>
  </si>
  <si>
    <t xml:space="preserve">O Curioso Caso de Benjamin Button </t>
  </si>
  <si>
    <t>O cuco de cristal</t>
  </si>
  <si>
    <t>O Crime é meu</t>
  </si>
  <si>
    <t>O Corte</t>
  </si>
  <si>
    <t>O Corpo</t>
  </si>
  <si>
    <t>O Corcunda de Notre Dame ao Vivo</t>
  </si>
  <si>
    <t>O convite</t>
  </si>
  <si>
    <t>O Convidado</t>
  </si>
  <si>
    <t>O Conto da Aia</t>
  </si>
  <si>
    <t>O Conto</t>
  </si>
  <si>
    <t>O Contador</t>
  </si>
  <si>
    <t>Neflix</t>
  </si>
  <si>
    <t>O Confeiteiro</t>
  </si>
  <si>
    <t>Telecine/Google</t>
  </si>
  <si>
    <t>O Conde de Monte Cristo</t>
  </si>
  <si>
    <t>O Concerto</t>
  </si>
  <si>
    <t>O Colibri</t>
  </si>
  <si>
    <t>O Clube dos Anjos</t>
  </si>
  <si>
    <t>O Clube de Leitura de Jane Austen</t>
  </si>
  <si>
    <t xml:space="preserve">O Clã das Adagas Voadoras </t>
  </si>
  <si>
    <t>O Cidadão Ilustre</t>
  </si>
  <si>
    <t>O Céu Está em Toda Parte</t>
  </si>
  <si>
    <t>O céu de outubro</t>
  </si>
  <si>
    <t>O Castelo de Vidro</t>
  </si>
  <si>
    <t>O Caso Richard Jewell</t>
  </si>
  <si>
    <t>Prime/HBO</t>
  </si>
  <si>
    <t>O Caso Collini</t>
  </si>
  <si>
    <t>O Caso Asunta</t>
  </si>
  <si>
    <t xml:space="preserve">O Casamento de Rachel </t>
  </si>
  <si>
    <t>O Casal Perfeito</t>
  </si>
  <si>
    <t>O Carteiro e o Poeta</t>
  </si>
  <si>
    <t>O Canto Livre de Nara Leão</t>
  </si>
  <si>
    <t>O cântico dos nomes</t>
  </si>
  <si>
    <t>O Caminho</t>
  </si>
  <si>
    <t>O Caderno de Sara</t>
  </si>
  <si>
    <t>O Caçador de Pipas</t>
  </si>
  <si>
    <t>O Brutalista</t>
  </si>
  <si>
    <t>O Brilho de uma Paixão</t>
  </si>
  <si>
    <t>O bosque</t>
  </si>
  <si>
    <t>O Bombardeio</t>
  </si>
  <si>
    <t>O Beco do Pesadelo</t>
  </si>
  <si>
    <t>O Bastardo</t>
  </si>
  <si>
    <t>O Barco: Inferno no Mar</t>
  </si>
  <si>
    <t xml:space="preserve">O Aviador </t>
  </si>
  <si>
    <t>O Auto da Compadecida 2</t>
  </si>
  <si>
    <t>Cinema</t>
  </si>
  <si>
    <t>O Auto da Compadecida</t>
  </si>
  <si>
    <t>O Assassino da Internet</t>
  </si>
  <si>
    <t>O Artista</t>
  </si>
  <si>
    <t>O Apostador</t>
  </si>
  <si>
    <t>O Apartamento</t>
  </si>
  <si>
    <t>O Anônimo Veneziano</t>
  </si>
  <si>
    <t>O Ano Mais Violento</t>
  </si>
  <si>
    <t>O Amor Não Tira Férias</t>
  </si>
  <si>
    <t>O Amor é estranho</t>
  </si>
  <si>
    <t>O Amor de Sylvie</t>
  </si>
  <si>
    <t>O Amante Duplo</t>
  </si>
  <si>
    <t>O Amante de Lady Chatterley</t>
  </si>
  <si>
    <t>O Amante da Rainha</t>
  </si>
  <si>
    <t>O Amante</t>
  </si>
  <si>
    <t>O Alienista</t>
  </si>
  <si>
    <t>O Alfaiate</t>
  </si>
  <si>
    <t>O Agente Secreto</t>
  </si>
  <si>
    <t>O Agente Noturno</t>
  </si>
  <si>
    <t>O Agente da Estação</t>
  </si>
  <si>
    <t>O Advogado do Diabo</t>
  </si>
  <si>
    <t xml:space="preserve">O Abutre </t>
  </si>
  <si>
    <t>Nyad</t>
  </si>
  <si>
    <t>Nuremberg</t>
  </si>
  <si>
    <t>Nunca, Raramente, Às Vezes, Sempre</t>
  </si>
  <si>
    <t>Nunca mais</t>
  </si>
  <si>
    <t>Nunca Deixe de Sonhar: A Vida e o Legado de Shimon Peres</t>
  </si>
  <si>
    <t>Nunca Deixe de Lembrar</t>
  </si>
  <si>
    <t>Número 24</t>
  </si>
  <si>
    <t>Novidades no Amor</t>
  </si>
  <si>
    <t>Novidade</t>
  </si>
  <si>
    <t>Nove Rainhas</t>
  </si>
  <si>
    <t>Nothing But the Truth</t>
  </si>
  <si>
    <t>Nota de Rodapé</t>
  </si>
  <si>
    <t>Nosso Amor do Passado</t>
  </si>
  <si>
    <t xml:space="preserve">Nossas noites </t>
  </si>
  <si>
    <t>Nossa Irmã Mais Nova</t>
  </si>
  <si>
    <t>Nos vemos em Vênus</t>
  </si>
  <si>
    <t>North &amp; South</t>
  </si>
  <si>
    <t>Norman: Confie em Mim</t>
  </si>
  <si>
    <t>Normal People</t>
  </si>
  <si>
    <t>Norma</t>
  </si>
  <si>
    <t>Nonnas</t>
  </si>
  <si>
    <t>Nomadland</t>
  </si>
  <si>
    <t>Noivo Neurótico, Noiva Nervosa</t>
  </si>
  <si>
    <t>Noites de Tormenta</t>
  </si>
  <si>
    <t>Noites de Paris</t>
  </si>
  <si>
    <t>Noite de Verão</t>
  </si>
  <si>
    <t>No Vale das Sombras</t>
  </si>
  <si>
    <t>No Ritmo do Coração</t>
  </si>
  <si>
    <t xml:space="preserve">No Portal da Eternidade </t>
  </si>
  <si>
    <t>No Mundo de 2020</t>
  </si>
  <si>
    <t>No Matarás</t>
  </si>
  <si>
    <t>No Lugar da Outra</t>
  </si>
  <si>
    <t>No Jogo do Amor</t>
  </si>
  <si>
    <t>No fim do túnel</t>
  </si>
  <si>
    <t xml:space="preserve">No Coração do Mar </t>
  </si>
  <si>
    <t>No Calor da Noite</t>
  </si>
  <si>
    <t xml:space="preserve">Ninho Vazio </t>
  </si>
  <si>
    <t>Ninguém Sabe Que Estou Aqui</t>
  </si>
  <si>
    <t>Ninguém quer</t>
  </si>
  <si>
    <t>Ninguém nos viu partir</t>
  </si>
  <si>
    <t>Nine</t>
  </si>
  <si>
    <t>Neve Sobre os Cedros</t>
  </si>
  <si>
    <t>Neve negra</t>
  </si>
  <si>
    <t>Nevasca de Natal</t>
  </si>
  <si>
    <t xml:space="preserve">Nem tão perfeitos assim </t>
  </si>
  <si>
    <t>Nebraska</t>
  </si>
  <si>
    <t>Navillera</t>
  </si>
  <si>
    <t>Náufrago</t>
  </si>
  <si>
    <t>Nascido para matar</t>
  </si>
  <si>
    <t>Nascido em 4 de Julho</t>
  </si>
  <si>
    <t>Nasce uma estrela</t>
  </si>
  <si>
    <t>Google/Apple</t>
  </si>
  <si>
    <t>Nas profundezas do mar sem fim</t>
  </si>
  <si>
    <t>Narvik</t>
  </si>
  <si>
    <t>Narco-Santos</t>
  </si>
  <si>
    <t xml:space="preserve">Narcos </t>
  </si>
  <si>
    <t>Naquele fim de semana</t>
  </si>
  <si>
    <t>Napoleão</t>
  </si>
  <si>
    <t>Não posso viver sem você</t>
  </si>
  <si>
    <t>Não Olhe para Trás</t>
  </si>
  <si>
    <t>Não Olhe Para Cima</t>
  </si>
  <si>
    <t xml:space="preserve">Netflix </t>
  </si>
  <si>
    <t>Não Fale com Estranhos</t>
  </si>
  <si>
    <t>Não diga nada</t>
  </si>
  <si>
    <t xml:space="preserve">Não Conte à Ninguém </t>
  </si>
  <si>
    <t>Não Conformista</t>
  </si>
  <si>
    <t>Namorados para Sempre</t>
  </si>
  <si>
    <t>Nada será como antes</t>
  </si>
  <si>
    <t xml:space="preserve">Nada Ortodoxa </t>
  </si>
  <si>
    <t>Nada é para sempre</t>
  </si>
  <si>
    <t>Nada de Novo no Front</t>
  </si>
  <si>
    <t xml:space="preserve">Nada a Esconder </t>
  </si>
  <si>
    <t>Nada a Declarar</t>
  </si>
  <si>
    <t>Na solidão da noite</t>
  </si>
  <si>
    <t>Na Própria Pele: O caso Stefano Cucchi</t>
  </si>
  <si>
    <t>Na Natureza Selvagem</t>
  </si>
  <si>
    <t>Na mira do júri</t>
  </si>
  <si>
    <t>Na Escuridão</t>
  </si>
  <si>
    <t>Na Corda Bamba</t>
  </si>
  <si>
    <t xml:space="preserve">My Happy Family </t>
  </si>
  <si>
    <t>Munique - no limite da guerra</t>
  </si>
  <si>
    <t>Munique</t>
  </si>
  <si>
    <t>Mundos Opostos</t>
  </si>
  <si>
    <t>Mulheres do Século 20</t>
  </si>
  <si>
    <t>Mulheres do Movimento</t>
  </si>
  <si>
    <t>Mulheres à beira de um ataque de nervos</t>
  </si>
  <si>
    <t xml:space="preserve">Muito Amor pra Dar </t>
  </si>
  <si>
    <t>Muito além do peso</t>
  </si>
  <si>
    <t>Apple TV</t>
  </si>
  <si>
    <t>Muito Além do Jardim</t>
  </si>
  <si>
    <t>Apple/Google</t>
  </si>
  <si>
    <t xml:space="preserve">Mucize </t>
  </si>
  <si>
    <t xml:space="preserve">Mrs Palfrey at the Claremont </t>
  </si>
  <si>
    <t>Mr.Holland: Adorável Professor</t>
  </si>
  <si>
    <t>Moulin Rouge: Amor em vermelho</t>
  </si>
  <si>
    <t xml:space="preserve">Mosul </t>
  </si>
  <si>
    <t>Morte no Nilo</t>
  </si>
  <si>
    <t>Morangos Silvestres</t>
  </si>
  <si>
    <t>Moonrise Kingdom</t>
  </si>
  <si>
    <t>Moonlight: Sob a Luz do Luar</t>
  </si>
  <si>
    <t>Monstro</t>
  </si>
  <si>
    <t>Monsieur &amp; Madame Adelman</t>
  </si>
  <si>
    <t>Monarca</t>
  </si>
  <si>
    <t>Mommy</t>
  </si>
  <si>
    <t>Moça com Brinco de Pérola</t>
  </si>
  <si>
    <t xml:space="preserve">Mississippi em Chamas </t>
  </si>
  <si>
    <t>Missão no Mar Vermelho</t>
  </si>
  <si>
    <t>Miss Scarlet &amp; the Duke</t>
  </si>
  <si>
    <t xml:space="preserve">Miss Potter </t>
  </si>
  <si>
    <t>Miss Austen</t>
  </si>
  <si>
    <t>Misha e os Lobos</t>
  </si>
  <si>
    <t>Minimalism: A Documentary About the Important Things</t>
  </si>
  <si>
    <t>Minhas Tardes com Margueritte</t>
  </si>
  <si>
    <t>Minhas mães e meu pai</t>
  </si>
  <si>
    <t>Minha Vida Perfeita</t>
  </si>
  <si>
    <t>Minha vida com a familia Walter</t>
  </si>
  <si>
    <t>Minha Obra Prima</t>
  </si>
  <si>
    <t xml:space="preserve">Minha Mãe é uma Peça 3 </t>
  </si>
  <si>
    <t>Minha culpa</t>
  </si>
  <si>
    <t xml:space="preserve">Minari - Em busca da felicidade </t>
  </si>
  <si>
    <t>Mimadinhos</t>
  </si>
  <si>
    <t>Millennium - os homens que não amavam as mulheres</t>
  </si>
  <si>
    <t>Milk: A Voz da Igualdade</t>
  </si>
  <si>
    <t xml:space="preserve">Milagre na Cela 7 </t>
  </si>
  <si>
    <t xml:space="preserve">Milagre Azul </t>
  </si>
  <si>
    <t>Milada</t>
  </si>
  <si>
    <t>Mil Vezes Boa Noite</t>
  </si>
  <si>
    <t>Michael</t>
  </si>
  <si>
    <t>Meu Rei</t>
  </si>
  <si>
    <t>Looke/Não tem</t>
  </si>
  <si>
    <t>Meu Querido Zelador</t>
  </si>
  <si>
    <t>Meu Porto Seguro</t>
  </si>
  <si>
    <t>Meu Pai e Meu Filho</t>
  </si>
  <si>
    <t>Meu Pai</t>
  </si>
  <si>
    <t>Meu Nome é Vingança</t>
  </si>
  <si>
    <t>Meu Nome é Sara</t>
  </si>
  <si>
    <t>Meu nome é Agneta</t>
  </si>
  <si>
    <t>Meu Malvado Favorito</t>
  </si>
  <si>
    <t>Meu lar,meu destino</t>
  </si>
  <si>
    <t>Meu Irmão, Minha Irmã</t>
  </si>
  <si>
    <t>Meu Bolo Favorito</t>
  </si>
  <si>
    <t>Reserva/Não tem</t>
  </si>
  <si>
    <t>Meu ano em Oxford</t>
  </si>
  <si>
    <t xml:space="preserve">Meu Amor: Seis Histórias de Amor Verdadeiro </t>
  </si>
  <si>
    <t>Meu amigo pinguim</t>
  </si>
  <si>
    <t>Meu Amigo Hindu</t>
  </si>
  <si>
    <t>Mestres da enganação</t>
  </si>
  <si>
    <t>Mestre dos Mares: O Lado Mais Distante do Mundo</t>
  </si>
  <si>
    <t>Messiah</t>
  </si>
  <si>
    <t xml:space="preserve">Mesmo se Nada Der Certo </t>
  </si>
  <si>
    <t xml:space="preserve">Merli </t>
  </si>
  <si>
    <t xml:space="preserve">Mentiras Sinceras </t>
  </si>
  <si>
    <t xml:space="preserve">Mentiras Perigosas </t>
  </si>
  <si>
    <t>Mentiras</t>
  </si>
  <si>
    <t>Mentira Incondicional</t>
  </si>
  <si>
    <t>Mentes que Brilham</t>
  </si>
  <si>
    <t>Menina de Ouro</t>
  </si>
  <si>
    <t>Memórias de uma Gueixa</t>
  </si>
  <si>
    <t>Memórias de um Assassino</t>
  </si>
  <si>
    <t>Memento</t>
  </si>
  <si>
    <t xml:space="preserve">Melhor é Impossível </t>
  </si>
  <si>
    <t>Melancolia</t>
  </si>
  <si>
    <t>Meia-Noite no Switchgrass</t>
  </si>
  <si>
    <t>Meia-Noite em Paris</t>
  </si>
  <si>
    <t>Meia noite em Paris</t>
  </si>
  <si>
    <t>Medo da Verdade</t>
  </si>
  <si>
    <t>Medici:Mestres de Florença</t>
  </si>
  <si>
    <t>Me Chame pelo Seu Nome</t>
  </si>
  <si>
    <t>Looke/Apple</t>
  </si>
  <si>
    <t>Me and My Sister</t>
  </si>
  <si>
    <t>Maus hábitos</t>
  </si>
  <si>
    <t>Maudie: Sua Vida e sua Arte</t>
  </si>
  <si>
    <t>Mass</t>
  </si>
  <si>
    <t>Mary Shelley</t>
  </si>
  <si>
    <t>Mary Poppins</t>
  </si>
  <si>
    <t>Mary e Max - Uma Amizade Diferente</t>
  </si>
  <si>
    <t>Marvin</t>
  </si>
  <si>
    <t>Marty Supreme</t>
  </si>
  <si>
    <t>Marshall, Igualdade e Justiça</t>
  </si>
  <si>
    <t>Marseille</t>
  </si>
  <si>
    <t>Marinheiro de Guerra</t>
  </si>
  <si>
    <t>Maria Callas</t>
  </si>
  <si>
    <t>Mare of Easttown</t>
  </si>
  <si>
    <t xml:space="preserve">Marco Polo </t>
  </si>
  <si>
    <t xml:space="preserve">Marcella </t>
  </si>
  <si>
    <t>Marcas da Violência</t>
  </si>
  <si>
    <t>Marcas da Vida</t>
  </si>
  <si>
    <t xml:space="preserve">Mar Adentro  </t>
  </si>
  <si>
    <t>Mãos Talentosas - A História de Ben Carson</t>
  </si>
  <si>
    <t>Mank</t>
  </si>
  <si>
    <t>Manhattan</t>
  </si>
  <si>
    <t>Mandamentos de um Serial Killer</t>
  </si>
  <si>
    <t>Manchester à Beira-Mar</t>
  </si>
  <si>
    <t>Mamma Mia!</t>
  </si>
  <si>
    <t>Mamãe foi ao Cabeleireiro</t>
  </si>
  <si>
    <t>Malícia</t>
  </si>
  <si>
    <t>Prime/MGM</t>
  </si>
  <si>
    <t>Malena</t>
  </si>
  <si>
    <t>Major</t>
  </si>
  <si>
    <t>Mais uma página</t>
  </si>
  <si>
    <t xml:space="preserve">Mais uma Chance </t>
  </si>
  <si>
    <t>Mais que Amigos</t>
  </si>
  <si>
    <t>Maid</t>
  </si>
  <si>
    <t>Magnólia</t>
  </si>
  <si>
    <t>Magnatas do Crime</t>
  </si>
  <si>
    <t xml:space="preserve">Maestro </t>
  </si>
  <si>
    <t>Netflix/My Family</t>
  </si>
  <si>
    <t>Mães Paralelas</t>
  </si>
  <si>
    <t>Netflix/Family</t>
  </si>
  <si>
    <t>Mãe!</t>
  </si>
  <si>
    <t>Prime Video</t>
  </si>
  <si>
    <t>Mãe Só Tem Duas</t>
  </si>
  <si>
    <t>Mãe</t>
  </si>
  <si>
    <t>Má Educação</t>
  </si>
  <si>
    <t>M*A*S*H*</t>
  </si>
  <si>
    <t xml:space="preserve">Luz Silenciosa </t>
  </si>
  <si>
    <t>Luta por justiça</t>
  </si>
  <si>
    <t>Luta pela fé - A história do Padre Stu</t>
  </si>
  <si>
    <t xml:space="preserve">Lupin </t>
  </si>
  <si>
    <t xml:space="preserve">Lua de Fel </t>
  </si>
  <si>
    <t>Loving</t>
  </si>
  <si>
    <t>Love Story: Uma História de Amor</t>
  </si>
  <si>
    <t>Loucuras de Verão</t>
  </si>
  <si>
    <t>Loucos por justiça</t>
  </si>
  <si>
    <t>Louca obsessão</t>
  </si>
  <si>
    <t>Los Angeles, Cidade Proibida</t>
  </si>
  <si>
    <t>Lolita</t>
  </si>
  <si>
    <t>Lizzie</t>
  </si>
  <si>
    <t>Lixo Extraordinário</t>
  </si>
  <si>
    <t>Livre</t>
  </si>
  <si>
    <t>Live is Life</t>
  </si>
  <si>
    <t xml:space="preserve">Lion: uma Jornada para Casa </t>
  </si>
  <si>
    <t>Linha de Frente</t>
  </si>
  <si>
    <t>Line of Duty</t>
  </si>
  <si>
    <t>Lincoln</t>
  </si>
  <si>
    <t>Limoeiro</t>
  </si>
  <si>
    <t>Ligações Perigosas</t>
  </si>
  <si>
    <t>Lifemark</t>
  </si>
  <si>
    <t>Lida Baarova</t>
  </si>
  <si>
    <t>Licorice Pizza</t>
  </si>
  <si>
    <t>Leviatã</t>
  </si>
  <si>
    <t>L'Été 36</t>
  </si>
  <si>
    <t>Let Them All Talk</t>
  </si>
  <si>
    <t>Lendas da Paixão</t>
  </si>
  <si>
    <t xml:space="preserve">Lemon Tree </t>
  </si>
  <si>
    <t>Lembranças</t>
  </si>
  <si>
    <t>Le Fils de L'autre</t>
  </si>
  <si>
    <t>Layla M.</t>
  </si>
  <si>
    <t xml:space="preserve">Lawrence da Arábia </t>
  </si>
  <si>
    <t>Las Villamizar</t>
  </si>
  <si>
    <t>Las sufragistas</t>
  </si>
  <si>
    <t>Las horas contigo</t>
  </si>
  <si>
    <t>L'Apollonide: Os Amores da Casa de Tolerância</t>
  </si>
  <si>
    <t>Lansky, uma história da Máfia</t>
  </si>
  <si>
    <t>Lances inocentes</t>
  </si>
  <si>
    <t>Lancelot, O Primeiro Cavaleiro</t>
  </si>
  <si>
    <t>Lady Bird - A Hora de Voar</t>
  </si>
  <si>
    <t xml:space="preserve">Lado a lado </t>
  </si>
  <si>
    <t>Laços Maternos</t>
  </si>
  <si>
    <t>La víctima número 8</t>
  </si>
  <si>
    <t>La trinchera infinita</t>
  </si>
  <si>
    <t>La Misma Sangre</t>
  </si>
  <si>
    <t>La La Land: Cantando Estações</t>
  </si>
  <si>
    <t xml:space="preserve">La casa de Papel </t>
  </si>
  <si>
    <t>Kubra</t>
  </si>
  <si>
    <t xml:space="preserve">Kramer vs. Kramer </t>
  </si>
  <si>
    <t>Kolya, uma Lição de Amor</t>
  </si>
  <si>
    <t>King Richard: criando campeãs</t>
  </si>
  <si>
    <t>Kill Bill: Volume 2</t>
  </si>
  <si>
    <t>Kill Bill: Volume 1</t>
  </si>
  <si>
    <t>Katyn</t>
  </si>
  <si>
    <t>Karol - O Homem que se Tornou Papa</t>
  </si>
  <si>
    <t>Kalifornia: Uma viagem ao Inferno</t>
  </si>
  <si>
    <t>Justiça a Qualquer Preço</t>
  </si>
  <si>
    <t xml:space="preserve">Jurassic Park: O Parque dos Dinossauros </t>
  </si>
  <si>
    <t xml:space="preserve">Jurado nº 2 </t>
  </si>
  <si>
    <t>Juno</t>
  </si>
  <si>
    <t>Julieta</t>
  </si>
  <si>
    <t>Julie &amp; Julia</t>
  </si>
  <si>
    <t>Judy - Muito Além do Arco-Íris</t>
  </si>
  <si>
    <t>Judas e o Messias Negro</t>
  </si>
  <si>
    <t>Joy</t>
  </si>
  <si>
    <t xml:space="preserve">Jojo Rabbit </t>
  </si>
  <si>
    <t>Joias Brutas</t>
  </si>
  <si>
    <t>Johnny &amp; June</t>
  </si>
  <si>
    <t>Jogos, trapaças e dois canos fumegantes</t>
  </si>
  <si>
    <t>Jogo Justo</t>
  </si>
  <si>
    <t>Jogo de Cena</t>
  </si>
  <si>
    <t>Jogada de Rei</t>
  </si>
  <si>
    <t>Jesus de Nazaré</t>
  </si>
  <si>
    <t xml:space="preserve">Je suis Karl </t>
  </si>
  <si>
    <t>Jay Kelly</t>
  </si>
  <si>
    <t>Jane Eyre</t>
  </si>
  <si>
    <t>Jack Reacher:O Último Tiro</t>
  </si>
  <si>
    <t>Já Estou com Saudades</t>
  </si>
  <si>
    <t>Já era hora</t>
  </si>
  <si>
    <t>Isabel</t>
  </si>
  <si>
    <t>Irresistible</t>
  </si>
  <si>
    <t>Irracional</t>
  </si>
  <si>
    <t xml:space="preserve">Irmãs Gêmeas </t>
  </si>
  <si>
    <t>Irmã de Neve</t>
  </si>
  <si>
    <t>Inventando Anna</t>
  </si>
  <si>
    <t xml:space="preserve">Invencível </t>
  </si>
  <si>
    <t>Intocáveis</t>
  </si>
  <si>
    <t>Telecine/YouTube</t>
  </si>
  <si>
    <t>Intimidade</t>
  </si>
  <si>
    <t xml:space="preserve">Interestelar </t>
  </si>
  <si>
    <t>Instituto Voltaire</t>
  </si>
  <si>
    <t>Instinto Selvagem</t>
  </si>
  <si>
    <t>Instinto Secreto</t>
  </si>
  <si>
    <t>Instinto Materno</t>
  </si>
  <si>
    <t xml:space="preserve">Inspire, Expire </t>
  </si>
  <si>
    <t>Inside Look: The Assassination of Gianni Versace - American Crime Story</t>
  </si>
  <si>
    <t>Inside Llewyn Davis: Balada de um Homem Comum</t>
  </si>
  <si>
    <t>Inseparáveis</t>
  </si>
  <si>
    <t>Ingresso para o paraiso</t>
  </si>
  <si>
    <t xml:space="preserve">Infiltrado na Klan </t>
  </si>
  <si>
    <t>Prime/Now</t>
  </si>
  <si>
    <t xml:space="preserve">Infiltrado  </t>
  </si>
  <si>
    <t xml:space="preserve">Infidelidade </t>
  </si>
  <si>
    <t>Infância Interrompida</t>
  </si>
  <si>
    <t>Indiferença</t>
  </si>
  <si>
    <t>Indecente</t>
  </si>
  <si>
    <t>Incêndios</t>
  </si>
  <si>
    <t>Apple/Globo</t>
  </si>
  <si>
    <t>Inacreditável</t>
  </si>
  <si>
    <t>Império do Sol</t>
  </si>
  <si>
    <t xml:space="preserve">Império da dor </t>
  </si>
  <si>
    <t>Imperdoável</t>
  </si>
  <si>
    <t>I'm Glad It's Christmas</t>
  </si>
  <si>
    <t>Ilha do Medo</t>
  </si>
  <si>
    <t xml:space="preserve">Ilha de Ferro </t>
  </si>
  <si>
    <t>Il Processo</t>
  </si>
  <si>
    <t>Identidade Roubada</t>
  </si>
  <si>
    <t>Identidade</t>
  </si>
  <si>
    <t>I swear</t>
  </si>
  <si>
    <t>I Know this Much is True</t>
  </si>
  <si>
    <t>I Feel Pretty</t>
  </si>
  <si>
    <t>Hypnotic</t>
  </si>
  <si>
    <t>Human</t>
  </si>
  <si>
    <t>House of Gucci</t>
  </si>
  <si>
    <t>House of Cards</t>
  </si>
  <si>
    <t>Hotel Ruanda</t>
  </si>
  <si>
    <t>Horas de Verão</t>
  </si>
  <si>
    <t>Hora de Voltar</t>
  </si>
  <si>
    <t>Homens em Fúria</t>
  </si>
  <si>
    <t xml:space="preserve">Homens de Honra </t>
  </si>
  <si>
    <t>Homem-Aranha: Um Novo Dia</t>
  </si>
  <si>
    <t xml:space="preserve">Homem-Aranha: no Aranhaverso </t>
  </si>
  <si>
    <t>Homem-Aranha 3</t>
  </si>
  <si>
    <t>Homem-Absorvente</t>
  </si>
  <si>
    <t xml:space="preserve">Homem Irracional </t>
  </si>
  <si>
    <t>Homem com H</t>
  </si>
  <si>
    <t>Homecoming:De volta à patria</t>
  </si>
  <si>
    <t>Homebound</t>
  </si>
  <si>
    <t>Hollywood</t>
  </si>
  <si>
    <t>Hoje Eu Quero Voltar Sozinho</t>
  </si>
  <si>
    <t>Hitler e o Nazismo-Começo,Meio e Fim</t>
  </si>
  <si>
    <t xml:space="preserve">Hit &amp; Run </t>
  </si>
  <si>
    <t xml:space="preserve">Histórias Cruzadas </t>
  </si>
  <si>
    <t xml:space="preserve">História de um casamento </t>
  </si>
  <si>
    <t>História de Amor em Copenhague</t>
  </si>
  <si>
    <t>His &amp; Hers</t>
  </si>
  <si>
    <t>Herrens veje</t>
  </si>
  <si>
    <t>Herança roubada</t>
  </si>
  <si>
    <t>Herança de Sangue</t>
  </si>
  <si>
    <t>Herança</t>
  </si>
  <si>
    <t>Harry e Sally: Feitos um para o outro</t>
  </si>
  <si>
    <t>Harriet</t>
  </si>
  <si>
    <t xml:space="preserve">Harlots </t>
  </si>
  <si>
    <t>Hard Truths</t>
  </si>
  <si>
    <t>Hannah e suas irmãs</t>
  </si>
  <si>
    <t>Hampstead: Nunca é tarde para amar</t>
  </si>
  <si>
    <t>HaMossad: Sipur Kisuy</t>
  </si>
  <si>
    <t>Hamnet: A vida antes de Hamlet</t>
  </si>
  <si>
    <t>Hala</t>
  </si>
  <si>
    <t>Hair</t>
  </si>
  <si>
    <t>Hahaha</t>
  </si>
  <si>
    <t>Hache</t>
  </si>
  <si>
    <t>Há Tanto Tempo que te Amo</t>
  </si>
  <si>
    <t>Guerreras</t>
  </si>
  <si>
    <t>Guerreiros do Sol</t>
  </si>
  <si>
    <t>Guerra Fria</t>
  </si>
  <si>
    <t>Guerra e Paz</t>
  </si>
  <si>
    <t>Guerra ao Terror</t>
  </si>
  <si>
    <t>Gritos e Sussurros</t>
  </si>
  <si>
    <t>Griselda</t>
  </si>
  <si>
    <t xml:space="preserve">Greenleaf </t>
  </si>
  <si>
    <t>Green Book - O Guia</t>
  </si>
  <si>
    <t>Granizo</t>
  </si>
  <si>
    <t>Grandes Olhos</t>
  </si>
  <si>
    <t>Grandes Momentos da Segunda Guerra em Cores</t>
  </si>
  <si>
    <t>Gran Torino</t>
  </si>
  <si>
    <t xml:space="preserve">Gracepoint </t>
  </si>
  <si>
    <t>Grace de Mônaco</t>
  </si>
  <si>
    <t>Graças a Deus</t>
  </si>
  <si>
    <t>Gosto de Cereja</t>
  </si>
  <si>
    <t>Gomorra</t>
  </si>
  <si>
    <t>Golpe de Sorte em Paris</t>
  </si>
  <si>
    <t>Golpe de Mestre</t>
  </si>
  <si>
    <t xml:space="preserve">Golda </t>
  </si>
  <si>
    <t>Godless</t>
  </si>
  <si>
    <t>Glória Bell</t>
  </si>
  <si>
    <t>Glass Onion: Um Mistério Knives Out</t>
  </si>
  <si>
    <t>Gladiador II</t>
  </si>
  <si>
    <t xml:space="preserve">Gladiador </t>
  </si>
  <si>
    <t>Ghost - do Outro Lado da Vida</t>
  </si>
  <si>
    <t>Getúlio</t>
  </si>
  <si>
    <t>Gente que Vai e Volta</t>
  </si>
  <si>
    <t>Gente Grande</t>
  </si>
  <si>
    <t xml:space="preserve">Gente de bem </t>
  </si>
  <si>
    <t xml:space="preserve">Gente como a gente </t>
  </si>
  <si>
    <t>Gênio Indomável</t>
  </si>
  <si>
    <t>Gemma Bovery - A Vida Imita a Arte</t>
  </si>
  <si>
    <t>Gauguin: Viagem ao Taiti</t>
  </si>
  <si>
    <t>Garoto devora universo</t>
  </si>
  <si>
    <t>Garota, Interrompida</t>
  </si>
  <si>
    <t xml:space="preserve">Garota Exemplar </t>
  </si>
  <si>
    <t>Garota Estranha</t>
  </si>
  <si>
    <t>Gangues de Nova York</t>
  </si>
  <si>
    <t>Gangs Of Oslo</t>
  </si>
  <si>
    <t xml:space="preserve">Gandhi </t>
  </si>
  <si>
    <t xml:space="preserve">Gaga: five foot two  </t>
  </si>
  <si>
    <t>Funny Girl</t>
  </si>
  <si>
    <t xml:space="preserve">Fuja </t>
  </si>
  <si>
    <t>Fugindo do Inferno</t>
  </si>
  <si>
    <t>From The River To The Sea: The Frontiers of Faith</t>
  </si>
  <si>
    <t>You Tube</t>
  </si>
  <si>
    <t xml:space="preserve">Frida </t>
  </si>
  <si>
    <t>Free Solo</t>
  </si>
  <si>
    <t>Fratura</t>
  </si>
  <si>
    <t>Frankenstein</t>
  </si>
  <si>
    <t>Frances  Há</t>
  </si>
  <si>
    <t>Forrest Gump: O Contador de Histórias</t>
  </si>
  <si>
    <t>Forget me Never</t>
  </si>
  <si>
    <t>Ford vs Ferrari</t>
  </si>
  <si>
    <t>Força Maior</t>
  </si>
  <si>
    <t>Fora de Rumo</t>
  </si>
  <si>
    <t>Fora da Lei</t>
  </si>
  <si>
    <t>Fome de Viver</t>
  </si>
  <si>
    <t>Fome de Sucesso</t>
  </si>
  <si>
    <t>Folhas de Outono</t>
  </si>
  <si>
    <t>Foi Apenas um Sonho</t>
  </si>
  <si>
    <t>Foi apenas um acidente</t>
  </si>
  <si>
    <t>Fogo contra Fogo</t>
  </si>
  <si>
    <t>Flow</t>
  </si>
  <si>
    <t>Flores Raras</t>
  </si>
  <si>
    <t>Flores en otoño</t>
  </si>
  <si>
    <t>Flores do Oriente</t>
  </si>
  <si>
    <t>Florence: quem é essa mulher?</t>
  </si>
  <si>
    <t>Flamin'hot</t>
  </si>
  <si>
    <t>Fique Comigo</t>
  </si>
  <si>
    <t>Finch</t>
  </si>
  <si>
    <t>Fim de Caso</t>
  </si>
  <si>
    <t>Filhos do Paraíso</t>
  </si>
  <si>
    <t>Filhos do Ódio</t>
  </si>
  <si>
    <t>AppleTV/Google Play</t>
  </si>
  <si>
    <t>Filhos do chumbo</t>
  </si>
  <si>
    <t>Filhos de Istambul</t>
  </si>
  <si>
    <t xml:space="preserve">Filhos da Esperança </t>
  </si>
  <si>
    <t>Filho da Mãe</t>
  </si>
  <si>
    <t>Filhas e esposas</t>
  </si>
  <si>
    <t xml:space="preserve">Filhas de Eva </t>
  </si>
  <si>
    <t>Filadelfia</t>
  </si>
  <si>
    <t>Fiéis</t>
  </si>
  <si>
    <t>Ficção Americana</t>
  </si>
  <si>
    <t>Ferry</t>
  </si>
  <si>
    <t xml:space="preserve">Ferrugem e Osso </t>
  </si>
  <si>
    <t>Ferrari</t>
  </si>
  <si>
    <t>Cine Mark</t>
  </si>
  <si>
    <t>Felon</t>
  </si>
  <si>
    <t>Feliz Natal</t>
  </si>
  <si>
    <t>Feliz como Lázaro</t>
  </si>
  <si>
    <t>Felicidade para Principiantes</t>
  </si>
  <si>
    <t>Feito na América</t>
  </si>
  <si>
    <t>Fedeltá</t>
  </si>
  <si>
    <t>Fé nas alturas</t>
  </si>
  <si>
    <t>Fé Corrompida</t>
  </si>
  <si>
    <t>Fauda</t>
  </si>
  <si>
    <t>Fatma</t>
  </si>
  <si>
    <t>Farol das Orcas</t>
  </si>
  <si>
    <t>Farha</t>
  </si>
  <si>
    <t>Fargo:Uma Comédia de Erros</t>
  </si>
  <si>
    <t>Fargo</t>
  </si>
  <si>
    <t>Fantasmas de Julho</t>
  </si>
  <si>
    <t>Familia Soprano</t>
  </si>
  <si>
    <t>Familia</t>
  </si>
  <si>
    <t xml:space="preserve">Fale com Ela </t>
  </si>
  <si>
    <t>Falcão Negro em Perigo</t>
  </si>
  <si>
    <t>Falando a Real</t>
  </si>
  <si>
    <t>Fahrenheit 11 de Setembro</t>
  </si>
  <si>
    <t>Faces da Verdade</t>
  </si>
  <si>
    <t>Faça a Coisa Certa</t>
  </si>
  <si>
    <t>Extraordinário</t>
  </si>
  <si>
    <t>Netflix/Telecine/Google</t>
  </si>
  <si>
    <t>Expresso do Destino</t>
  </si>
  <si>
    <t>Ex-machina Instinto Artificial</t>
  </si>
  <si>
    <t>Exército de Ladrões: Invasão da Europa</t>
  </si>
  <si>
    <t xml:space="preserve">Evil: Raizes do Mal </t>
  </si>
  <si>
    <t>Euforia</t>
  </si>
  <si>
    <t>Eu, Tonya</t>
  </si>
  <si>
    <t>Eu, Daniel Blake</t>
  </si>
  <si>
    <t>Eu, Capitão</t>
  </si>
  <si>
    <t>Eu Vou te Encontrar</t>
  </si>
  <si>
    <t>Eu só posso imaginar</t>
  </si>
  <si>
    <t>Eu Me Importo</t>
  </si>
  <si>
    <t>Estrelas Além do Tempo</t>
  </si>
  <si>
    <t>Estrada Sem Lei</t>
  </si>
  <si>
    <t xml:space="preserve">Estômago </t>
  </si>
  <si>
    <t>Estão Todos Bem</t>
  </si>
  <si>
    <t>Estado Zero</t>
  </si>
  <si>
    <t>Esta Noite Você Dorme Comigo</t>
  </si>
  <si>
    <t>Esquadrão Lobo</t>
  </si>
  <si>
    <t>Escritores da Liberdade</t>
  </si>
  <si>
    <t>Escobar: a traição</t>
  </si>
  <si>
    <t>Escalando Dawn Wall</t>
  </si>
  <si>
    <t>Ervas Secas</t>
  </si>
  <si>
    <t>Ervas Daninhas</t>
  </si>
  <si>
    <t>Erin Brockovich, uma Mulher de Talento</t>
  </si>
  <si>
    <t>Eric</t>
  </si>
  <si>
    <t>Erasmo 80</t>
  </si>
  <si>
    <t>Era Uma Vez um Sonho</t>
  </si>
  <si>
    <t>Era uma Vez no Oeste</t>
  </si>
  <si>
    <t>Era uma vez na América</t>
  </si>
  <si>
    <t>Era uma Vez em Nova York</t>
  </si>
  <si>
    <t xml:space="preserve">Era uma Vez em .... Hollywood </t>
  </si>
  <si>
    <t>Entrevias</t>
  </si>
  <si>
    <t>Entre Rosas</t>
  </si>
  <si>
    <t>R.Cultural</t>
  </si>
  <si>
    <t>Entre Quatro Paredes</t>
  </si>
  <si>
    <t>Entre Mulheres</t>
  </si>
  <si>
    <t>Entre Irmãs</t>
  </si>
  <si>
    <t>Google/Telecine</t>
  </si>
  <si>
    <t xml:space="preserve">Entre Facas e Segredos </t>
  </si>
  <si>
    <t>Entre dois amores</t>
  </si>
  <si>
    <t>Enquanto você dormia</t>
  </si>
  <si>
    <t>Enola Holmes</t>
  </si>
  <si>
    <t>Enfermeira</t>
  </si>
  <si>
    <t>Encurralado</t>
  </si>
  <si>
    <t>Encontros e Desencontros</t>
  </si>
  <si>
    <t>Encontro Marcado</t>
  </si>
  <si>
    <t>Encontro de amor</t>
  </si>
  <si>
    <t>Encontrando Forrester</t>
  </si>
  <si>
    <t>Encanto</t>
  </si>
  <si>
    <t>Disney</t>
  </si>
  <si>
    <t>Emily em Paris</t>
  </si>
  <si>
    <t>Emily</t>
  </si>
  <si>
    <t>Emilia Pérez</t>
  </si>
  <si>
    <t>Embriagado de Amor</t>
  </si>
  <si>
    <t>Em Uma Ilha Bem Distante</t>
  </si>
  <si>
    <t>Em um Mundo Melhor</t>
  </si>
  <si>
    <t>Em Suas Mãos</t>
  </si>
  <si>
    <t xml:space="preserve">Em Silêncio </t>
  </si>
  <si>
    <t>Em seu lugar</t>
  </si>
  <si>
    <t>Em Segredo</t>
  </si>
  <si>
    <t>Em Nome do Pai</t>
  </si>
  <si>
    <t>Em Meus Sonhos</t>
  </si>
  <si>
    <t>Em Direção ao Sul</t>
  </si>
  <si>
    <t>Em Defesa de Jacob</t>
  </si>
  <si>
    <t xml:space="preserve">Em casa com os Gil </t>
  </si>
  <si>
    <t xml:space="preserve">Em Carne Viva </t>
  </si>
  <si>
    <t>Em Busca de uma Nova Chance</t>
  </si>
  <si>
    <t>Em Busca de Mim</t>
  </si>
  <si>
    <t>Em busca de Agnes</t>
  </si>
  <si>
    <t>Elvis</t>
  </si>
  <si>
    <t>Elsa &amp; Fred: Um amor de Paixão</t>
  </si>
  <si>
    <t>Elling</t>
  </si>
  <si>
    <t>Ella e John</t>
  </si>
  <si>
    <t>Telecine/Play Filmes</t>
  </si>
  <si>
    <t>Elizabeth: A Era de Ouro</t>
  </si>
  <si>
    <t>Elite</t>
  </si>
  <si>
    <t>Elisa e Marcela</t>
  </si>
  <si>
    <t>Elis &amp; Tom - Só tinha de ser com você</t>
  </si>
  <si>
    <t>Elis</t>
  </si>
  <si>
    <t>Eles não envelhecerão</t>
  </si>
  <si>
    <t>Elas</t>
  </si>
  <si>
    <t>Ela é a poderosa</t>
  </si>
  <si>
    <t>Ela disse</t>
  </si>
  <si>
    <t>Ela</t>
  </si>
  <si>
    <t>El patrón, radiografía de un crimen</t>
  </si>
  <si>
    <t>El incendio</t>
  </si>
  <si>
    <t>El Embarcadero</t>
  </si>
  <si>
    <t>El Cid</t>
  </si>
  <si>
    <t>El camino</t>
  </si>
  <si>
    <t>Éirí Amach Amú</t>
  </si>
  <si>
    <t>Eiffel</t>
  </si>
  <si>
    <t>Ehrengard - A ninfa do lago</t>
  </si>
  <si>
    <t>Effie Gray</t>
  </si>
  <si>
    <t>Efeito Pigmaleão</t>
  </si>
  <si>
    <t>Edward Mãos de Tesoura</t>
  </si>
  <si>
    <t>Educação</t>
  </si>
  <si>
    <t>Edifício Master</t>
  </si>
  <si>
    <t>Ecos de um pesadelo</t>
  </si>
  <si>
    <t xml:space="preserve">E.T.: O Extraterrestre </t>
  </si>
  <si>
    <t xml:space="preserve">É Tudo Meu </t>
  </si>
  <si>
    <t>E Sua Mãe Também</t>
  </si>
  <si>
    <t>É Assim que Acaba</t>
  </si>
  <si>
    <t>Dúvida</t>
  </si>
  <si>
    <t xml:space="preserve">Dunkirk </t>
  </si>
  <si>
    <t>Duna</t>
  </si>
  <si>
    <t>Dumplin</t>
  </si>
  <si>
    <t>Duetto</t>
  </si>
  <si>
    <t>Duelo de Titãs</t>
  </si>
  <si>
    <t>Duas Rainhas</t>
  </si>
  <si>
    <t>Apple/Looke</t>
  </si>
  <si>
    <t>Druk - Mais uma rodada</t>
  </si>
  <si>
    <t>Driveways - Uma Amizade Inesperada</t>
  </si>
  <si>
    <t>Drive My Car</t>
  </si>
  <si>
    <t>Drive</t>
  </si>
  <si>
    <t>Driblando o Destino</t>
  </si>
  <si>
    <t>Dreamgirls: Em Busca de um Sonho</t>
  </si>
  <si>
    <t>Dra Chá</t>
  </si>
  <si>
    <t>Dr Fantástico</t>
  </si>
  <si>
    <t>Dr Death</t>
  </si>
  <si>
    <t>Doze Jurados</t>
  </si>
  <si>
    <t>Downton Abbey</t>
  </si>
  <si>
    <t>Doutor Jivago</t>
  </si>
  <si>
    <t xml:space="preserve">Doutor Gama </t>
  </si>
  <si>
    <t>Dor e Glória</t>
  </si>
  <si>
    <t>Donnie Darko</t>
  </si>
  <si>
    <t xml:space="preserve">Donnie Brasco </t>
  </si>
  <si>
    <t>Don Juan DeMarco</t>
  </si>
  <si>
    <t>Domingo Sangrento</t>
  </si>
  <si>
    <t>Domina</t>
  </si>
  <si>
    <t>Domicilio Conjugal</t>
  </si>
  <si>
    <t xml:space="preserve">Dom </t>
  </si>
  <si>
    <t>Dois Verões</t>
  </si>
  <si>
    <t>Dois Papas</t>
  </si>
  <si>
    <t>Dois Filhos de Francisco</t>
  </si>
  <si>
    <t>Dois Estranhos</t>
  </si>
  <si>
    <t xml:space="preserve">Dois Dias, Uma Noite </t>
  </si>
  <si>
    <t>Dois Caras Legais</t>
  </si>
  <si>
    <t>Doentes de amor</t>
  </si>
  <si>
    <t>Doente de Mim Mesma</t>
  </si>
  <si>
    <t>Doces Magnólias</t>
  </si>
  <si>
    <t>Doce Novembro</t>
  </si>
  <si>
    <t>Doce amor de inverno</t>
  </si>
  <si>
    <t xml:space="preserve">Do Outro Lado </t>
  </si>
  <si>
    <t>Do Jeito que elas querem</t>
  </si>
  <si>
    <t>Reserva/My Family</t>
  </si>
  <si>
    <t>Django Livre</t>
  </si>
  <si>
    <t>Divertida Mente</t>
  </si>
  <si>
    <t>Distrito 9</t>
  </si>
  <si>
    <t>Distante</t>
  </si>
  <si>
    <t>Disclaimer</t>
  </si>
  <si>
    <t>Dinheiro Suspeito</t>
  </si>
  <si>
    <t xml:space="preserve">Dignity </t>
  </si>
  <si>
    <t>Dias perfeitos</t>
  </si>
  <si>
    <t>Dias de Glória</t>
  </si>
  <si>
    <t xml:space="preserve">Diários de Motocicleta </t>
  </si>
  <si>
    <t xml:space="preserve">Diário de uma paixão </t>
  </si>
  <si>
    <t>Diamantes Brutos</t>
  </si>
  <si>
    <t>Dia Zero</t>
  </si>
  <si>
    <t xml:space="preserve">Dezessete </t>
  </si>
  <si>
    <t>Devil in Disguise</t>
  </si>
  <si>
    <t>Deuses e Monstros</t>
  </si>
  <si>
    <t>Deus Não está Morto</t>
  </si>
  <si>
    <t>Deus  Não está Morto 2</t>
  </si>
  <si>
    <t>Detetive Forst</t>
  </si>
  <si>
    <t>Destinos Ligados</t>
  </si>
  <si>
    <t xml:space="preserve">Destinos Cruzados </t>
  </si>
  <si>
    <t>Destino-Parceria S. Dali-W.Disney (Youtube)</t>
  </si>
  <si>
    <t>Destemida</t>
  </si>
  <si>
    <t xml:space="preserve">Destacamento Blood </t>
  </si>
  <si>
    <t xml:space="preserve">Despedida em grande estilo </t>
  </si>
  <si>
    <t>Desobediência</t>
  </si>
  <si>
    <t>Designated Survivor</t>
  </si>
  <si>
    <t>Desejos da Tarde</t>
  </si>
  <si>
    <t>Desejo Obsessivo</t>
  </si>
  <si>
    <t>Desejo e Reparação</t>
  </si>
  <si>
    <t>Desejo e Perigo</t>
  </si>
  <si>
    <t>Descendentes</t>
  </si>
  <si>
    <t>Desaparecidas</t>
  </si>
  <si>
    <t>Desafio no Gelo</t>
  </si>
  <si>
    <t>Desafio no Bronx</t>
  </si>
  <si>
    <t>Depois do Universo</t>
  </si>
  <si>
    <t xml:space="preserve">Depois do Casamento </t>
  </si>
  <si>
    <t>Depois do Casamento</t>
  </si>
  <si>
    <t>Depois de horas</t>
  </si>
  <si>
    <t>Depois da Caçada</t>
  </si>
  <si>
    <t>Depois da cabana</t>
  </si>
  <si>
    <t>Dentro da Casa</t>
  </si>
  <si>
    <t>Dente Canino</t>
  </si>
  <si>
    <t>Demolição</t>
  </si>
  <si>
    <t>Dele &amp; Dela</t>
  </si>
  <si>
    <t>Deixe-o Partir</t>
  </si>
  <si>
    <t>Deixa Ela Entrar</t>
  </si>
  <si>
    <t>Decisão de risco</t>
  </si>
  <si>
    <t>Dear Zachary: Um Caso Chocante</t>
  </si>
  <si>
    <t>De volta ao Jogo</t>
  </si>
  <si>
    <t>De Volta à Terra</t>
  </si>
  <si>
    <t>De Volta à Córsega</t>
  </si>
  <si>
    <t>De Salto Alto</t>
  </si>
  <si>
    <t>De Repente uma Família</t>
  </si>
  <si>
    <t>De quem estamos fugindo?</t>
  </si>
  <si>
    <t>De Olhos Bem Fechados</t>
  </si>
  <si>
    <t xml:space="preserve">Days when the rains came </t>
  </si>
  <si>
    <t>David contra os bancos</t>
  </si>
  <si>
    <t>Netflix/My family</t>
  </si>
  <si>
    <t>Dara of Jasenovac</t>
  </si>
  <si>
    <t>Dangal</t>
  </si>
  <si>
    <t xml:space="preserve">Dançando no Escuro </t>
  </si>
  <si>
    <t>Dança Comigo</t>
  </si>
  <si>
    <t>Dança com Lobos</t>
  </si>
  <si>
    <t>Dália Negra</t>
  </si>
  <si>
    <t>Cyrano Mon Amour</t>
  </si>
  <si>
    <t>Custódia</t>
  </si>
  <si>
    <t>Custe o que custar</t>
  </si>
  <si>
    <t>Cuba and the Cameraman</t>
  </si>
  <si>
    <t>Cry Macho: O Caminho para Redenção</t>
  </si>
  <si>
    <t xml:space="preserve">Cruella </t>
  </si>
  <si>
    <t>Criminosos de Novembro</t>
  </si>
  <si>
    <t>Crimes de Familia</t>
  </si>
  <si>
    <t>Crime de uma Dinastia-O Caso Murdaugh</t>
  </si>
  <si>
    <t>Criaturas Extraordinariamente Brilhantes</t>
  </si>
  <si>
    <t xml:space="preserve">Crepúsculo dos Deuses </t>
  </si>
  <si>
    <t>Cowboys</t>
  </si>
  <si>
    <t>Cova Rasa</t>
  </si>
  <si>
    <t>Corvo Branco</t>
  </si>
  <si>
    <t>Corra, Lola, Corra</t>
  </si>
  <si>
    <t>HBO/Apple</t>
  </si>
  <si>
    <t>Corra!</t>
  </si>
  <si>
    <t>Corpos Ardentes</t>
  </si>
  <si>
    <t>Corpo em Chamas</t>
  </si>
  <si>
    <t>Corpo e Alma</t>
  </si>
  <si>
    <t>Coringa: delírio a dois</t>
  </si>
  <si>
    <t>Coringa</t>
  </si>
  <si>
    <t>Google/HBO</t>
  </si>
  <si>
    <t>Corações de Ferro</t>
  </si>
  <si>
    <t>Coração Valente</t>
  </si>
  <si>
    <t xml:space="preserve">Cópia Fiel </t>
  </si>
  <si>
    <t>Copacabana</t>
  </si>
  <si>
    <t xml:space="preserve">Contratempos </t>
  </si>
  <si>
    <t>Contra o Tempo</t>
  </si>
  <si>
    <t>Contra a Parede</t>
  </si>
  <si>
    <t>Contra a Corrente</t>
  </si>
  <si>
    <t>Contatos de 4º Grau</t>
  </si>
  <si>
    <t>Contato</t>
  </si>
  <si>
    <t>Conta Comigo</t>
  </si>
  <si>
    <t>Conspiradores</t>
  </si>
  <si>
    <t xml:space="preserve">Conflitos Internos </t>
  </si>
  <si>
    <t>Confie em Mim</t>
  </si>
  <si>
    <t>Confidence - O Golpe Perfeito</t>
  </si>
  <si>
    <t>Conduzindo Miss Daisy</t>
  </si>
  <si>
    <t>Conduzindo Madeleine</t>
  </si>
  <si>
    <t>Conduta de Risco</t>
  </si>
  <si>
    <t xml:space="preserve">Conclave </t>
  </si>
  <si>
    <t>Como Viver até os 100: Os Segredos das Zonas Azuis</t>
  </si>
  <si>
    <t>Como um relâmpago</t>
  </si>
  <si>
    <t xml:space="preserve">Como se Fosse a Primeira Vez </t>
  </si>
  <si>
    <t>Como nossos pais</t>
  </si>
  <si>
    <t>Como ganhar milhões antes que a avó morra</t>
  </si>
  <si>
    <t>Como eu era antes de Você</t>
  </si>
  <si>
    <t xml:space="preserve">Como Estrelas na Terra </t>
  </si>
  <si>
    <t>Como Era Verde o Meu Vale</t>
  </si>
  <si>
    <t>Como cuidar de um bebê elefante</t>
  </si>
  <si>
    <t>Como água para chocolate</t>
  </si>
  <si>
    <t>Comer, Rezar, Amar</t>
  </si>
  <si>
    <t>Netflix/Sony</t>
  </si>
  <si>
    <t>Combinação Perfeita</t>
  </si>
  <si>
    <t>Com Amor e Fúria</t>
  </si>
  <si>
    <t>Collateral</t>
  </si>
  <si>
    <t>Cold Mountain</t>
  </si>
  <si>
    <t xml:space="preserve">Colcha de Retalhos </t>
  </si>
  <si>
    <t>Colateral</t>
  </si>
  <si>
    <t>Coisa mais linda</t>
  </si>
  <si>
    <t>Coherence</t>
  </si>
  <si>
    <t>Unitv</t>
  </si>
  <si>
    <t>Códigos de Guerra</t>
  </si>
  <si>
    <t xml:space="preserve">Código para o inferno </t>
  </si>
  <si>
    <t>Coda</t>
  </si>
  <si>
    <t>Coco antes de Chanel</t>
  </si>
  <si>
    <t xml:space="preserve">Clube de Compras Dallas </t>
  </si>
  <si>
    <t>Clube da Luta</t>
  </si>
  <si>
    <t>Close-Up</t>
  </si>
  <si>
    <t>Closer-Perto Demais</t>
  </si>
  <si>
    <t>Close</t>
  </si>
  <si>
    <t>Prime/Não tem</t>
  </si>
  <si>
    <t>Clickbait</t>
  </si>
  <si>
    <t>Citation</t>
  </si>
  <si>
    <t xml:space="preserve">Cisne Negro </t>
  </si>
  <si>
    <t xml:space="preserve">Circulo de Fogo </t>
  </si>
  <si>
    <t>Cinquenta Tons de Cinza</t>
  </si>
  <si>
    <t>Cinema Paradiso</t>
  </si>
  <si>
    <t>Cinco Graças</t>
  </si>
  <si>
    <t>Cilada</t>
  </si>
  <si>
    <t>Cidade dos sonhos</t>
  </si>
  <si>
    <t>Cidade de Gelo</t>
  </si>
  <si>
    <t>Cidadão Kane</t>
  </si>
  <si>
    <t>Chuva Negra</t>
  </si>
  <si>
    <t>Microsoft/Apple</t>
  </si>
  <si>
    <t>Chumbo Grosso</t>
  </si>
  <si>
    <t>Chocolate</t>
  </si>
  <si>
    <t>Chocolat</t>
  </si>
  <si>
    <t>Chico: Artista Brasileiro</t>
  </si>
  <si>
    <t>Chicago</t>
  </si>
  <si>
    <t>Chernobyl</t>
  </si>
  <si>
    <t>Chega de Saudade</t>
  </si>
  <si>
    <t>Chamas do destino</t>
  </si>
  <si>
    <t xml:space="preserve">Chamas da Vingança </t>
  </si>
  <si>
    <t>César Deve Morrer</t>
  </si>
  <si>
    <t>Central do Brasil</t>
  </si>
  <si>
    <t>Cenas de um Casamento</t>
  </si>
  <si>
    <t>Cem Anos de Solidão</t>
  </si>
  <si>
    <t>Cavalo de Guerra</t>
  </si>
  <si>
    <t>Catarina, A Grande</t>
  </si>
  <si>
    <t>Catálogo</t>
  </si>
  <si>
    <t>Castelo de Areia</t>
  </si>
  <si>
    <t>Caso 39</t>
  </si>
  <si>
    <t>Casablanca</t>
  </si>
  <si>
    <t>Casa vazia</t>
  </si>
  <si>
    <t>Casa Gucci</t>
  </si>
  <si>
    <t>Casa de Areia e Nevoa</t>
  </si>
  <si>
    <t>Casa de Areia</t>
  </si>
  <si>
    <t>Casa Comigo?</t>
  </si>
  <si>
    <t>Cartas de Iwo Jima</t>
  </si>
  <si>
    <t>Globo/ Looke</t>
  </si>
  <si>
    <t xml:space="preserve">Carol </t>
  </si>
  <si>
    <t>Carne Trêmula</t>
  </si>
  <si>
    <t>Caráter</t>
  </si>
  <si>
    <t>Capote</t>
  </si>
  <si>
    <t>Capitão Phillips</t>
  </si>
  <si>
    <t>Capadocia</t>
  </si>
  <si>
    <t>Cantando na Chuva</t>
  </si>
  <si>
    <t>Candelária</t>
  </si>
  <si>
    <t>Candelabro Italiano</t>
  </si>
  <si>
    <t>Câncer com Ascendente em Virgem</t>
  </si>
  <si>
    <t>Camisa de força</t>
  </si>
  <si>
    <t>Caminho da Liberdade</t>
  </si>
  <si>
    <t>Calmaria</t>
  </si>
  <si>
    <t>Califado</t>
  </si>
  <si>
    <t>Caixa Preta</t>
  </si>
  <si>
    <t>Café com Aroma de Mulher</t>
  </si>
  <si>
    <t>Cafarnaum</t>
  </si>
  <si>
    <t>Cães de Aluguel</t>
  </si>
  <si>
    <t>Cadê Você, Bernadette?</t>
  </si>
  <si>
    <t>Caçadores de Emoção: Além do limite</t>
  </si>
  <si>
    <t>Cabrini</t>
  </si>
  <si>
    <t>Caballos Salvajes</t>
  </si>
  <si>
    <t>C.R.A.Z.Y. - Loucos de Amor</t>
  </si>
  <si>
    <t xml:space="preserve">Butch Cassidy </t>
  </si>
  <si>
    <t>Buscando</t>
  </si>
  <si>
    <t>Buena Vista Social Club</t>
  </si>
  <si>
    <t>Brooklyn:Sem Pai nem Mãe</t>
  </si>
  <si>
    <t>Bronx</t>
  </si>
  <si>
    <t>Brilho eterno de uma mente sem lembranças</t>
  </si>
  <si>
    <t>Prime/Looke</t>
  </si>
  <si>
    <t>Bridgerton</t>
  </si>
  <si>
    <t>Breaking Bad</t>
  </si>
  <si>
    <t>Bravura indômita</t>
  </si>
  <si>
    <t>Boyhood: Da infância à juventude</t>
  </si>
  <si>
    <t>Borgia</t>
  </si>
  <si>
    <t>Borgen</t>
  </si>
  <si>
    <t>Borbulhas de amor</t>
  </si>
  <si>
    <t>Borboletas Negras</t>
  </si>
  <si>
    <t>Borat: O Segundo Melhor Repórter do Glorioso País Cazaquistão Viaja à América</t>
  </si>
  <si>
    <t>Boots</t>
  </si>
  <si>
    <t>Boogie Nights: Prazer Sem Limites</t>
  </si>
  <si>
    <t>Bonnie e Clyde: Uma Rajada de Balas</t>
  </si>
  <si>
    <t>Bom dia, Verônica</t>
  </si>
  <si>
    <t>Bolívar: Una lucha admirable</t>
  </si>
  <si>
    <t>Bohemian Rhapsody</t>
  </si>
  <si>
    <t>Boa Sorte, Léo Grande</t>
  </si>
  <si>
    <t>Boa Noite, Mamãe</t>
  </si>
  <si>
    <t>Boa Noite e Boa Sorte</t>
  </si>
  <si>
    <t>Bnei Aruba</t>
  </si>
  <si>
    <t>Blue Jay</t>
  </si>
  <si>
    <t>Blue Jasmine</t>
  </si>
  <si>
    <t xml:space="preserve">Blonde </t>
  </si>
  <si>
    <t>Bleak house</t>
  </si>
  <si>
    <t>Black Tea - O Aroma do Amor</t>
  </si>
  <si>
    <t>Black Rabbit</t>
  </si>
  <si>
    <t>Black doves</t>
  </si>
  <si>
    <t>Black Bird</t>
  </si>
  <si>
    <t>Bistrô Romantique</t>
  </si>
  <si>
    <t>Birdman ou (A Inesperada Virtude da Ignorância)</t>
  </si>
  <si>
    <t xml:space="preserve">Bird Box </t>
  </si>
  <si>
    <t xml:space="preserve">Billy Elliot </t>
  </si>
  <si>
    <t>Big Little Lies</t>
  </si>
  <si>
    <t>Bicho de Sete Cabeças</t>
  </si>
  <si>
    <t>Better Call Saul</t>
  </si>
  <si>
    <t>Berço de ouro</t>
  </si>
  <si>
    <t>Benzinho</t>
  </si>
  <si>
    <t xml:space="preserve">Ben-Hur </t>
  </si>
  <si>
    <t>Bem-Vindo à Marly-Gomont</t>
  </si>
  <si>
    <t>Belgravia</t>
  </si>
  <si>
    <t>Belfast</t>
  </si>
  <si>
    <t>Beleza Oculta</t>
  </si>
  <si>
    <t>Beleza Americana</t>
  </si>
  <si>
    <t>Belén: Uma história de injustiça</t>
  </si>
  <si>
    <t>Bela Vingança</t>
  </si>
  <si>
    <t>Beirute</t>
  </si>
  <si>
    <t>Beckett</t>
  </si>
  <si>
    <t>Bebe Rena</t>
  </si>
  <si>
    <t>Beaufort</t>
  </si>
  <si>
    <t>Batman: O Cavaleiro das Trevas Ressurge</t>
  </si>
  <si>
    <t>Batman: O Cavaleiro das Trevas</t>
  </si>
  <si>
    <t>Batman Begins</t>
  </si>
  <si>
    <t>Batalhão 6888</t>
  </si>
  <si>
    <t>Bastardos Inglorios</t>
  </si>
  <si>
    <t>Barry Lyndon</t>
  </si>
  <si>
    <t xml:space="preserve">Bar Doce Lar </t>
  </si>
  <si>
    <t>Band of Brothers</t>
  </si>
  <si>
    <t>2001</t>
  </si>
  <si>
    <t>Balzac e a Costureirinha Chinesa</t>
  </si>
  <si>
    <t>Bala Perdida</t>
  </si>
  <si>
    <t>Bagdad Café</t>
  </si>
  <si>
    <t>Bagagem de risco</t>
  </si>
  <si>
    <t>Bacurau</t>
  </si>
  <si>
    <t>Babygirl</t>
  </si>
  <si>
    <t>Babel</t>
  </si>
  <si>
    <t>Prime/Apple</t>
  </si>
  <si>
    <t xml:space="preserve">Baaria - A Porta do Vento </t>
  </si>
  <si>
    <t>Baahubali 2: A conclusão</t>
  </si>
  <si>
    <t>Azul é a Cor mais Quente</t>
  </si>
  <si>
    <t xml:space="preserve">Avatar </t>
  </si>
  <si>
    <t>Australia</t>
  </si>
  <si>
    <t>Atypical</t>
  </si>
  <si>
    <t>Através da Minha Janela</t>
  </si>
  <si>
    <t>Atleta A</t>
  </si>
  <si>
    <t>Atentado ao Hotel Taj Mahal</t>
  </si>
  <si>
    <t>Telecine/Now</t>
  </si>
  <si>
    <t>Até o Último Homem</t>
  </si>
  <si>
    <t>Até a última gota</t>
  </si>
  <si>
    <t>Ataque dos cães</t>
  </si>
  <si>
    <t>Ata-me</t>
  </si>
  <si>
    <t xml:space="preserve">Assunto de Familia </t>
  </si>
  <si>
    <t>Assassinos da Lua das Flores</t>
  </si>
  <si>
    <t>Assassino Sem Rastro</t>
  </si>
  <si>
    <t>Assassino por Acaso</t>
  </si>
  <si>
    <t>Assassinato às Cegas</t>
  </si>
  <si>
    <t xml:space="preserve">Assalto Brutal </t>
  </si>
  <si>
    <t xml:space="preserve">Ascensão do Cisne Negro </t>
  </si>
  <si>
    <t>As Viúvas</t>
  </si>
  <si>
    <t>As Vantagens de ser invisível</t>
  </si>
  <si>
    <t>As Três Filhas</t>
  </si>
  <si>
    <t>As Telefonistas</t>
  </si>
  <si>
    <t>As Sufragistas</t>
  </si>
  <si>
    <t>As Quatro Plumas</t>
  </si>
  <si>
    <t>As primeiras férias não se esquece jamais!</t>
  </si>
  <si>
    <t>As Pontes de Madison</t>
  </si>
  <si>
    <t>As Palavras</t>
  </si>
  <si>
    <t>As Ovelhas Detetives</t>
  </si>
  <si>
    <t>As Neves do Kilimanjaro</t>
  </si>
  <si>
    <t>As Neves do Kilimandjaro</t>
  </si>
  <si>
    <t>As Nadadoras</t>
  </si>
  <si>
    <t>As Mulheres do Sexto Andar</t>
  </si>
  <si>
    <t>As Mães do Terceiro Reich</t>
  </si>
  <si>
    <t>Prime/Netflix</t>
  </si>
  <si>
    <t>As Linhas Tortas de Deus</t>
  </si>
  <si>
    <t>As Leis de Lidia Poet</t>
  </si>
  <si>
    <t>As Invasões bárbaras</t>
  </si>
  <si>
    <t>As Idades do Amor</t>
  </si>
  <si>
    <t>As Horas</t>
  </si>
  <si>
    <t>As flores perdidas de Alice Hart</t>
  </si>
  <si>
    <t>As Falsas Confidências</t>
  </si>
  <si>
    <t>As Espiãs de Churchill</t>
  </si>
  <si>
    <t>As Duas Faces de um Crime</t>
  </si>
  <si>
    <t>As Duas Faces de Janeiro</t>
  </si>
  <si>
    <t>As Consequencias do amor</t>
  </si>
  <si>
    <t>As Confissões de Schmidt</t>
  </si>
  <si>
    <t>Voo Azul</t>
  </si>
  <si>
    <t>As Coisas Simples da Vida</t>
  </si>
  <si>
    <t>As Aventuras de Pi</t>
  </si>
  <si>
    <t>Aruanas</t>
  </si>
  <si>
    <t>Arremessando Alto</t>
  </si>
  <si>
    <t>Arranca-me a vida</t>
  </si>
  <si>
    <t>Arnaldo, Sessenta</t>
  </si>
  <si>
    <t>Armas na mesa</t>
  </si>
  <si>
    <t>Argo</t>
  </si>
  <si>
    <t>Argentina, 1985</t>
  </si>
  <si>
    <t>Argentina</t>
  </si>
  <si>
    <t>Areia movediça</t>
  </si>
  <si>
    <t>Aquarius</t>
  </si>
  <si>
    <t>Now/Netflix</t>
  </si>
  <si>
    <t>Apresentando os Ricardos</t>
  </si>
  <si>
    <t>Apocalypto</t>
  </si>
  <si>
    <t>Apocalypse Now</t>
  </si>
  <si>
    <t>Apesar de Tudo</t>
  </si>
  <si>
    <t>Apenas uma Noite</t>
  </si>
  <si>
    <t>Apenas um olhar</t>
  </si>
  <si>
    <t>Apenas Um Garoto em Nova York</t>
  </si>
  <si>
    <t>Antônia - Uma Sinfonia</t>
  </si>
  <si>
    <t>Antes Que o Mundo Acabe</t>
  </si>
  <si>
    <t>Antes que eu me esqueça</t>
  </si>
  <si>
    <t xml:space="preserve">Antes do Por-do-Sol </t>
  </si>
  <si>
    <t>Antes do Amanhecer</t>
  </si>
  <si>
    <t>Antes de Partir</t>
  </si>
  <si>
    <t xml:space="preserve">Antes da Meia-Noite </t>
  </si>
  <si>
    <t>Antes da Chuva</t>
  </si>
  <si>
    <t>Anora</t>
  </si>
  <si>
    <t>Anônimo</t>
  </si>
  <si>
    <t>AnneFrank - Parallel Stories</t>
  </si>
  <si>
    <t>Anne Frank, minha melhor amiga</t>
  </si>
  <si>
    <t>Anne com um E</t>
  </si>
  <si>
    <t>Animais noturnos</t>
  </si>
  <si>
    <t>Ângela</t>
  </si>
  <si>
    <t>Anatomia de uma queda</t>
  </si>
  <si>
    <t>Anatomia de um escândalo</t>
  </si>
  <si>
    <t>Ana Bolena - A Rainha</t>
  </si>
  <si>
    <t xml:space="preserve">Amour </t>
  </si>
  <si>
    <t>Amores Solitários</t>
  </si>
  <si>
    <t>Amores Brutos</t>
  </si>
  <si>
    <t>Amor, Sublime Amor</t>
  </si>
  <si>
    <t>Amor sem Fronteiras</t>
  </si>
  <si>
    <t>Amor Sem Escalas</t>
  </si>
  <si>
    <t>Amor Pleno</t>
  </si>
  <si>
    <t xml:space="preserve">Amor Moderno </t>
  </si>
  <si>
    <t>Amor Garantido</t>
  </si>
  <si>
    <t>Amor Extremo</t>
  </si>
  <si>
    <t>Amor esquecido</t>
  </si>
  <si>
    <t>Amor em Obras</t>
  </si>
  <si>
    <t>Amor e Morte</t>
  </si>
  <si>
    <t>Amor de Redenção</t>
  </si>
  <si>
    <t>Amor ao Primeiro Filho</t>
  </si>
  <si>
    <t>Amor ao primeiro beijo</t>
  </si>
  <si>
    <t xml:space="preserve">Amor a Toda Prova </t>
  </si>
  <si>
    <t>Amor à Segunda Vista</t>
  </si>
  <si>
    <t>Amor à Flor da Pele</t>
  </si>
  <si>
    <t>Amor &amp; Tulipas</t>
  </si>
  <si>
    <t>Amor</t>
  </si>
  <si>
    <t>Globo/Apple TV</t>
  </si>
  <si>
    <t>Ammonite</t>
  </si>
  <si>
    <t>Amizades Improváveis</t>
  </si>
  <si>
    <t>Amistad</t>
  </si>
  <si>
    <t>Netflix/YouTube</t>
  </si>
  <si>
    <t>American Playboy: The Hugh Hefner Story</t>
  </si>
  <si>
    <t>American Fiction</t>
  </si>
  <si>
    <t>Ambição</t>
  </si>
  <si>
    <t>Amarras do Amor</t>
  </si>
  <si>
    <t>Amarga Sinfonia de Auschwitz</t>
  </si>
  <si>
    <t xml:space="preserve">Amarcord </t>
  </si>
  <si>
    <t>Amantes</t>
  </si>
  <si>
    <t>Amante a Domicílio</t>
  </si>
  <si>
    <t>Ama-me</t>
  </si>
  <si>
    <t>Amadeus</t>
  </si>
  <si>
    <t>Alô, Dolly!</t>
  </si>
  <si>
    <t>Allen contra Farrow</t>
  </si>
  <si>
    <t>All her fault</t>
  </si>
  <si>
    <t>Alias Grace</t>
  </si>
  <si>
    <t>Aliados</t>
  </si>
  <si>
    <t>Além do tempo</t>
  </si>
  <si>
    <t>Além das Montanhas</t>
  </si>
  <si>
    <t>Além da linha vermelha</t>
  </si>
  <si>
    <t>Claro/Telecine</t>
  </si>
  <si>
    <t>Albert Nobbs</t>
  </si>
  <si>
    <t>Alba</t>
  </si>
  <si>
    <t>Alabama Monroe</t>
  </si>
  <si>
    <t xml:space="preserve">Al Hayba </t>
  </si>
  <si>
    <t>Ajudante de Natal</t>
  </si>
  <si>
    <t>Ajami</t>
  </si>
  <si>
    <t>AIR A História por tras do Logo</t>
  </si>
  <si>
    <t>Ainda Temos o Amanhã</t>
  </si>
  <si>
    <t>Ainda Estou Aqui</t>
  </si>
  <si>
    <t>Águas Profundas</t>
  </si>
  <si>
    <t>Agnus dei</t>
  </si>
  <si>
    <t>Agente Duplo</t>
  </si>
  <si>
    <t>Aftersun</t>
  </si>
  <si>
    <t>After Life: Vocês vão ter de me engolir</t>
  </si>
  <si>
    <t>Afire</t>
  </si>
  <si>
    <t>Adú</t>
  </si>
  <si>
    <t>Adoráveis mulheres</t>
  </si>
  <si>
    <t>Adolescência</t>
  </si>
  <si>
    <t>Adeus, Meninos</t>
  </si>
  <si>
    <t>Adeus, Lenin</t>
  </si>
  <si>
    <t>Adeus June</t>
  </si>
  <si>
    <t>Adaptação</t>
  </si>
  <si>
    <t>Adam</t>
  </si>
  <si>
    <t>Across the Universe</t>
  </si>
  <si>
    <t>Acrimônia: Ela Quer Vingança</t>
  </si>
  <si>
    <t>Acredite em mim:A História de Lisa McVey</t>
  </si>
  <si>
    <t>Acima de qualquer suspeita</t>
  </si>
  <si>
    <t>Absentia</t>
  </si>
  <si>
    <t xml:space="preserve">Abril Despedaçado </t>
  </si>
  <si>
    <t>Abaixo de Zero</t>
  </si>
  <si>
    <t xml:space="preserve">A Wednesday </t>
  </si>
  <si>
    <t>A Voz Suprema do Blues</t>
  </si>
  <si>
    <t>A Voz do Empoderamento</t>
  </si>
  <si>
    <t>A Voz do Coração</t>
  </si>
  <si>
    <t xml:space="preserve">A voz de Hind Rajab </t>
  </si>
  <si>
    <t>A Volta ao Mundo em 80 dias</t>
  </si>
  <si>
    <t>A vizinha perfeita</t>
  </si>
  <si>
    <t>A Viúva Clicquot</t>
  </si>
  <si>
    <t>A Virgem Vermelha</t>
  </si>
  <si>
    <t>A Violeteira</t>
  </si>
  <si>
    <t>A vingança está na moda</t>
  </si>
  <si>
    <t>A Vida Pode Mudar</t>
  </si>
  <si>
    <t xml:space="preserve">A Vida no Paraiso </t>
  </si>
  <si>
    <t>A Vida em Si</t>
  </si>
  <si>
    <t>Prime/Youtube</t>
  </si>
  <si>
    <t>A Vida é bela</t>
  </si>
  <si>
    <t>A Vida é Agora</t>
  </si>
  <si>
    <t>A Vida e a História de Madam C.J.Walker</t>
  </si>
  <si>
    <t>A Vida dos Outros</t>
  </si>
  <si>
    <t>A Vida de uma Mulher</t>
  </si>
  <si>
    <t>A Vida de David Gale</t>
  </si>
  <si>
    <t>A verdadeira dor</t>
  </si>
  <si>
    <t>A Única saída</t>
  </si>
  <si>
    <t>A Última Sessão de Freud</t>
  </si>
  <si>
    <t>A Última Nota</t>
  </si>
  <si>
    <t>A Última Noite</t>
  </si>
  <si>
    <t>A Última Missão</t>
  </si>
  <si>
    <t>A Última Loucura de Claire Darling</t>
  </si>
  <si>
    <t>A Última Fronteira</t>
  </si>
  <si>
    <t>A Última Estação</t>
  </si>
  <si>
    <t>A Última Ceia</t>
  </si>
  <si>
    <t>A Última Carta de Amor</t>
  </si>
  <si>
    <t xml:space="preserve">A Troca </t>
  </si>
  <si>
    <t>A Trilha</t>
  </si>
  <si>
    <t>A Travessia</t>
  </si>
  <si>
    <t>A Teta Assustada</t>
  </si>
  <si>
    <t>A Teoria de Tudo</t>
  </si>
  <si>
    <t>A Substância</t>
  </si>
  <si>
    <t>A Sociedade Literária e a Torta de Casca de Batata</t>
  </si>
  <si>
    <t>A sociedade da neve</t>
  </si>
  <si>
    <t>A Separação</t>
  </si>
  <si>
    <t>A Senhora da Van</t>
  </si>
  <si>
    <t>A semente do fruto sagrado</t>
  </si>
  <si>
    <t>A Segunda Vista</t>
  </si>
  <si>
    <t>A Sala dos Professores</t>
  </si>
  <si>
    <t>A Saga da Família Forsyte</t>
  </si>
  <si>
    <t>A Rosa Púrpura do Cairo</t>
  </si>
  <si>
    <t>A Ressaca</t>
  </si>
  <si>
    <t>A Reserva</t>
  </si>
  <si>
    <t xml:space="preserve">A Rede Social </t>
  </si>
  <si>
    <t>A Rainha</t>
  </si>
  <si>
    <t>A Queda! As Últimas Horas de Hitler</t>
  </si>
  <si>
    <t>A Queda</t>
  </si>
  <si>
    <t>A Qualquer custo</t>
  </si>
  <si>
    <t>A Promessa</t>
  </si>
  <si>
    <t>A professora de piano</t>
  </si>
  <si>
    <t>À Procura de Eric</t>
  </si>
  <si>
    <t>À Procura da Felicidade</t>
  </si>
  <si>
    <t>À Procura</t>
  </si>
  <si>
    <t>A Princesa Prometida</t>
  </si>
  <si>
    <t>A Primeira Noite de um Homem</t>
  </si>
  <si>
    <t>A Ponte do Rio Kwai</t>
  </si>
  <si>
    <t>A Pior Pessoa do Mundo</t>
  </si>
  <si>
    <t>A Pequena Sereia</t>
  </si>
  <si>
    <t>A Pele que Habito</t>
  </si>
  <si>
    <t>A Partilha</t>
  </si>
  <si>
    <t xml:space="preserve">A Partida </t>
  </si>
  <si>
    <t>A Paixão de Augustine</t>
  </si>
  <si>
    <t xml:space="preserve">A Outra História Americana </t>
  </si>
  <si>
    <t>A Outra</t>
  </si>
  <si>
    <t>A Origem do Mundo</t>
  </si>
  <si>
    <t>A Origem</t>
  </si>
  <si>
    <t>A Opinião Pública</t>
  </si>
  <si>
    <t>A Onda</t>
  </si>
  <si>
    <t>A Odisseia dos Tontos</t>
  </si>
  <si>
    <t>A Odisseia</t>
  </si>
  <si>
    <t>UniTv</t>
  </si>
  <si>
    <t>A Noviça Rebelde</t>
  </si>
  <si>
    <t>À Noite Sonhamos</t>
  </si>
  <si>
    <t>A noite do fogo</t>
  </si>
  <si>
    <t>A Negociação</t>
  </si>
  <si>
    <t>A Mulher na  Janela</t>
  </si>
  <si>
    <t>A Mulher do Tenente Francês</t>
  </si>
  <si>
    <t>A Mulher da fila</t>
  </si>
  <si>
    <t xml:space="preserve">A Mula </t>
  </si>
  <si>
    <t>A Mosca</t>
  </si>
  <si>
    <t>A Menina Silenciosa</t>
  </si>
  <si>
    <t>A Menina que Roubava Livros</t>
  </si>
  <si>
    <t>A Menina que Matou os Pais</t>
  </si>
  <si>
    <t>A Memória Infinita</t>
  </si>
  <si>
    <t>A melhor irmã</t>
  </si>
  <si>
    <t>A Melhor Cartada</t>
  </si>
  <si>
    <t>A megera domada 2</t>
  </si>
  <si>
    <t xml:space="preserve">A Marcha dos Pinguins </t>
  </si>
  <si>
    <t>A Mão de Deus</t>
  </si>
  <si>
    <t>A Malvada</t>
  </si>
  <si>
    <t>A Luz entre Oceanos</t>
  </si>
  <si>
    <t>A Luta pela Esperança</t>
  </si>
  <si>
    <t>A Luta de uma Vida</t>
  </si>
  <si>
    <t>A Lula e a Baleia</t>
  </si>
  <si>
    <t>A Lua dos Amantes</t>
  </si>
  <si>
    <t xml:space="preserve">A Livraria </t>
  </si>
  <si>
    <t>A Lista de Schindler</t>
  </si>
  <si>
    <t>A Lista da Minha Vida</t>
  </si>
  <si>
    <t xml:space="preserve">A Lista </t>
  </si>
  <si>
    <t>A Linha Vermelha do Destino</t>
  </si>
  <si>
    <t xml:space="preserve">A Lição </t>
  </si>
  <si>
    <t>A Liberdade é Azul</t>
  </si>
  <si>
    <t>A Lavanderia</t>
  </si>
  <si>
    <t>A Lancheira</t>
  </si>
  <si>
    <t xml:space="preserve">A Jurada </t>
  </si>
  <si>
    <t>A Juíza</t>
  </si>
  <si>
    <t>A Jovem Rainha Vitória</t>
  </si>
  <si>
    <t>A Jovem Rainha</t>
  </si>
  <si>
    <t>A Jovem e o Mar</t>
  </si>
  <si>
    <t>A Isca</t>
  </si>
  <si>
    <t>A Irmandade da Guerra</t>
  </si>
  <si>
    <t>A Ira de Deus</t>
  </si>
  <si>
    <t>A Invenção de Hugo Cabret</t>
  </si>
  <si>
    <t>A intrometida</t>
  </si>
  <si>
    <t>A Intérprete</t>
  </si>
  <si>
    <t>A Incrível História de Adaline</t>
  </si>
  <si>
    <t>A Incrivel História da Ilha das Rosas</t>
  </si>
  <si>
    <t>A Imperatriz</t>
  </si>
  <si>
    <t>A Ilha</t>
  </si>
  <si>
    <t>A Idade Dourada</t>
  </si>
  <si>
    <t>A Hora mais escura</t>
  </si>
  <si>
    <t xml:space="preserve">A História Verdadeira </t>
  </si>
  <si>
    <t xml:space="preserve">A História Oficial </t>
  </si>
  <si>
    <t>A História do Som</t>
  </si>
  <si>
    <t>A História do Amor</t>
  </si>
  <si>
    <t>A História de um Soldado</t>
  </si>
  <si>
    <t>A História de Ron Clark</t>
  </si>
  <si>
    <t>A Grande Mentira</t>
  </si>
  <si>
    <t>A Grande marcha</t>
  </si>
  <si>
    <t>A Grande Jogada</t>
  </si>
  <si>
    <t xml:space="preserve">A Grande Ilusao </t>
  </si>
  <si>
    <t>A Grande Ilusão</t>
  </si>
  <si>
    <t>A Grande Fuga</t>
  </si>
  <si>
    <t>A Grande Descoberta</t>
  </si>
  <si>
    <t>A Grande Beleza</t>
  </si>
  <si>
    <t>A Grande Aposta</t>
  </si>
  <si>
    <t>A Gestora</t>
  </si>
  <si>
    <t>A Garota no Trem</t>
  </si>
  <si>
    <t>A Garota na Fita</t>
  </si>
  <si>
    <t>A Garota Francesa</t>
  </si>
  <si>
    <t>A Garota do Adeus</t>
  </si>
  <si>
    <t>A Garota Dinamarquesa</t>
  </si>
  <si>
    <t>Telecine/Looke/Google</t>
  </si>
  <si>
    <t>A Garota de Oslo</t>
  </si>
  <si>
    <t>A Garota da Foto</t>
  </si>
  <si>
    <t xml:space="preserve">A garota da agulha </t>
  </si>
  <si>
    <t>A garota canhota</t>
  </si>
  <si>
    <t>A Fratura</t>
  </si>
  <si>
    <t xml:space="preserve">A Fraternidade é Vermelha </t>
  </si>
  <si>
    <t>A Forma da Água</t>
  </si>
  <si>
    <t>A Força do Destino</t>
  </si>
  <si>
    <t>A Flor do meu segredo</t>
  </si>
  <si>
    <t>A Fita Branca</t>
  </si>
  <si>
    <t>A Filha Perdida</t>
  </si>
  <si>
    <t xml:space="preserve">A Filha do General </t>
  </si>
  <si>
    <t>A Felicidade Não Se Compra</t>
  </si>
  <si>
    <t>A Feiticeira da Guerra</t>
  </si>
  <si>
    <t>A Favorita</t>
  </si>
  <si>
    <t>A Fantástica Fábrica de Chocolate</t>
  </si>
  <si>
    <t>A Familia Perfeita</t>
  </si>
  <si>
    <t>A Familia Bélier</t>
  </si>
  <si>
    <t>A face oculta de Michael Jackson (Youtube)</t>
  </si>
  <si>
    <t>A Fabulosa Gilly Hopkins</t>
  </si>
  <si>
    <t>A Extraordinária Vida de Ibelin</t>
  </si>
  <si>
    <t>A Estranha Perfeita</t>
  </si>
  <si>
    <t>A Espuma dos Dias</t>
  </si>
  <si>
    <t>A Esposa de Tchaikovsky</t>
  </si>
  <si>
    <t xml:space="preserve">A Esposa  </t>
  </si>
  <si>
    <t>Telecine/Now/Google</t>
  </si>
  <si>
    <t xml:space="preserve">A Espiã </t>
  </si>
  <si>
    <t xml:space="preserve">À Espera de um Milagre </t>
  </si>
  <si>
    <t>A Escolha de Sofia</t>
  </si>
  <si>
    <t xml:space="preserve">A Escavação </t>
  </si>
  <si>
    <t>A escada</t>
  </si>
  <si>
    <t>A Era do Gelo 2</t>
  </si>
  <si>
    <t>A Empregada</t>
  </si>
  <si>
    <t>A Distância que nos une</t>
  </si>
  <si>
    <t>A Despedida</t>
  </si>
  <si>
    <t xml:space="preserve">Telecine </t>
  </si>
  <si>
    <t>A Desordem que Ficou</t>
  </si>
  <si>
    <t>À Deriva</t>
  </si>
  <si>
    <t xml:space="preserve">A Delicadeza do Amor </t>
  </si>
  <si>
    <t>A dança das paixões</t>
  </si>
  <si>
    <t>A Dama Dourada</t>
  </si>
  <si>
    <t>Now/Google</t>
  </si>
  <si>
    <t>A Dama de Vermelho</t>
  </si>
  <si>
    <t xml:space="preserve">A Culpa é das Estrelas </t>
  </si>
  <si>
    <t>A Criada</t>
  </si>
  <si>
    <t>A Cozinheira de Castamar</t>
  </si>
  <si>
    <t xml:space="preserve">A Cor Púrpura </t>
  </si>
  <si>
    <t>Google/Globo</t>
  </si>
  <si>
    <t>A Conversação</t>
  </si>
  <si>
    <t>A Conquista da Honra</t>
  </si>
  <si>
    <t>A Conexão Sueca</t>
  </si>
  <si>
    <t>A Chegada</t>
  </si>
  <si>
    <t xml:space="preserve">A Chave de Sarah </t>
  </si>
  <si>
    <t xml:space="preserve">A Chantagem  </t>
  </si>
  <si>
    <t>A Chance de Fahim</t>
  </si>
  <si>
    <t>A Catedral do Mar</t>
  </si>
  <si>
    <t>A Casa Monstro</t>
  </si>
  <si>
    <t>A Casa dos espiritos</t>
  </si>
  <si>
    <t>Claro/HBO</t>
  </si>
  <si>
    <t>A Casa das Flores</t>
  </si>
  <si>
    <t xml:space="preserve">A Caça </t>
  </si>
  <si>
    <t xml:space="preserve">A Cabana </t>
  </si>
  <si>
    <t>A Busca pela Justiça</t>
  </si>
  <si>
    <t>A Body That Works</t>
  </si>
  <si>
    <t>A Boa Esposa</t>
  </si>
  <si>
    <t xml:space="preserve">A Bilionária, o mordomo e o namorado </t>
  </si>
  <si>
    <t>A Bela Junie</t>
  </si>
  <si>
    <t>A Bela da Tarde</t>
  </si>
  <si>
    <t>A Batalha Esquecida</t>
  </si>
  <si>
    <t>A Baleia</t>
  </si>
  <si>
    <t>A Balada de Buster Scruggs</t>
  </si>
  <si>
    <t>A Árvore da Vida</t>
  </si>
  <si>
    <t>A Aparição</t>
  </si>
  <si>
    <t>A amiga genial</t>
  </si>
  <si>
    <t>A Agente</t>
  </si>
  <si>
    <t>A Acusada</t>
  </si>
  <si>
    <t>A Acusação</t>
  </si>
  <si>
    <t>A Acompanhante</t>
  </si>
  <si>
    <t>A 200 Metros</t>
  </si>
  <si>
    <t>A 13ª Emenda</t>
  </si>
  <si>
    <t>99 Casas</t>
  </si>
  <si>
    <t>93 Days</t>
  </si>
  <si>
    <t>90 Minutos no Paraíso</t>
  </si>
  <si>
    <t>88 Minutos</t>
  </si>
  <si>
    <t>8 em Istambul</t>
  </si>
  <si>
    <t>72 Horas</t>
  </si>
  <si>
    <t>7 Prisioneiros</t>
  </si>
  <si>
    <t>7 Mulheres e um Mistério</t>
  </si>
  <si>
    <t>5x Favela: Agora por Nós Mesmos</t>
  </si>
  <si>
    <t>50%</t>
  </si>
  <si>
    <t>45 do Segundo Tempo</t>
  </si>
  <si>
    <t>4 Meses, 3 Semanas e 2 Dias</t>
  </si>
  <si>
    <t>37 Segundos</t>
  </si>
  <si>
    <t>365 Days</t>
  </si>
  <si>
    <t>3 Macacos</t>
  </si>
  <si>
    <t xml:space="preserve">24 Horas Para Morrer </t>
  </si>
  <si>
    <t>22 de julho</t>
  </si>
  <si>
    <t>21 Gramas</t>
  </si>
  <si>
    <t>2046: Os Segredos do Amor</t>
  </si>
  <si>
    <t>2001: Uma Odisséia no Espaço</t>
  </si>
  <si>
    <t>20 dias em Mariupol</t>
  </si>
  <si>
    <t>2 Filhos de Francisco: A História de Zezé di Camargo &amp; Luciano</t>
  </si>
  <si>
    <t>2 Corações</t>
  </si>
  <si>
    <t>1976</t>
  </si>
  <si>
    <t>1923</t>
  </si>
  <si>
    <t>1917</t>
  </si>
  <si>
    <t>1883</t>
  </si>
  <si>
    <t>18 presents</t>
  </si>
  <si>
    <t>127 Horas</t>
  </si>
  <si>
    <t>12 Horas</t>
  </si>
  <si>
    <t>12 Homens e uma Sentença</t>
  </si>
  <si>
    <t xml:space="preserve">12 Heróis </t>
  </si>
  <si>
    <t xml:space="preserve">12 Anos de Escravidão </t>
  </si>
  <si>
    <t xml:space="preserve">100 metros </t>
  </si>
  <si>
    <t>007: Cassino Royale</t>
  </si>
  <si>
    <t>... E o vento levou</t>
  </si>
  <si>
    <t>(500) Dias com Ela</t>
  </si>
  <si>
    <t>DataHora</t>
  </si>
  <si>
    <t>Pessoa</t>
  </si>
  <si>
    <t>Numero</t>
  </si>
  <si>
    <t>Status</t>
  </si>
  <si>
    <t>Existente</t>
  </si>
  <si>
    <t>Novo</t>
  </si>
  <si>
    <t>Ivanete</t>
  </si>
  <si>
    <t>João</t>
  </si>
  <si>
    <t>2026-08-05 17:18</t>
  </si>
  <si>
    <t>2026-08-05 19:53</t>
  </si>
  <si>
    <t>2026-08-05 19:57</t>
  </si>
  <si>
    <t>2026-08-05 20:06</t>
  </si>
  <si>
    <t>2026-08-05 20:07</t>
  </si>
  <si>
    <t>2026-08-05 20:09</t>
  </si>
  <si>
    <t>2026-08-05 20:13</t>
  </si>
  <si>
    <t>2026-08-05 19:40</t>
  </si>
  <si>
    <t>2026-08-05 19:42</t>
  </si>
  <si>
    <t>2026-08-05 20:10</t>
  </si>
  <si>
    <t>2026-08-05 20:12</t>
  </si>
  <si>
    <t>2026-08-05 20:16</t>
  </si>
  <si>
    <t>2026-08-05 20:27</t>
  </si>
  <si>
    <t>2026-08-05 20:33</t>
  </si>
  <si>
    <t>2026-08-05 20:34</t>
  </si>
  <si>
    <t>2026-08-05 20:35</t>
  </si>
  <si>
    <t>2026-08-05 20:36</t>
  </si>
  <si>
    <t>2026-08-05 20:38</t>
  </si>
  <si>
    <t>2026-08-05 20:39</t>
  </si>
  <si>
    <t>2026-08-05 20:40</t>
  </si>
  <si>
    <t>2026-08-05 20:41</t>
  </si>
  <si>
    <t>2026-08-05 20:42</t>
  </si>
  <si>
    <t>2026-08-05 20:43</t>
  </si>
  <si>
    <t>2026-08-05 20:46</t>
  </si>
  <si>
    <t>2026-08-05 20:47</t>
  </si>
  <si>
    <t>2026-08-05 20:48</t>
  </si>
  <si>
    <t>2026-08-05 20:49</t>
  </si>
  <si>
    <t>2026-08-05 20:50</t>
  </si>
  <si>
    <t>2026-08-05 20:52</t>
  </si>
  <si>
    <t>2026-08-05 20:59</t>
  </si>
  <si>
    <t>2026-08-05 21:00</t>
  </si>
  <si>
    <t>2026-08-05 21:01</t>
  </si>
  <si>
    <t>2026-08-05 21:02</t>
  </si>
  <si>
    <t>2026-08-05 21:04</t>
  </si>
  <si>
    <t>2026-08-05 21:05</t>
  </si>
  <si>
    <t>2026-08-05 21:06</t>
  </si>
  <si>
    <t>2026-08-05 21:07</t>
  </si>
  <si>
    <t>2026-08-05 21:08</t>
  </si>
  <si>
    <t>2026-08-05 21:09</t>
  </si>
  <si>
    <t>2026-08-05 21:10</t>
  </si>
  <si>
    <t>2026-08-05 21:11</t>
  </si>
  <si>
    <t>2026-08-05 21:12</t>
  </si>
  <si>
    <t>2026-08-05 21:13</t>
  </si>
  <si>
    <t>2026-08-06 17:23</t>
  </si>
  <si>
    <t>2026-08-06 17:25</t>
  </si>
  <si>
    <t>2026-08-06 17:27</t>
  </si>
  <si>
    <t>2026-08-06 17:28</t>
  </si>
  <si>
    <t>2026-08-06 17:29</t>
  </si>
  <si>
    <t>2026-08-06 17:30</t>
  </si>
  <si>
    <t>2026-08-06 17:31</t>
  </si>
  <si>
    <t>2026-08-06 17:33</t>
  </si>
  <si>
    <t>2026-08-06 17:34</t>
  </si>
  <si>
    <t>2026-08-06 17:36</t>
  </si>
  <si>
    <t>2026-08-06 19:36</t>
  </si>
  <si>
    <t>2026-08-06 20:01</t>
  </si>
  <si>
    <t>2026-08-06 21:51</t>
  </si>
  <si>
    <t>2026-08-07 07:34</t>
  </si>
  <si>
    <t>2026-08-07 10:51</t>
  </si>
  <si>
    <t>2026-08-07 10:57</t>
  </si>
  <si>
    <t>2026-08-07 16:58</t>
  </si>
  <si>
    <t>2026-08-07 20:37</t>
  </si>
  <si>
    <t>2026-08-07 20:43</t>
  </si>
  <si>
    <t>2026-08-08 13:03</t>
  </si>
  <si>
    <t>2026-08-08 15:15</t>
  </si>
  <si>
    <t>2026-08-08 17:36</t>
  </si>
  <si>
    <t>2026-08-08 20:35</t>
  </si>
  <si>
    <t>2026-08-09 14:10</t>
  </si>
  <si>
    <t>2026-08-09 21:24</t>
  </si>
  <si>
    <t>2026-08-10 15:03</t>
  </si>
  <si>
    <t>2026-08-10 15:41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</si>
</sst>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4" x14ac:knownFonts="1">
    <font>
      <color theme="1"/>
      <family val="2"/>
      <scheme val="minor"/>
      <sz val="11"/>
      <name val="Calibri"/>
    </font>
    <font>
      <b/>
      <color rgb="FFC00000"/>
      <family val="2"/>
      <scheme val="minor"/>
      <sz val="16"/>
      <name val="Calibri"/>
    </font>
    <font>
      <color theme="1"/>
      <family val="2"/>
      <scheme val="minor"/>
      <sz val="18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b/>
      <u/>
      <family val="2"/>
      <scheme val="minor"/>
      <sz val="16"/>
      <name val="Calibri"/>
    </font>
    <font>
      <b/>
      <family val="2"/>
      <scheme val="minor"/>
      <sz val="18"/>
      <name val="Calibri"/>
    </font>
    <font>
      <b/>
      <family val="2"/>
      <scheme val="minor"/>
      <sz val="16"/>
      <name val="Calibri"/>
    </font>
    <font>
      <color rgb="FF0563C1"/>
      <sz val="18"/>
      <name val="Calibri"/>
    </font>
    <font>
      <family val="2"/>
      <scheme val="minor"/>
      <sz val="16"/>
      <name val="Calibri"/>
    </font>
    <font>
      <color rgb="FFFF0000"/>
      <family val="2"/>
      <scheme val="minor"/>
      <sz val="16"/>
      <name val="Calibri"/>
    </font>
    <font>
      <color rgb="FFC00000"/>
      <family val="2"/>
      <scheme val="minor"/>
      <sz val="16"/>
      <name val="Calibri"/>
    </font>
    <font>
      <b/>
      <color rgb="FFFF0000"/>
      <family val="2"/>
      <scheme val="minor"/>
      <sz val="16"/>
      <name val="Calibri"/>
    </font>
    <font>
      <b/>
      <color rgb="FF0563C1"/>
      <family val="2"/>
      <sz val="18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1" xfId="0" applyFont="1" applyBorder="1" applyAlignment="1" applyProtection="1">
      <alignment horizontal="center" vertical="top" textRotation="255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top" textRotation="255"/>
      <protection locked="0"/>
    </xf>
    <xf numFmtId="164" fontId="7" fillId="2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3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4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5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6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7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8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9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3" fillId="10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11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12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13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14" borderId="2" xfId="0" applyNumberFormat="1" applyFont="1" applyFill="1" applyBorder="1" applyAlignment="1" applyProtection="1">
      <alignment horizontal="center" vertical="top" wrapText="1" textRotation="255"/>
      <protection locked="0"/>
    </xf>
    <xf numFmtId="164" fontId="7" fillId="15" borderId="2" xfId="0" applyNumberFormat="1" applyFont="1" applyFill="1" applyBorder="1" applyAlignment="1" applyProtection="1">
      <alignment horizontal="center" vertical="top" wrapText="1" textRotation="255"/>
      <protection locked="0"/>
    </xf>
    <xf numFmtId="0" fontId="5" fillId="16" borderId="2" xfId="0" applyFont="1" applyFill="1" applyBorder="1" applyAlignment="1">
      <alignment horizontal="center" vertical="top" wrapText="1" textRotation="255"/>
    </xf>
    <xf numFmtId="2" fontId="5" fillId="16" borderId="2" xfId="0" applyNumberFormat="1" applyFont="1" applyFill="1" applyBorder="1" applyAlignment="1">
      <alignment horizontal="center" vertical="top" wrapText="1" textRotation="255"/>
    </xf>
    <xf numFmtId="2" fontId="5" fillId="17" borderId="2" xfId="0" applyNumberFormat="1" applyFont="1" applyFill="1" applyBorder="1" applyAlignment="1">
      <alignment horizontal="center" vertical="top" wrapText="1" textRotation="255"/>
    </xf>
    <xf numFmtId="2" fontId="5" fillId="17" borderId="0" xfId="0" applyNumberFormat="1" applyFont="1" applyFill="1" applyAlignment="1">
      <alignment horizontal="center" vertical="top" wrapText="1" textRotation="255"/>
    </xf>
    <xf numFmtId="165" fontId="0" fillId="0" borderId="0" xfId="0" applyNumberFormat="1"/>
    <xf numFmtId="1" fontId="7" fillId="2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9" fillId="1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1" fillId="16" borderId="2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0" fillId="16" borderId="2" xfId="0" applyFont="1" applyFill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164" fontId="9" fillId="3" borderId="0" xfId="0" applyNumberFormat="1" applyFont="1" applyFill="1" applyAlignment="1" applyProtection="1">
      <alignment horizontal="center" vertical="center" wrapText="1"/>
      <protection locked="0"/>
    </xf>
    <xf numFmtId="164" fontId="9" fillId="4" borderId="0" xfId="0" applyNumberFormat="1" applyFont="1" applyFill="1" applyAlignment="1" applyProtection="1">
      <alignment horizontal="center" vertical="center" wrapText="1"/>
      <protection locked="0"/>
    </xf>
    <xf numFmtId="164" fontId="9" fillId="5" borderId="0" xfId="0" applyNumberFormat="1" applyFont="1" applyFill="1" applyAlignment="1" applyProtection="1">
      <alignment horizontal="center" vertical="center" wrapText="1"/>
      <protection locked="0"/>
    </xf>
    <xf numFmtId="164" fontId="9" fillId="6" borderId="0" xfId="0" applyNumberFormat="1" applyFont="1" applyFill="1" applyAlignment="1" applyProtection="1">
      <alignment horizontal="center" vertical="center" wrapText="1"/>
      <protection locked="0"/>
    </xf>
    <xf numFmtId="164" fontId="9" fillId="7" borderId="0" xfId="0" applyNumberFormat="1" applyFont="1" applyFill="1" applyAlignment="1" applyProtection="1">
      <alignment horizontal="center" vertical="center" wrapText="1"/>
      <protection locked="0"/>
    </xf>
    <xf numFmtId="164" fontId="9" fillId="8" borderId="0" xfId="0" applyNumberFormat="1" applyFont="1" applyFill="1" applyAlignment="1" applyProtection="1">
      <alignment horizontal="center" vertical="center" wrapText="1"/>
      <protection locked="0"/>
    </xf>
    <xf numFmtId="164" fontId="9" fillId="9" borderId="0" xfId="0" applyNumberFormat="1" applyFont="1" applyFill="1" applyAlignment="1" applyProtection="1">
      <alignment horizontal="center" vertical="center" wrapText="1"/>
      <protection locked="0"/>
    </xf>
    <xf numFmtId="164" fontId="9" fillId="10" borderId="0" xfId="0" applyNumberFormat="1" applyFont="1" applyFill="1" applyAlignment="1" applyProtection="1">
      <alignment horizontal="center" vertical="center" wrapText="1"/>
      <protection locked="0"/>
    </xf>
    <xf numFmtId="164" fontId="9" fillId="11" borderId="0" xfId="0" applyNumberFormat="1" applyFont="1" applyFill="1" applyAlignment="1" applyProtection="1">
      <alignment horizontal="center" vertical="center" wrapText="1"/>
      <protection locked="0"/>
    </xf>
    <xf numFmtId="164" fontId="9" fillId="12" borderId="0" xfId="0" applyNumberFormat="1" applyFont="1" applyFill="1" applyAlignment="1" applyProtection="1">
      <alignment horizontal="center" vertical="center" wrapText="1"/>
      <protection locked="0"/>
    </xf>
    <xf numFmtId="164" fontId="9" fillId="13" borderId="0" xfId="0" applyNumberFormat="1" applyFont="1" applyFill="1" applyAlignment="1" applyProtection="1">
      <alignment horizontal="center" vertical="center" wrapText="1"/>
      <protection locked="0"/>
    </xf>
    <xf numFmtId="164" fontId="9" fillId="14" borderId="0" xfId="0" applyNumberFormat="1" applyFont="1" applyFill="1" applyAlignment="1" applyProtection="1">
      <alignment horizontal="center" vertical="center" wrapText="1"/>
      <protection locked="0"/>
    </xf>
    <xf numFmtId="164" fontId="9" fillId="15" borderId="0" xfId="0" applyNumberFormat="1" applyFont="1" applyFill="1" applyAlignment="1" applyProtection="1">
      <alignment horizontal="center" vertical="center" wrapText="1"/>
      <protection locked="0"/>
    </xf>
    <xf numFmtId="2" fontId="9" fillId="16" borderId="0" xfId="0" applyNumberFormat="1" applyFont="1" applyFill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5" fillId="0" borderId="3" xfId="0" applyFont="1" applyBorder="1" applyAlignment="1" applyProtection="1">
      <alignment horizontal="center" vertical="center"/>
      <protection locked="0"/>
    </xf>
    <xf numFmtId="1" fontId="12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5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6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7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8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9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0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1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2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3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4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15" borderId="2" xfId="0" applyNumberFormat="1" applyFont="1" applyFill="1" applyBorder="1" applyAlignment="1" applyProtection="1">
      <alignment horizontal="center" vertical="center" wrapText="1"/>
      <protection locked="0"/>
    </xf>
    <xf numFmtId="2" fontId="9" fillId="16" borderId="2" xfId="0" applyNumberFormat="1" applyFont="1" applyFill="1" applyBorder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mdb.com/title/tt0057831/" TargetMode="External"/><Relationship Id="rId2" Type="http://schemas.openxmlformats.org/officeDocument/2006/relationships/hyperlink" Target="https://www.imdb.com/title/tt2948356/" TargetMode="External"/><Relationship Id="rId3" Type="http://schemas.openxmlformats.org/officeDocument/2006/relationships/hyperlink" Target="https://www.imdb.com/title/tt9460858/" TargetMode="External"/><Relationship Id="rId4" Type="http://schemas.openxmlformats.org/officeDocument/2006/relationships/hyperlink" Target="https://www.imdb.com/title/tt7160372/" TargetMode="External"/><Relationship Id="rId5" Type="http://schemas.openxmlformats.org/officeDocument/2006/relationships/hyperlink" Target="https://www.imdb.com/title/tt0443706/" TargetMode="External"/><Relationship Id="rId6" Type="http://schemas.openxmlformats.org/officeDocument/2006/relationships/hyperlink" Target="https://www.imdb.com/title/tt4878612/" TargetMode="External"/><Relationship Id="rId7" Type="http://schemas.openxmlformats.org/officeDocument/2006/relationships/hyperlink" Target="https://www.imdb.com/title/tt0419279/" TargetMode="External"/><Relationship Id="rId8" Type="http://schemas.openxmlformats.org/officeDocument/2006/relationships/hyperlink" Target="https://www.imdb.com/title/tt8079248/" TargetMode="External"/><Relationship Id="rId9" Type="http://schemas.openxmlformats.org/officeDocument/2006/relationships/hyperlink" Target="https://www.imdb.com/title/tt0086619/" TargetMode="External"/><Relationship Id="rId10" Type="http://schemas.openxmlformats.org/officeDocument/2006/relationships/hyperlink" Target="https://www.imdb.com/title/tt4236770/" TargetMode="External"/><Relationship Id="rId11" Type="http://schemas.openxmlformats.org/officeDocument/2006/relationships/hyperlink" Target="https://www.imdb.com/title/tt15655276/" TargetMode="External"/><Relationship Id="rId12" Type="http://schemas.openxmlformats.org/officeDocument/2006/relationships/hyperlink" Target="https://www.imdb.com/title/tt0425210/" TargetMode="External"/><Relationship Id="rId13" Type="http://schemas.openxmlformats.org/officeDocument/2006/relationships/hyperlink" Target="https://www.imdb.com/title/tt33038128/" TargetMode="External"/><Relationship Id="rId14" Type="http://schemas.openxmlformats.org/officeDocument/2006/relationships/hyperlink" Target="https://www.imdb.com/title/tt4908644/" TargetMode="External"/><Relationship Id="rId15" Type="http://schemas.openxmlformats.org/officeDocument/2006/relationships/hyperlink" Target="https://www.imdb.com/title/tt2582802/" TargetMode="External"/><Relationship Id="rId16" Type="http://schemas.openxmlformats.org/officeDocument/2006/relationships/hyperlink" Target="https://www.imdb.com/title/tt2176037/" TargetMode="External"/><Relationship Id="rId17" Type="http://schemas.openxmlformats.org/officeDocument/2006/relationships/hyperlink" Target="https://www.imdb.com/title/tt4284010/" TargetMode="External"/><Relationship Id="rId18" Type="http://schemas.openxmlformats.org/officeDocument/2006/relationships/hyperlink" Target="https://www.imdb.com/title/tt1152850/" TargetMode="External"/><Relationship Id="rId19" Type="http://schemas.openxmlformats.org/officeDocument/2006/relationships/hyperlink" Target="https://www.imdb.com/title/tt1714210/" TargetMode="External"/><Relationship Id="rId20" Type="http://schemas.openxmlformats.org/officeDocument/2006/relationships/hyperlink" Target="https://www.imdb.com/title/tt6760876/" TargetMode="External"/><Relationship Id="rId21" Type="http://schemas.openxmlformats.org/officeDocument/2006/relationships/hyperlink" Target="https://www.imdb.com/title/tt0910970/" TargetMode="External"/><Relationship Id="rId22" Type="http://schemas.openxmlformats.org/officeDocument/2006/relationships/hyperlink" Target="https://www.imdb.com/title/tt1027718/" TargetMode="External"/><Relationship Id="rId23" Type="http://schemas.openxmlformats.org/officeDocument/2006/relationships/hyperlink" Target="https://www.imdb.com/title/tt5848416/" TargetMode="External"/><Relationship Id="rId24" Type="http://schemas.openxmlformats.org/officeDocument/2006/relationships/hyperlink" Target="https://www.imdb.com/title/tt0387914/" TargetMode="External"/><Relationship Id="rId25" Type="http://schemas.openxmlformats.org/officeDocument/2006/relationships/hyperlink" Target="https://www.imdb.com/title/tt15850486/" TargetMode="External"/><Relationship Id="rId26" Type="http://schemas.openxmlformats.org/officeDocument/2006/relationships/hyperlink" Target="https://www.imdb.com/title/tt20872980/" TargetMode="External"/><Relationship Id="rId27" Type="http://schemas.openxmlformats.org/officeDocument/2006/relationships/hyperlink" Target="https://www.imdb.com/title/tt0441909/" TargetMode="External"/><Relationship Id="rId28" Type="http://schemas.openxmlformats.org/officeDocument/2006/relationships/hyperlink" Target="https://www.imdb.com/title/tt6462958/" TargetMode="External"/><Relationship Id="rId29" Type="http://schemas.openxmlformats.org/officeDocument/2006/relationships/hyperlink" Target="https://www.imdb.com/title/tt8359816/" TargetMode="External"/><Relationship Id="rId30" Type="http://schemas.openxmlformats.org/officeDocument/2006/relationships/hyperlink" Target="https://www.imdb.com/title/tt13317694/" TargetMode="External"/><Relationship Id="rId31" Type="http://schemas.openxmlformats.org/officeDocument/2006/relationships/hyperlink" Target="https://www.imdb.com/title/tt14364480/" TargetMode="External"/><Relationship Id="rId32" Type="http://schemas.openxmlformats.org/officeDocument/2006/relationships/hyperlink" Target="https://www.imdb.com/title/tt9063902/" TargetMode="External"/><Relationship Id="rId33" Type="http://schemas.openxmlformats.org/officeDocument/2006/relationships/hyperlink" Target="https://www.imdb.com/title/tt9051908/" TargetMode="External"/><Relationship Id="rId34" Type="http://schemas.openxmlformats.org/officeDocument/2006/relationships/hyperlink" Target="https://www.imdb.com/title/tt2380307/" TargetMode="External"/><Relationship Id="rId35" Type="http://schemas.openxmlformats.org/officeDocument/2006/relationships/hyperlink" Target="https://www.imdb.com/title/tt5137338/" TargetMode="External"/><Relationship Id="rId36" Type="http://schemas.openxmlformats.org/officeDocument/2006/relationships/hyperlink" Target="https://www.imdb.com/title/tt26675379/" TargetMode="External"/><Relationship Id="rId37" Type="http://schemas.openxmlformats.org/officeDocument/2006/relationships/hyperlink" Target="https://www.imdb.com/title/tt3203890/" TargetMode="External"/><Relationship Id="rId38" Type="http://schemas.openxmlformats.org/officeDocument/2006/relationships/hyperlink" Target="https://www.imdb.com/title/tt4524056/" TargetMode="External"/><Relationship Id="rId39" Type="http://schemas.openxmlformats.org/officeDocument/2006/relationships/hyperlink" Target="https://www.imdb.com/title/tt9077530/" TargetMode="External"/><Relationship Id="rId40" Type="http://schemas.openxmlformats.org/officeDocument/2006/relationships/hyperlink" Target="https://www.imdb.com/title/tt0493175/" TargetMode="External"/><Relationship Id="rId41" Type="http://schemas.openxmlformats.org/officeDocument/2006/relationships/hyperlink" Target="https://www.imdb.com/title/tt10696784/" TargetMode="External"/><Relationship Id="rId42" Type="http://schemas.openxmlformats.org/officeDocument/2006/relationships/hyperlink" Target="https://www.imdb.com/title/tt30428143/" TargetMode="External"/><Relationship Id="rId43" Type="http://schemas.openxmlformats.org/officeDocument/2006/relationships/hyperlink" Target="https://www.imdb.com/title/tt2306299/" TargetMode="External"/><Relationship Id="rId44" Type="http://schemas.openxmlformats.org/officeDocument/2006/relationships/hyperlink" Target="https://www.imdb.com/title/tt1068641/" TargetMode="External"/><Relationship Id="rId45" Type="http://schemas.openxmlformats.org/officeDocument/2006/relationships/hyperlink" Target="https://www.imdb.com/title/tt13238346/" TargetMode="External"/><Relationship Id="rId46" Type="http://schemas.openxmlformats.org/officeDocument/2006/relationships/hyperlink" Target="https://www.imdb.com/title/tt7250056/" TargetMode="External"/><Relationship Id="rId47" Type="http://schemas.openxmlformats.org/officeDocument/2006/relationships/hyperlink" Target="https://www.imdb.com/title/tt5303668/" TargetMode="External"/><Relationship Id="rId48" Type="http://schemas.openxmlformats.org/officeDocument/2006/relationships/hyperlink" Target="https://www.imdb.com/title/tt2013293/" TargetMode="External"/><Relationship Id="rId49" Type="http://schemas.openxmlformats.org/officeDocument/2006/relationships/hyperlink" Target="https://www.imdb.com/title/tt0048028/" TargetMode="External"/><Relationship Id="rId50" Type="http://schemas.openxmlformats.org/officeDocument/2006/relationships/hyperlink" Target="https://www.imdb.com/title/tt6306064/" TargetMode="External"/><Relationship Id="rId51" Type="http://schemas.openxmlformats.org/officeDocument/2006/relationships/hyperlink" Target="https://www.imdb.com/title/tt0804505/" TargetMode="External"/><Relationship Id="rId52" Type="http://schemas.openxmlformats.org/officeDocument/2006/relationships/hyperlink" Target="https://www.imdb.com/title/tt5525650/" TargetMode="External"/><Relationship Id="rId53" Type="http://schemas.openxmlformats.org/officeDocument/2006/relationships/hyperlink" Target="https://www.imdb.com/title/tt10945274/" TargetMode="External"/><Relationship Id="rId54" Type="http://schemas.openxmlformats.org/officeDocument/2006/relationships/hyperlink" Target="https://www.imdb.com/title/tt5816682/" TargetMode="External"/><Relationship Id="rId55" Type="http://schemas.openxmlformats.org/officeDocument/2006/relationships/hyperlink" Target="https://www.imdb.com/title/tt0497465/" TargetMode="External"/><Relationship Id="rId56" Type="http://schemas.openxmlformats.org/officeDocument/2006/relationships/hyperlink" Target="https://www.imdb.com/title/tt6266538/" TargetMode="External"/><Relationship Id="rId57" Type="http://schemas.openxmlformats.org/officeDocument/2006/relationships/hyperlink" Target="https://www.imdb.com/title/tt0107943/" TargetMode="External"/><Relationship Id="rId58" Type="http://schemas.openxmlformats.org/officeDocument/2006/relationships/hyperlink" Target="https://www.imdb.com/title/tt3830558/" TargetMode="External"/><Relationship Id="rId59" Type="http://schemas.openxmlformats.org/officeDocument/2006/relationships/hyperlink" Target="https://www.imdb.com/title/tt28618488/" TargetMode="External"/><Relationship Id="rId60" Type="http://schemas.openxmlformats.org/officeDocument/2006/relationships/hyperlink" Target="https://www.imdb.com/title/tt5593384/" TargetMode="External"/><Relationship Id="rId61" Type="http://schemas.openxmlformats.org/officeDocument/2006/relationships/hyperlink" Target="https://www.imdb.com/title/tt0460989/" TargetMode="External"/><Relationship Id="rId62" Type="http://schemas.openxmlformats.org/officeDocument/2006/relationships/hyperlink" Target="https://www.imdb.com/title/tt7125774/" TargetMode="External"/><Relationship Id="rId63" Type="http://schemas.openxmlformats.org/officeDocument/2006/relationships/hyperlink" Target="https://www.imdb.com/title/tt0090756/" TargetMode="External"/><Relationship Id="rId64" Type="http://schemas.openxmlformats.org/officeDocument/2006/relationships/hyperlink" Target="https://www.imdb.com/title/tt27714581/" TargetMode="External"/><Relationship Id="rId65" Type="http://schemas.openxmlformats.org/officeDocument/2006/relationships/hyperlink" Target="https://www.imdb.com/title/tt29719218/" TargetMode="External"/><Relationship Id="rId66" Type="http://schemas.openxmlformats.org/officeDocument/2006/relationships/hyperlink" Target="https://www.imdb.com/title/tt0091251/" TargetMode="External"/><Relationship Id="rId67" Type="http://schemas.openxmlformats.org/officeDocument/2006/relationships/hyperlink" Target="https://www.imdb.com/title/tt0434409/" TargetMode="External"/><Relationship Id="rId68" Type="http://schemas.openxmlformats.org/officeDocument/2006/relationships/hyperlink" Target="https://www.imdb.com/title/tt1918911/" TargetMode="External"/><Relationship Id="rId69" Type="http://schemas.openxmlformats.org/officeDocument/2006/relationships/hyperlink" Target="https://www.imdb.com/title/tt1918911/" TargetMode="External"/><Relationship Id="rId70" Type="http://schemas.openxmlformats.org/officeDocument/2006/relationships/hyperlink" Target="https://www.imdb.com/title/tt8976696/" TargetMode="External"/><Relationship Id="rId71" Type="http://schemas.openxmlformats.org/officeDocument/2006/relationships/hyperlink" Target="https://www.imdb.com/title/tt13097932/" TargetMode="External"/><Relationship Id="rId72" Type="http://schemas.openxmlformats.org/officeDocument/2006/relationships/hyperlink" Target="https://www.imdb.com/title/tt5827916/" TargetMode="External"/><Relationship Id="rId73" Type="http://schemas.openxmlformats.org/officeDocument/2006/relationships/hyperlink" Target="https://www.imdb.com/title/tt4996328/" TargetMode="External"/><Relationship Id="rId74" Type="http://schemas.openxmlformats.org/officeDocument/2006/relationships/hyperlink" Target="https://www.imdb.com/title/tt5716464/" TargetMode="External"/><Relationship Id="rId75" Type="http://schemas.openxmlformats.org/officeDocument/2006/relationships/hyperlink" Target="https://www.imdb.com/title/tt13911628/" TargetMode="External"/><Relationship Id="rId76" Type="http://schemas.openxmlformats.org/officeDocument/2006/relationships/hyperlink" Target="https://www.imdb.com/title/tt1078588/" TargetMode="External"/><Relationship Id="rId77" Type="http://schemas.openxmlformats.org/officeDocument/2006/relationships/hyperlink" Target="https://www.imdb.com/title/tt20198716/" TargetMode="External"/><Relationship Id="rId78" Type="http://schemas.openxmlformats.org/officeDocument/2006/relationships/hyperlink" Target="https://www.imdb.com/title/tt14899624/" TargetMode="External"/><Relationship Id="rId79" Type="http://schemas.openxmlformats.org/officeDocument/2006/relationships/hyperlink" Target="https://www.imdb.com/title/tt1839642/" TargetMode="External"/><Relationship Id="rId80" Type="http://schemas.openxmlformats.org/officeDocument/2006/relationships/hyperlink" Target="https://www.imdb.com/title/tt10612922/" TargetMode="External"/><Relationship Id="rId81" Type="http://schemas.openxmlformats.org/officeDocument/2006/relationships/hyperlink" Target="https://www.imdb.com/title/tt3765078/" TargetMode="External"/><Relationship Id="rId82" Type="http://schemas.openxmlformats.org/officeDocument/2006/relationships/hyperlink" Target="https://www.imdb.com/title/tt5657452/" TargetMode="External"/><Relationship Id="rId83" Type="http://schemas.openxmlformats.org/officeDocument/2006/relationships/hyperlink" Target="https://www.imdb.com/title/tt5639354/" TargetMode="External"/><Relationship Id="rId84" Type="http://schemas.openxmlformats.org/officeDocument/2006/relationships/hyperlink" Target="https://www.imdb.com/title/tt34487780/" TargetMode="External"/><Relationship Id="rId85" Type="http://schemas.openxmlformats.org/officeDocument/2006/relationships/hyperlink" Target="https://www.imdb.com/title/tt0426578/" TargetMode="External"/><Relationship Id="rId86" Type="http://schemas.openxmlformats.org/officeDocument/2006/relationships/hyperlink" Target="https://www.imdb.com/title/tt0268978/" TargetMode="External"/><Relationship Id="rId87" Type="http://schemas.openxmlformats.org/officeDocument/2006/relationships/hyperlink" Target="https://www.imdb.com/title/tt14295590/" TargetMode="External"/><Relationship Id="rId88" Type="http://schemas.openxmlformats.org/officeDocument/2006/relationships/hyperlink" Target="https://www.imdb.com/title/tt15282148/" TargetMode="External"/><Relationship Id="rId89" Type="http://schemas.openxmlformats.org/officeDocument/2006/relationships/hyperlink" Target="https://www.imdb.com/title/tt0100405/" TargetMode="External"/><Relationship Id="rId90" Type="http://schemas.openxmlformats.org/officeDocument/2006/relationships/hyperlink" Target="https://www.imdb.com/title/tt0243664/" TargetMode="External"/><Relationship Id="rId91" Type="http://schemas.openxmlformats.org/officeDocument/2006/relationships/hyperlink" Target="https://www.imdb.com/title/tt0277027/" TargetMode="External"/><Relationship Id="rId92" Type="http://schemas.openxmlformats.org/officeDocument/2006/relationships/hyperlink" Target="https://www.imdb.com/title/tt0166896/" TargetMode="External"/><Relationship Id="rId93" Type="http://schemas.openxmlformats.org/officeDocument/2006/relationships/hyperlink" Target="https://www.imdb.com/title/tt0100046/" TargetMode="External"/><Relationship Id="rId94" Type="http://schemas.openxmlformats.org/officeDocument/2006/relationships/hyperlink" Target="https://www.imdb.com/title/tt4595186/" TargetMode="External"/><Relationship Id="rId95" Type="http://schemas.openxmlformats.org/officeDocument/2006/relationships/hyperlink" Target="https://www.imdb.com/title/tt22780536/" TargetMode="External"/><Relationship Id="rId96" Type="http://schemas.openxmlformats.org/officeDocument/2006/relationships/hyperlink" Target="https://www.imdb.com/title/tt26688282/" TargetMode="External"/><Relationship Id="rId97" Type="http://schemas.openxmlformats.org/officeDocument/2006/relationships/hyperlink" Target="https://www.imdb.com/title/tt12024308/" TargetMode="External"/><Relationship Id="rId98" Type="http://schemas.openxmlformats.org/officeDocument/2006/relationships/hyperlink" Target="https://www.imdb.com/title/tt7868082/" TargetMode="External"/><Relationship Id="rId99" Type="http://schemas.openxmlformats.org/officeDocument/2006/relationships/hyperlink" Target="https://www.imdb.com/title/tt1529569/" TargetMode="External"/><Relationship Id="rId100" Type="http://schemas.openxmlformats.org/officeDocument/2006/relationships/hyperlink" Target="https://www.imdb.com/title/tt2431250/" TargetMode="External"/><Relationship Id="rId101" Type="http://schemas.openxmlformats.org/officeDocument/2006/relationships/hyperlink" Target="https://www.imdb.com/title/tt14153080/" TargetMode="External"/><Relationship Id="rId102" Type="http://schemas.openxmlformats.org/officeDocument/2006/relationships/hyperlink" Target="https://www.imdb.com/title/tt30144839/" TargetMode="External"/><Relationship Id="rId103" Type="http://schemas.openxmlformats.org/officeDocument/2006/relationships/hyperlink" Target="https://www.imdb.com/title/tt29519507/" TargetMode="External"/><Relationship Id="rId104" Type="http://schemas.openxmlformats.org/officeDocument/2006/relationships/hyperlink" Target="https://www.imdb.com/title/tt0878804/" TargetMode="External"/><Relationship Id="rId105" Type="http://schemas.openxmlformats.org/officeDocument/2006/relationships/hyperlink" Target="https://www.imdb.com/title/tt0111161/" TargetMode="External"/><Relationship Id="rId106" Type="http://schemas.openxmlformats.org/officeDocument/2006/relationships/hyperlink" Target="https://www.imdb.com/title/tt2361509/" TargetMode="External"/><Relationship Id="rId107" Type="http://schemas.openxmlformats.org/officeDocument/2006/relationships/hyperlink" Target="https://www.imdb.com/title/tt0961108/" TargetMode="External"/><Relationship Id="rId108" Type="http://schemas.openxmlformats.org/officeDocument/2006/relationships/hyperlink" Target="https://www.imdb.com/title/tt3387266/" TargetMode="External"/><Relationship Id="rId109" Type="http://schemas.openxmlformats.org/officeDocument/2006/relationships/hyperlink" Target="https://www.imdb.com/title/tt1986843/" TargetMode="External"/><Relationship Id="rId110" Type="http://schemas.openxmlformats.org/officeDocument/2006/relationships/hyperlink" Target="https://www.imdb.com/title/tt0780516/" TargetMode="External"/><Relationship Id="rId111" Type="http://schemas.openxmlformats.org/officeDocument/2006/relationships/hyperlink" Target="https://www.imdb.com/title/tt22797582/" TargetMode="External"/><Relationship Id="rId112" Type="http://schemas.openxmlformats.org/officeDocument/2006/relationships/hyperlink" Target="https://www.imdb.com/title/tt4693612/" TargetMode="External"/><Relationship Id="rId113" Type="http://schemas.openxmlformats.org/officeDocument/2006/relationships/hyperlink" Target="https://www.imdb.com/title/tt7040874/" TargetMode="External"/><Relationship Id="rId114" Type="http://schemas.openxmlformats.org/officeDocument/2006/relationships/hyperlink" Target="https://www.imdb.com/title/tt0095159/" TargetMode="External"/><Relationship Id="rId115" Type="http://schemas.openxmlformats.org/officeDocument/2006/relationships/hyperlink" Target="https://www.imdb.com/title/tt5164438/" TargetMode="External"/><Relationship Id="rId116" Type="http://schemas.openxmlformats.org/officeDocument/2006/relationships/hyperlink" Target="https://www.imdb.com/title/tt10922658/" TargetMode="External"/><Relationship Id="rId117" Type="http://schemas.openxmlformats.org/officeDocument/2006/relationships/hyperlink" Target="https://www.imdb.com/title/tt1198156/" TargetMode="External"/><Relationship Id="rId118" Type="http://schemas.openxmlformats.org/officeDocument/2006/relationships/hyperlink" Target="https://www.imdb.com/title/tt14592948/" TargetMode="External"/><Relationship Id="rId119" Type="http://schemas.openxmlformats.org/officeDocument/2006/relationships/hyperlink" Target="https://www.imdb.com/title/tt6644200/" TargetMode="External"/><Relationship Id="rId120" Type="http://schemas.openxmlformats.org/officeDocument/2006/relationships/hyperlink" Target="https://www.imdb.com/title/tt0350261/" TargetMode="External"/><Relationship Id="rId121" Type="http://schemas.openxmlformats.org/officeDocument/2006/relationships/hyperlink" Target="https://www.imdb.com/title/tt0125439/" TargetMode="External"/><Relationship Id="rId122" Type="http://schemas.openxmlformats.org/officeDocument/2006/relationships/hyperlink" Target="https://www.imdb.com/title/tt9411972/" TargetMode="External"/><Relationship Id="rId123" Type="http://schemas.openxmlformats.org/officeDocument/2006/relationships/hyperlink" Target="https://www.imdb.com/title/tt10265034/" TargetMode="External"/><Relationship Id="rId124" Type="http://schemas.openxmlformats.org/officeDocument/2006/relationships/hyperlink" Target="https://www.imdb.com/title/tt3224458/" TargetMode="External"/><Relationship Id="rId125" Type="http://schemas.openxmlformats.org/officeDocument/2006/relationships/hyperlink" Target="https://www.imdb.com/title/tt2671706/" TargetMode="External"/><Relationship Id="rId126" Type="http://schemas.openxmlformats.org/officeDocument/2006/relationships/hyperlink" Target="https://www.imdb.com/title/tt6515910/" TargetMode="External"/><Relationship Id="rId127" Type="http://schemas.openxmlformats.org/officeDocument/2006/relationships/hyperlink" Target="https://www.imdb.com/title/tt3794028/" TargetMode="External"/><Relationship Id="rId128" Type="http://schemas.openxmlformats.org/officeDocument/2006/relationships/hyperlink" Target="https://www.imdb.com/title/tt1019452/" TargetMode="External"/><Relationship Id="rId129" Type="http://schemas.openxmlformats.org/officeDocument/2006/relationships/hyperlink" Target="https://www.imdb.com/title/tt8075202/" TargetMode="External"/><Relationship Id="rId130" Type="http://schemas.openxmlformats.org/officeDocument/2006/relationships/hyperlink" Target="https://www.imdb.com/title/tt3322364/" TargetMode="External"/><Relationship Id="rId131" Type="http://schemas.openxmlformats.org/officeDocument/2006/relationships/hyperlink" Target="https://www.imdb.com/title/tt8436026/" TargetMode="External"/><Relationship Id="rId132" Type="http://schemas.openxmlformats.org/officeDocument/2006/relationships/hyperlink" Target="https://www.imdb.com/title/tt0218967/" TargetMode="External"/><Relationship Id="rId133" Type="http://schemas.openxmlformats.org/officeDocument/2006/relationships/hyperlink" Target="https://www.imdb.com/title/tt1718924/" TargetMode="External"/><Relationship Id="rId134" Type="http://schemas.openxmlformats.org/officeDocument/2006/relationships/hyperlink" Target="https://www.imdb.com/title/tt12703292/" TargetMode="External"/><Relationship Id="rId135" Type="http://schemas.openxmlformats.org/officeDocument/2006/relationships/hyperlink" Target="https://www.imdb.com/title/tt0388505/" TargetMode="External"/><Relationship Id="rId136" Type="http://schemas.openxmlformats.org/officeDocument/2006/relationships/hyperlink" Target="https://www.imdb.com/title/tt6556552/" TargetMode="External"/><Relationship Id="rId137" Type="http://schemas.openxmlformats.org/officeDocument/2006/relationships/hyperlink" Target="https://www.imdb.com/title/tt14458442/" TargetMode="External"/><Relationship Id="rId138" Type="http://schemas.openxmlformats.org/officeDocument/2006/relationships/hyperlink" Target="https://www.imdb.com/title/tt0073486/" TargetMode="External"/><Relationship Id="rId139" Type="http://schemas.openxmlformats.org/officeDocument/2006/relationships/hyperlink" Target="https://www.imdb.com/title/tt1535438/" TargetMode="External"/><Relationship Id="rId140" Type="http://schemas.openxmlformats.org/officeDocument/2006/relationships/hyperlink" Target="https://www.imdb.com/title/tt36642456/" TargetMode="External"/><Relationship Id="rId141" Type="http://schemas.openxmlformats.org/officeDocument/2006/relationships/hyperlink" Target="https://www.imdb.com/title/tt20414642/" TargetMode="External"/><Relationship Id="rId142" Type="http://schemas.openxmlformats.org/officeDocument/2006/relationships/hyperlink" Target="https://www.imdb.com/title/tt14465894/" TargetMode="External"/><Relationship Id="rId143" Type="http://schemas.openxmlformats.org/officeDocument/2006/relationships/hyperlink" Target="https://www.imdb.com/title/tt7139936/" TargetMode="External"/><Relationship Id="rId144" Type="http://schemas.openxmlformats.org/officeDocument/2006/relationships/hyperlink" Target="https://www.imdb.com/title/tt16283804/" TargetMode="External"/><Relationship Id="rId145" Type="http://schemas.openxmlformats.org/officeDocument/2006/relationships/hyperlink" Target="https://www.imdb.com/title/tt1563738/" TargetMode="External"/><Relationship Id="rId146" Type="http://schemas.openxmlformats.org/officeDocument/2006/relationships/hyperlink" Target="https://www.imdb.com/title/tt0488120/" TargetMode="External"/><Relationship Id="rId147" Type="http://schemas.openxmlformats.org/officeDocument/2006/relationships/hyperlink" Target="https://www.imdb.com/title/tt4857264/" TargetMode="External"/><Relationship Id="rId148" Type="http://schemas.openxmlformats.org/officeDocument/2006/relationships/hyperlink" Target="https://www.imdb.com/title/tt23183618/" TargetMode="External"/><Relationship Id="rId149" Type="http://schemas.openxmlformats.org/officeDocument/2006/relationships/hyperlink" Target="https://www.imdb.com/title/tt11563598/" TargetMode="External"/><Relationship Id="rId150" Type="http://schemas.openxmlformats.org/officeDocument/2006/relationships/hyperlink" Target="https://www.imdb.com/title/tt13070602/" TargetMode="External"/><Relationship Id="rId151" Type="http://schemas.openxmlformats.org/officeDocument/2006/relationships/hyperlink" Target="https://www.imdb.com/title/tt0265343/" TargetMode="External"/><Relationship Id="rId152" Type="http://schemas.openxmlformats.org/officeDocument/2006/relationships/hyperlink" Target="https://www.imdb.com/title/tt13055780/" TargetMode="External"/><Relationship Id="rId153" Type="http://schemas.openxmlformats.org/officeDocument/2006/relationships/hyperlink" Target="https://www.imdb.com/title/tt0401445/" TargetMode="External"/><Relationship Id="rId154" Type="http://schemas.openxmlformats.org/officeDocument/2006/relationships/hyperlink" Target="https://www.imdb.com/title/tt2289526/" TargetMode="External"/><Relationship Id="rId155" Type="http://schemas.openxmlformats.org/officeDocument/2006/relationships/hyperlink" Target="https://www.imdb.com/title/tt7476116/" TargetMode="External"/><Relationship Id="rId156" Type="http://schemas.openxmlformats.org/officeDocument/2006/relationships/hyperlink" Target="https://www.imdb.com/title/tt1266037/" TargetMode="External"/><Relationship Id="rId157" Type="http://schemas.openxmlformats.org/officeDocument/2006/relationships/hyperlink" Target="https://www.imdb.com/title/tt6040662/" TargetMode="External"/><Relationship Id="rId158" Type="http://schemas.openxmlformats.org/officeDocument/2006/relationships/hyperlink" Target="https://www.imdb.com/title/tt0251160/" TargetMode="External"/><Relationship Id="rId159" Type="http://schemas.openxmlformats.org/officeDocument/2006/relationships/hyperlink" Target="https://www.imdb.com/title/tt1431181/" TargetMode="External"/><Relationship Id="rId160" Type="http://schemas.openxmlformats.org/officeDocument/2006/relationships/hyperlink" Target="https://www.imdb.com/title/tt0099040/" TargetMode="External"/><Relationship Id="rId161" Type="http://schemas.openxmlformats.org/officeDocument/2006/relationships/hyperlink" Target="https://www.imdb.com/title/tt8260226/" TargetMode="External"/><Relationship Id="rId162" Type="http://schemas.openxmlformats.org/officeDocument/2006/relationships/hyperlink" Target="https://www.imdb.com/title/tt6185692/" TargetMode="External"/><Relationship Id="rId163" Type="http://schemas.openxmlformats.org/officeDocument/2006/relationships/hyperlink" Target="https://www.imdb.com/title/tt1843287/" TargetMode="External"/><Relationship Id="rId164" Type="http://schemas.openxmlformats.org/officeDocument/2006/relationships/hyperlink" Target="https://www.imdb.com/title/tt23334616/" TargetMode="External"/><Relationship Id="rId165" Type="http://schemas.openxmlformats.org/officeDocument/2006/relationships/hyperlink" Target="https://www.imdb.com/title/tt5610554/" TargetMode="External"/><Relationship Id="rId166" Type="http://schemas.openxmlformats.org/officeDocument/2006/relationships/hyperlink" Target="https://www.imdb.com/title/tt35704111/" TargetMode="External"/><Relationship Id="rId167" Type="http://schemas.openxmlformats.org/officeDocument/2006/relationships/hyperlink" Target="https://www.imdb.com/title/tt0185125/" TargetMode="External"/><Relationship Id="rId168" Type="http://schemas.openxmlformats.org/officeDocument/2006/relationships/hyperlink" Target="https://www.imdb.com/title/tt1217637/" TargetMode="External"/><Relationship Id="rId169" Type="http://schemas.openxmlformats.org/officeDocument/2006/relationships/hyperlink" Target="https://www.imdb.com/title/tt0417217/" TargetMode="External"/><Relationship Id="rId170" Type="http://schemas.openxmlformats.org/officeDocument/2006/relationships/hyperlink" Target="https://www.imdb.com/title/tt1178663/" TargetMode="External"/><Relationship Id="rId171" Type="http://schemas.openxmlformats.org/officeDocument/2006/relationships/hyperlink" Target="https://www.imdb.com/title/tt1124035/" TargetMode="External"/><Relationship Id="rId172" Type="http://schemas.openxmlformats.org/officeDocument/2006/relationships/hyperlink" Target="https://www.imdb.com/title/tt14748950/" TargetMode="External"/><Relationship Id="rId173" Type="http://schemas.openxmlformats.org/officeDocument/2006/relationships/hyperlink" Target="https://www.imdb.com/title/tt3910814/" TargetMode="External"/><Relationship Id="rId174" Type="http://schemas.openxmlformats.org/officeDocument/2006/relationships/hyperlink" Target="https://www.imdb.com/title/tt6710474/" TargetMode="External"/><Relationship Id="rId175" Type="http://schemas.openxmlformats.org/officeDocument/2006/relationships/hyperlink" Target="https://www.imdb.com/title/tt21051906/" TargetMode="External"/><Relationship Id="rId176" Type="http://schemas.openxmlformats.org/officeDocument/2006/relationships/hyperlink" Target="https://www.imdb.com/title/tt0073195/" TargetMode="External"/><Relationship Id="rId177" Type="http://schemas.openxmlformats.org/officeDocument/2006/relationships/hyperlink" Target="https://www.imdb.com/title/tt1555149/" TargetMode="External"/><Relationship Id="rId178" Type="http://schemas.openxmlformats.org/officeDocument/2006/relationships/hyperlink" Target="https://www.imdb.com/title/tt0861739/" TargetMode="External"/><Relationship Id="rId179" Type="http://schemas.openxmlformats.org/officeDocument/2006/relationships/hyperlink" Target="https://www.imdb.com/title/tt21626284/" TargetMode="External"/><Relationship Id="rId180" Type="http://schemas.openxmlformats.org/officeDocument/2006/relationships/hyperlink" Target="https://www.imdb.com/title/tt7322224/" TargetMode="External"/><Relationship Id="rId181" Type="http://schemas.openxmlformats.org/officeDocument/2006/relationships/hyperlink" Target="https://www.imdb.com/title/tt12262116/" TargetMode="External"/><Relationship Id="rId182" Type="http://schemas.openxmlformats.org/officeDocument/2006/relationships/hyperlink" Target="https://www.imdb.com/title/tt14403178/" TargetMode="External"/><Relationship Id="rId183" Type="http://schemas.openxmlformats.org/officeDocument/2006/relationships/hyperlink" Target="https://www.imdb.com/title/tt0060196/" TargetMode="External"/><Relationship Id="rId184" Type="http://schemas.openxmlformats.org/officeDocument/2006/relationships/hyperlink" Target="https://www.imdb.com/title/tt7664504/" TargetMode="External"/><Relationship Id="rId185" Type="http://schemas.openxmlformats.org/officeDocument/2006/relationships/hyperlink" Target="https://www.imdb.com/title/tt5706370/" TargetMode="External"/><Relationship Id="rId186" Type="http://schemas.openxmlformats.org/officeDocument/2006/relationships/hyperlink" Target="https://www.imdb.com/title/tt5027774/" TargetMode="External"/><Relationship Id="rId187" Type="http://schemas.openxmlformats.org/officeDocument/2006/relationships/hyperlink" Target="https://www.imdb.com/title/tt30325268/" TargetMode="External"/><Relationship Id="rId188" Type="http://schemas.openxmlformats.org/officeDocument/2006/relationships/hyperlink" Target="https://www.imdb.com/title/tt1654523/" TargetMode="External"/><Relationship Id="rId189" Type="http://schemas.openxmlformats.org/officeDocument/2006/relationships/hyperlink" Target="https://www.imdb.com/title/tt3561180/" TargetMode="External"/><Relationship Id="rId190" Type="http://schemas.openxmlformats.org/officeDocument/2006/relationships/hyperlink" Target="https://www.imdb.com/title/tt1800241/" TargetMode="External"/><Relationship Id="rId191" Type="http://schemas.openxmlformats.org/officeDocument/2006/relationships/hyperlink" Target="https://www.imdb.com/title/tt15441266/" TargetMode="External"/><Relationship Id="rId192" Type="http://schemas.openxmlformats.org/officeDocument/2006/relationships/hyperlink" Target="https://www.imdb.com/title/tt5776858/" TargetMode="External"/><Relationship Id="rId193" Type="http://schemas.openxmlformats.org/officeDocument/2006/relationships/hyperlink" Target="https://www.imdb.com/title/tt0117951/" TargetMode="External"/><Relationship Id="rId194" Type="http://schemas.openxmlformats.org/officeDocument/2006/relationships/hyperlink" Target="https://www.imdb.com/title/tt0831884/" TargetMode="External"/><Relationship Id="rId195" Type="http://schemas.openxmlformats.org/officeDocument/2006/relationships/hyperlink" Target="https://www.imdb.com/title/tt16450274/" TargetMode="External"/><Relationship Id="rId196" Type="http://schemas.openxmlformats.org/officeDocument/2006/relationships/hyperlink" Target="https://www.imdb.com/title/tt0435761/" TargetMode="External"/><Relationship Id="rId197" Type="http://schemas.openxmlformats.org/officeDocument/2006/relationships/hyperlink" Target="https://www.imdb.com/title/tt23468836/" TargetMode="External"/><Relationship Id="rId198" Type="http://schemas.openxmlformats.org/officeDocument/2006/relationships/hyperlink" Target="https://www.imdb.com/title/tt13276352/" TargetMode="External"/><Relationship Id="rId199" Type="http://schemas.openxmlformats.org/officeDocument/2006/relationships/hyperlink" Target="https://www.imdb.com/title/tt1745960/" TargetMode="External"/><Relationship Id="rId200" Type="http://schemas.openxmlformats.org/officeDocument/2006/relationships/hyperlink" Target="https://www.imdb.com/title/tt0092099/" TargetMode="External"/><Relationship Id="rId201" Type="http://schemas.openxmlformats.org/officeDocument/2006/relationships/hyperlink" Target="https://www.imdb.com/title/tt1223975/" TargetMode="External"/><Relationship Id="rId202" Type="http://schemas.openxmlformats.org/officeDocument/2006/relationships/hyperlink" Target="https://www.imdb.com/title/tt0101921/" TargetMode="External"/><Relationship Id="rId203" Type="http://schemas.openxmlformats.org/officeDocument/2006/relationships/hyperlink" Target="https://www.imdb.com/title/tt21192142/" TargetMode="External"/><Relationship Id="rId204" Type="http://schemas.openxmlformats.org/officeDocument/2006/relationships/hyperlink" Target="https://www.imdb.com/title/tt4964788/" TargetMode="External"/><Relationship Id="rId205" Type="http://schemas.openxmlformats.org/officeDocument/2006/relationships/hyperlink" Target="https://www.imdb.com/title/tt27131358/" TargetMode="External"/><Relationship Id="rId206" Type="http://schemas.openxmlformats.org/officeDocument/2006/relationships/hyperlink" Target="https://www.imdb.com/title/tt0365748/" TargetMode="External"/><Relationship Id="rId207" Type="http://schemas.openxmlformats.org/officeDocument/2006/relationships/hyperlink" Target="https://www.imdb.com/title/tt15320362/" TargetMode="External"/><Relationship Id="rId208" Type="http://schemas.openxmlformats.org/officeDocument/2006/relationships/hyperlink" Target="https://www.imdb.com/title/tt0120338/" TargetMode="External"/><Relationship Id="rId209" Type="http://schemas.openxmlformats.org/officeDocument/2006/relationships/hyperlink" Target="https://www.imdb.com/title/tt0310793/" TargetMode="External"/><Relationship Id="rId210" Type="http://schemas.openxmlformats.org/officeDocument/2006/relationships/hyperlink" Target="https://www.imdb.com/title/tt11327514/" TargetMode="External"/><Relationship Id="rId211" Type="http://schemas.openxmlformats.org/officeDocument/2006/relationships/hyperlink" Target="https://www.imdb.com/title/tt1046947/" TargetMode="External"/><Relationship Id="rId212" Type="http://schemas.openxmlformats.org/officeDocument/2006/relationships/hyperlink" Target="https://www.imdb.com/title/tt4960748/" TargetMode="External"/><Relationship Id="rId213" Type="http://schemas.openxmlformats.org/officeDocument/2006/relationships/hyperlink" Target="https://www.imdb.com/title/tt5555260/" TargetMode="External"/><Relationship Id="rId214" Type="http://schemas.openxmlformats.org/officeDocument/2006/relationships/hyperlink" Target="https://www.imdb.com/title/tt0103074/" TargetMode="External"/><Relationship Id="rId215" Type="http://schemas.openxmlformats.org/officeDocument/2006/relationships/hyperlink" Target="https://www.imdb.com/title/tt5705956/" TargetMode="External"/><Relationship Id="rId216" Type="http://schemas.openxmlformats.org/officeDocument/2006/relationships/hyperlink" Target="https://www.imdb.com/title/tt13406094/" TargetMode="External"/><Relationship Id="rId217" Type="http://schemas.openxmlformats.org/officeDocument/2006/relationships/hyperlink" Target="https://www.imdb.com/title/tt8134470/" TargetMode="External"/><Relationship Id="rId218" Type="http://schemas.openxmlformats.org/officeDocument/2006/relationships/hyperlink" Target="https://www.imdb.com/title/tt6704972/" TargetMode="External"/><Relationship Id="rId219" Type="http://schemas.openxmlformats.org/officeDocument/2006/relationships/hyperlink" Target="https://www.imdb.com/title/tt0758790/" TargetMode="External"/><Relationship Id="rId220" Type="http://schemas.openxmlformats.org/officeDocument/2006/relationships/hyperlink" Target="https://www.imdb.com/title/tt9022422/" TargetMode="External"/><Relationship Id="rId221" Type="http://schemas.openxmlformats.org/officeDocument/2006/relationships/hyperlink" Target="https://www.imdb.com/title/tt8417308/" TargetMode="External"/><Relationship Id="rId222" Type="http://schemas.openxmlformats.org/officeDocument/2006/relationships/hyperlink" Target="https://www.imdb.com/title/tt21149522/" TargetMode="External"/><Relationship Id="rId223" Type="http://schemas.openxmlformats.org/officeDocument/2006/relationships/hyperlink" Target="https://www.imdb.com/title/tt6294822/" TargetMode="External"/><Relationship Id="rId224" Type="http://schemas.openxmlformats.org/officeDocument/2006/relationships/hyperlink" Target="https://www.imdb.com/title/tt2391224/" TargetMode="External"/><Relationship Id="rId225" Type="http://schemas.openxmlformats.org/officeDocument/2006/relationships/hyperlink" Target="https://www.imdb.com/title/tt2401256/" TargetMode="External"/><Relationship Id="rId226" Type="http://schemas.openxmlformats.org/officeDocument/2006/relationships/hyperlink" Target="https://www.imdb.com/title/tt18177528/" TargetMode="External"/><Relationship Id="rId227" Type="http://schemas.openxmlformats.org/officeDocument/2006/relationships/hyperlink" Target="https://www.imdb.com/title/tt33204276/" TargetMode="External"/><Relationship Id="rId228" Type="http://schemas.openxmlformats.org/officeDocument/2006/relationships/hyperlink" Target="https://www.imdb.com/title/tt28489780/" TargetMode="External"/><Relationship Id="rId229" Type="http://schemas.openxmlformats.org/officeDocument/2006/relationships/hyperlink" Target="https://www.imdb.com/title/tt12680684/" TargetMode="External"/><Relationship Id="rId230" Type="http://schemas.openxmlformats.org/officeDocument/2006/relationships/hyperlink" Target="https://www.imdb.com/title/tt2235759/" TargetMode="External"/><Relationship Id="rId231" Type="http://schemas.openxmlformats.org/officeDocument/2006/relationships/hyperlink" Target="https://www.imdb.com/title/tt27042206/" TargetMode="External"/><Relationship Id="rId232" Type="http://schemas.openxmlformats.org/officeDocument/2006/relationships/hyperlink" Target="https://www.imdb.com/title/tt10642834/" TargetMode="External"/><Relationship Id="rId233" Type="http://schemas.openxmlformats.org/officeDocument/2006/relationships/hyperlink" Target="https://www.imdb.com/title/tt15119668/" TargetMode="External"/><Relationship Id="rId234" Type="http://schemas.openxmlformats.org/officeDocument/2006/relationships/hyperlink" Target="https://www.imdb.com/title/tt4786824/" TargetMode="External"/><Relationship Id="rId235" Type="http://schemas.openxmlformats.org/officeDocument/2006/relationships/hyperlink" Target="https://www.imdb.com/title/tt24249946/" TargetMode="External"/><Relationship Id="rId236" Type="http://schemas.openxmlformats.org/officeDocument/2006/relationships/hyperlink" Target="https://www.imdb.com/title/tt5212792/" TargetMode="External"/><Relationship Id="rId237" Type="http://schemas.openxmlformats.org/officeDocument/2006/relationships/hyperlink" Target="https://www.imdb.com/title/tt2608224/" TargetMode="External"/><Relationship Id="rId238" Type="http://schemas.openxmlformats.org/officeDocument/2006/relationships/hyperlink" Target="https://www.imdb.com/title/tt2699110/" TargetMode="External"/><Relationship Id="rId239" Type="http://schemas.openxmlformats.org/officeDocument/2006/relationships/hyperlink" Target="https://www.imdb.com/title/tt2241605/" TargetMode="External"/><Relationship Id="rId240" Type="http://schemas.openxmlformats.org/officeDocument/2006/relationships/hyperlink" Target="https://www.imdb.com/title/tt28703559/" TargetMode="External"/><Relationship Id="rId241" Type="http://schemas.openxmlformats.org/officeDocument/2006/relationships/hyperlink" Target="https://www.imdb.com/title/tt1158939/" TargetMode="External"/><Relationship Id="rId242" Type="http://schemas.openxmlformats.org/officeDocument/2006/relationships/hyperlink" Target="https://www.imdb.com/title/tt5362988/" TargetMode="External"/><Relationship Id="rId243" Type="http://schemas.openxmlformats.org/officeDocument/2006/relationships/hyperlink" Target="https://www.imdb.com/title/tt0395972/" TargetMode="External"/><Relationship Id="rId244" Type="http://schemas.openxmlformats.org/officeDocument/2006/relationships/hyperlink" Target="https://www.imdb.com/title/tt0283509/" TargetMode="External"/><Relationship Id="rId245" Type="http://schemas.openxmlformats.org/officeDocument/2006/relationships/hyperlink" Target="https://www.imdb.com/title/tt3841424/" TargetMode="External"/><Relationship Id="rId246" Type="http://schemas.openxmlformats.org/officeDocument/2006/relationships/hyperlink" Target="https://www.imdb.com/title/tt2343793/" TargetMode="External"/><Relationship Id="rId247" Type="http://schemas.openxmlformats.org/officeDocument/2006/relationships/hyperlink" Target="https://www.imdb.com/title/tt0027977/" TargetMode="External"/><Relationship Id="rId248" Type="http://schemas.openxmlformats.org/officeDocument/2006/relationships/hyperlink" Target="https://www.imdb.com/title/tt6740146/" TargetMode="External"/><Relationship Id="rId249" Type="http://schemas.openxmlformats.org/officeDocument/2006/relationships/hyperlink" Target="https://www.imdb.com/title/tt2370248/" TargetMode="External"/><Relationship Id="rId250" Type="http://schemas.openxmlformats.org/officeDocument/2006/relationships/hyperlink" Target="https://www.imdb.com/title/tt0117913/" TargetMode="External"/><Relationship Id="rId251" Type="http://schemas.openxmlformats.org/officeDocument/2006/relationships/hyperlink" Target="https://www.imdb.com/title/tt0097441/" TargetMode="External"/><Relationship Id="rId252" Type="http://schemas.openxmlformats.org/officeDocument/2006/relationships/hyperlink" Target="https://www.imdb.com/title/tt4365518/" TargetMode="External"/><Relationship Id="rId253" Type="http://schemas.openxmlformats.org/officeDocument/2006/relationships/hyperlink" Target="https://www.imdb.com/title/tt0075314/" TargetMode="External"/><Relationship Id="rId254" Type="http://schemas.openxmlformats.org/officeDocument/2006/relationships/hyperlink" Target="https://www.imdb.com/title/tt14486678/" TargetMode="External"/><Relationship Id="rId255" Type="http://schemas.openxmlformats.org/officeDocument/2006/relationships/hyperlink" Target="https://www.imdb.com/title/tt28013708/" TargetMode="External"/><Relationship Id="rId256" Type="http://schemas.openxmlformats.org/officeDocument/2006/relationships/hyperlink" Target="https://www.imdb.com/title/tt14444726/" TargetMode="External"/><Relationship Id="rId257" Type="http://schemas.openxmlformats.org/officeDocument/2006/relationships/hyperlink" Target="https://www.imdb.com/title/tt2991224/" TargetMode="External"/><Relationship Id="rId258" Type="http://schemas.openxmlformats.org/officeDocument/2006/relationships/hyperlink" Target="https://www.imdb.com/title/tt4934950/" TargetMode="External"/><Relationship Id="rId259" Type="http://schemas.openxmlformats.org/officeDocument/2006/relationships/hyperlink" Target="https://www.imdb.com/title/tt4669788/" TargetMode="External"/><Relationship Id="rId260" Type="http://schemas.openxmlformats.org/officeDocument/2006/relationships/hyperlink" Target="https://www.imdb.com/title/tt0829482/" TargetMode="External"/><Relationship Id="rId261" Type="http://schemas.openxmlformats.org/officeDocument/2006/relationships/hyperlink" Target="https://www.imdb.com/title/tt0145503/" TargetMode="External"/><Relationship Id="rId262" Type="http://schemas.openxmlformats.org/officeDocument/2006/relationships/hyperlink" Target="https://www.imdb.com/title/tt3263904/" TargetMode="External"/><Relationship Id="rId263" Type="http://schemas.openxmlformats.org/officeDocument/2006/relationships/hyperlink" Target="https://www.imdb.com/title/tt0900387/" TargetMode="External"/><Relationship Id="rId264" Type="http://schemas.openxmlformats.org/officeDocument/2006/relationships/hyperlink" Target="https://www.imdb.com/title/tt0119280/" TargetMode="External"/><Relationship Id="rId265" Type="http://schemas.openxmlformats.org/officeDocument/2006/relationships/hyperlink" Target="https://www.imdb.com/title/tt4574334/" TargetMode="External"/><Relationship Id="rId266" Type="http://schemas.openxmlformats.org/officeDocument/2006/relationships/hyperlink" Target="https://www.imdb.com/title/tt5205210/" TargetMode="External"/><Relationship Id="rId267" Type="http://schemas.openxmlformats.org/officeDocument/2006/relationships/hyperlink" Target="https://www.imdb.com/title/tt10696896/" TargetMode="External"/><Relationship Id="rId268" Type="http://schemas.openxmlformats.org/officeDocument/2006/relationships/hyperlink" Target="https://www.imdb.com/title/tt3385524/" TargetMode="External"/><Relationship Id="rId269" Type="http://schemas.openxmlformats.org/officeDocument/2006/relationships/hyperlink" Target="https://www.imdb.com/title/tt0413015/" TargetMode="External"/><Relationship Id="rId270" Type="http://schemas.openxmlformats.org/officeDocument/2006/relationships/hyperlink" Target="https://www.imdb.com/title/tt5151570/" TargetMode="External"/><Relationship Id="rId271" Type="http://schemas.openxmlformats.org/officeDocument/2006/relationships/hyperlink" Target="https://www.imdb.com/title/tt1895587/" TargetMode="External"/><Relationship Id="rId272" Type="http://schemas.openxmlformats.org/officeDocument/2006/relationships/hyperlink" Target="https://www.imdb.com/title/tt1442449/" TargetMode="External"/><Relationship Id="rId273" Type="http://schemas.openxmlformats.org/officeDocument/2006/relationships/hyperlink" Target="https://www.imdb.com/title/tt10243992/" TargetMode="External"/><Relationship Id="rId274" Type="http://schemas.openxmlformats.org/officeDocument/2006/relationships/hyperlink" Target="https://www.imdb.com/title/tt2758880/" TargetMode="External"/><Relationship Id="rId275" Type="http://schemas.openxmlformats.org/officeDocument/2006/relationships/hyperlink" Target="https://www.imdb.com/title/tt29768334/" TargetMode="External"/><Relationship Id="rId276" Type="http://schemas.openxmlformats.org/officeDocument/2006/relationships/hyperlink" Target="https://www.imdb.com/title/tt0077711/" TargetMode="External"/><Relationship Id="rId277" Type="http://schemas.openxmlformats.org/officeDocument/2006/relationships/hyperlink" Target="https://www.imdb.com/title/tt1230168/" TargetMode="External"/><Relationship Id="rId278" Type="http://schemas.openxmlformats.org/officeDocument/2006/relationships/hyperlink" Target="https://www.imdb.com/title/tt0108185/" TargetMode="External"/><Relationship Id="rId279" Type="http://schemas.openxmlformats.org/officeDocument/2006/relationships/hyperlink" Target="https://www.imdb.com/title/tt8879894/" TargetMode="External"/><Relationship Id="rId280" Type="http://schemas.openxmlformats.org/officeDocument/2006/relationships/hyperlink" Target="https://www.imdb.com/title/tt7599146/" TargetMode="External"/><Relationship Id="rId281" Type="http://schemas.openxmlformats.org/officeDocument/2006/relationships/hyperlink" Target="https://www.imdb.com/title/tt6881490/" TargetMode="External"/><Relationship Id="rId282" Type="http://schemas.openxmlformats.org/officeDocument/2006/relationships/hyperlink" Target="https://www.imdb.com/title/tt0097165/" TargetMode="External"/><Relationship Id="rId283" Type="http://schemas.openxmlformats.org/officeDocument/2006/relationships/hyperlink" Target="https://www.imdb.com/title/tt0327056/" TargetMode="External"/><Relationship Id="rId284" Type="http://schemas.openxmlformats.org/officeDocument/2006/relationships/hyperlink" Target="https://www.imdb.com/title/tt0328589/" TargetMode="External"/><Relationship Id="rId285" Type="http://schemas.openxmlformats.org/officeDocument/2006/relationships/hyperlink" Target="https://www.imdb.com/title/tt0368008/" TargetMode="External"/><Relationship Id="rId286" Type="http://schemas.openxmlformats.org/officeDocument/2006/relationships/hyperlink" Target="https://www.imdb.com/title/tt6347150/" TargetMode="External"/><Relationship Id="rId287" Type="http://schemas.openxmlformats.org/officeDocument/2006/relationships/hyperlink" Target="https://www.imdb.com/title/tt2179136/" TargetMode="External"/><Relationship Id="rId288" Type="http://schemas.openxmlformats.org/officeDocument/2006/relationships/hyperlink" Target="https://www.imdb.com/title/tt0208092/" TargetMode="External"/><Relationship Id="rId289" Type="http://schemas.openxmlformats.org/officeDocument/2006/relationships/hyperlink" Target="https://www.imdb.com/title/tt0117665/" TargetMode="External"/><Relationship Id="rId290" Type="http://schemas.openxmlformats.org/officeDocument/2006/relationships/hyperlink" Target="https://www.imdb.com/title/tt27410895/" TargetMode="External"/><Relationship Id="rId291" Type="http://schemas.openxmlformats.org/officeDocument/2006/relationships/hyperlink" Target="https://www.imdb.com/title/tt11269100/" TargetMode="External"/><Relationship Id="rId292" Type="http://schemas.openxmlformats.org/officeDocument/2006/relationships/hyperlink" Target="https://www.imdb.com/title/tt32298285/" TargetMode="External"/><Relationship Id="rId293" Type="http://schemas.openxmlformats.org/officeDocument/2006/relationships/hyperlink" Target="https://www.imdb.com/title/tt3544112/" TargetMode="External"/><Relationship Id="rId294" Type="http://schemas.openxmlformats.org/officeDocument/2006/relationships/hyperlink" Target="https://www.imdb.com/title/tt28479262/" TargetMode="External"/><Relationship Id="rId295" Type="http://schemas.openxmlformats.org/officeDocument/2006/relationships/hyperlink" Target="https://www.imdb.com/title/tt0383028/" TargetMode="External"/><Relationship Id="rId296" Type="http://schemas.openxmlformats.org/officeDocument/2006/relationships/hyperlink" Target="https://www.imdb.com/title/tt0047296/" TargetMode="External"/><Relationship Id="rId297" Type="http://schemas.openxmlformats.org/officeDocument/2006/relationships/hyperlink" Target="https://www.imdb.com/title/tt1045670/" TargetMode="External"/><Relationship Id="rId298" Type="http://schemas.openxmlformats.org/officeDocument/2006/relationships/hyperlink" Target="https://www.imdb.com/title/tt1230414/" TargetMode="External"/><Relationship Id="rId299" Type="http://schemas.openxmlformats.org/officeDocument/2006/relationships/hyperlink" Target="https://www.imdb.com/title/tt0314331/" TargetMode="External"/><Relationship Id="rId300" Type="http://schemas.openxmlformats.org/officeDocument/2006/relationships/hyperlink" Target="https://www.imdb.com/title/tt1638002/" TargetMode="External"/><Relationship Id="rId301" Type="http://schemas.openxmlformats.org/officeDocument/2006/relationships/hyperlink" Target="https://www.imdb.com/title/tt20477492/" TargetMode="External"/><Relationship Id="rId302" Type="http://schemas.openxmlformats.org/officeDocument/2006/relationships/hyperlink" Target="https://www.imdb.com/title/tt0375063/" TargetMode="External"/><Relationship Id="rId303" Type="http://schemas.openxmlformats.org/officeDocument/2006/relationships/hyperlink" Target="https://www.imdb.com/title/tt3397884/" TargetMode="External"/><Relationship Id="rId304" Type="http://schemas.openxmlformats.org/officeDocument/2006/relationships/hyperlink" Target="https://www.imdb.com/title/tt3069894/" TargetMode="External"/><Relationship Id="rId305" Type="http://schemas.openxmlformats.org/officeDocument/2006/relationships/hyperlink" Target="https://www.imdb.com/title/tt14077516/" TargetMode="External"/><Relationship Id="rId306" Type="http://schemas.openxmlformats.org/officeDocument/2006/relationships/hyperlink" Target="https://www.imdb.com/title/tt11905720/" TargetMode="External"/><Relationship Id="rId307" Type="http://schemas.openxmlformats.org/officeDocument/2006/relationships/hyperlink" Target="https://www.imdb.com/title/tt1723811/" TargetMode="External"/><Relationship Id="rId308" Type="http://schemas.openxmlformats.org/officeDocument/2006/relationships/hyperlink" Target="https://www.imdb.com/title/tt0138097/" TargetMode="External"/><Relationship Id="rId309" Type="http://schemas.openxmlformats.org/officeDocument/2006/relationships/hyperlink" Target="https://www.imdb.com/title/tt0098724/" TargetMode="External"/><Relationship Id="rId310" Type="http://schemas.openxmlformats.org/officeDocument/2006/relationships/hyperlink" Target="https://www.imdb.com/title/tt0114369/" TargetMode="External"/><Relationship Id="rId311" Type="http://schemas.openxmlformats.org/officeDocument/2006/relationships/hyperlink" Target="https://www.imdb.com/title/tt6297682/" TargetMode="External"/><Relationship Id="rId312" Type="http://schemas.openxmlformats.org/officeDocument/2006/relationships/hyperlink" Target="https://www.imdb.com/title/tt3661298/" TargetMode="External"/><Relationship Id="rId313" Type="http://schemas.openxmlformats.org/officeDocument/2006/relationships/hyperlink" Target="https://www.imdb.com/title/tt0814314/" TargetMode="External"/><Relationship Id="rId314" Type="http://schemas.openxmlformats.org/officeDocument/2006/relationships/hyperlink" Target="https://www.imdb.com/title/tt2404435/" TargetMode="External"/><Relationship Id="rId315" Type="http://schemas.openxmlformats.org/officeDocument/2006/relationships/hyperlink" Target="https://www.imdb.com/title/tt0054047/" TargetMode="External"/><Relationship Id="rId316" Type="http://schemas.openxmlformats.org/officeDocument/2006/relationships/hyperlink" Target="https://www.imdb.com/title/tt1371150/" TargetMode="External"/><Relationship Id="rId317" Type="http://schemas.openxmlformats.org/officeDocument/2006/relationships/hyperlink" Target="https://www.imdb.com/title/tt8750570/" TargetMode="External"/><Relationship Id="rId318" Type="http://schemas.openxmlformats.org/officeDocument/2006/relationships/hyperlink" Target="https://www.imdb.com/title/tt1247690/" TargetMode="External"/><Relationship Id="rId319" Type="http://schemas.openxmlformats.org/officeDocument/2006/relationships/hyperlink" Target="https://www.imdb.com/title/tt31429675/" TargetMode="External"/><Relationship Id="rId320" Type="http://schemas.openxmlformats.org/officeDocument/2006/relationships/hyperlink" Target="https://www.imdb.com/title/tt4262142/" TargetMode="External"/><Relationship Id="rId321" Type="http://schemas.openxmlformats.org/officeDocument/2006/relationships/hyperlink" Target="https://www.imdb.com/title/tt9145758/" TargetMode="External"/><Relationship Id="rId322" Type="http://schemas.openxmlformats.org/officeDocument/2006/relationships/hyperlink" Target="https://www.imdb.com/title/tt0475224/" TargetMode="External"/><Relationship Id="rId323" Type="http://schemas.openxmlformats.org/officeDocument/2006/relationships/hyperlink" Target="https://www.imdb.com/title/tt1028532/" TargetMode="External"/><Relationship Id="rId324" Type="http://schemas.openxmlformats.org/officeDocument/2006/relationships/hyperlink" Target="https://www.imdb.com/title/tt6708116/" TargetMode="External"/><Relationship Id="rId325" Type="http://schemas.openxmlformats.org/officeDocument/2006/relationships/hyperlink" Target="https://www.imdb.com/title/tt0093640/" TargetMode="External"/><Relationship Id="rId326" Type="http://schemas.openxmlformats.org/officeDocument/2006/relationships/hyperlink" Target="https://www.imdb.com/title/tt0481141/" TargetMode="External"/><Relationship Id="rId327" Type="http://schemas.openxmlformats.org/officeDocument/2006/relationships/hyperlink" Target="https://www.imdb.com/title/tt6917272/" TargetMode="External"/><Relationship Id="rId328" Type="http://schemas.openxmlformats.org/officeDocument/2006/relationships/hyperlink" Target="https://www.imdb.com/title/tt2024469/" TargetMode="External"/><Relationship Id="rId329" Type="http://schemas.openxmlformats.org/officeDocument/2006/relationships/hyperlink" Target="https://www.imdb.com/title/tt1020072/" TargetMode="External"/><Relationship Id="rId330" Type="http://schemas.openxmlformats.org/officeDocument/2006/relationships/hyperlink" Target="https://www.imdb.com/title/tt5114840/" TargetMode="External"/><Relationship Id="rId331" Type="http://schemas.openxmlformats.org/officeDocument/2006/relationships/hyperlink" Target="https://www.imdb.com/title/tt7493974/" TargetMode="External"/><Relationship Id="rId332" Type="http://schemas.openxmlformats.org/officeDocument/2006/relationships/hyperlink" Target="https://www.imdb.com/title/tt5431890/" TargetMode="External"/><Relationship Id="rId333" Type="http://schemas.openxmlformats.org/officeDocument/2006/relationships/hyperlink" Target="https://www.imdb.com/title/tt0117589/" TargetMode="External"/><Relationship Id="rId334" Type="http://schemas.openxmlformats.org/officeDocument/2006/relationships/hyperlink" Target="https://www.imdb.com/title/tt6069162/" TargetMode="External"/><Relationship Id="rId335" Type="http://schemas.openxmlformats.org/officeDocument/2006/relationships/hyperlink" Target="https://www.imdb.com/title/tt5144174/" TargetMode="External"/><Relationship Id="rId336" Type="http://schemas.openxmlformats.org/officeDocument/2006/relationships/hyperlink" Target="https://www.imdb.com/title/tt0118744/" TargetMode="External"/><Relationship Id="rId337" Type="http://schemas.openxmlformats.org/officeDocument/2006/relationships/hyperlink" Target="https://www.imdb.com/title/tt8144834/" TargetMode="External"/><Relationship Id="rId338" Type="http://schemas.openxmlformats.org/officeDocument/2006/relationships/hyperlink" Target="https://www.imdb.com/title/tt1780967/" TargetMode="External"/><Relationship Id="rId339" Type="http://schemas.openxmlformats.org/officeDocument/2006/relationships/hyperlink" Target="https://www.imdb.com/title/tt1099227/" TargetMode="External"/><Relationship Id="rId340" Type="http://schemas.openxmlformats.org/officeDocument/2006/relationships/hyperlink" Target="https://www.imdb.com/title/tt8951938/" TargetMode="External"/><Relationship Id="rId341" Type="http://schemas.openxmlformats.org/officeDocument/2006/relationships/hyperlink" Target="https://www.imdb.com/title/tt1119646/" TargetMode="External"/><Relationship Id="rId342" Type="http://schemas.openxmlformats.org/officeDocument/2006/relationships/hyperlink" Target="https://www.imdb.com/title/tt7125860/" TargetMode="External"/><Relationship Id="rId343" Type="http://schemas.openxmlformats.org/officeDocument/2006/relationships/hyperlink" Target="https://www.imdb.com/title/tt0457513/" TargetMode="External"/><Relationship Id="rId344" Type="http://schemas.openxmlformats.org/officeDocument/2006/relationships/hyperlink" Target="https://www.imdb.com/title/tt12682218/" TargetMode="External"/><Relationship Id="rId345" Type="http://schemas.openxmlformats.org/officeDocument/2006/relationships/hyperlink" Target="https://www.imdb.com/title/tt0086250/" TargetMode="External"/><Relationship Id="rId346" Type="http://schemas.openxmlformats.org/officeDocument/2006/relationships/hyperlink" Target="https://www.imdb.com/title/tt31727267/" TargetMode="External"/><Relationship Id="rId347" Type="http://schemas.openxmlformats.org/officeDocument/2006/relationships/hyperlink" Target="https://www.imdb.com/title/tt2005374/" TargetMode="External"/><Relationship Id="rId348" Type="http://schemas.openxmlformats.org/officeDocument/2006/relationships/hyperlink" Target="https://www.imdb.com/title/tt0469494/" TargetMode="External"/><Relationship Id="rId349" Type="http://schemas.openxmlformats.org/officeDocument/2006/relationships/hyperlink" Target="https://www.imdb.com/title/tt18073328/" TargetMode="External"/><Relationship Id="rId350" Type="http://schemas.openxmlformats.org/officeDocument/2006/relationships/hyperlink" Target="https://www.imdb.com/title/tt9179616/" TargetMode="External"/><Relationship Id="rId351" Type="http://schemas.openxmlformats.org/officeDocument/2006/relationships/hyperlink" Target="https://www.imdb.com/title/tt0907134/" TargetMode="External"/><Relationship Id="rId352" Type="http://schemas.openxmlformats.org/officeDocument/2006/relationships/hyperlink" Target="https://www.imdb.com/title/tt8685324/" TargetMode="External"/><Relationship Id="rId353" Type="http://schemas.openxmlformats.org/officeDocument/2006/relationships/hyperlink" Target="https://www.imdb.com/title/tt3399024/" TargetMode="External"/><Relationship Id="rId354" Type="http://schemas.openxmlformats.org/officeDocument/2006/relationships/hyperlink" Target="https://www.imdb.com/title/tt27826850/" TargetMode="External"/><Relationship Id="rId355" Type="http://schemas.openxmlformats.org/officeDocument/2006/relationships/hyperlink" Target="https://www.imdb.com/title/tt10279362/" TargetMode="External"/><Relationship Id="rId356" Type="http://schemas.openxmlformats.org/officeDocument/2006/relationships/hyperlink" Target="https://www.imdb.com/title/tt7902072/" TargetMode="External"/><Relationship Id="rId357" Type="http://schemas.openxmlformats.org/officeDocument/2006/relationships/hyperlink" Target="https://www.imdb.com/title/tt3477480/" TargetMode="External"/><Relationship Id="rId358" Type="http://schemas.openxmlformats.org/officeDocument/2006/relationships/hyperlink" Target="https://www.imdb.com/title/tt2933544/" TargetMode="External"/><Relationship Id="rId359" Type="http://schemas.openxmlformats.org/officeDocument/2006/relationships/hyperlink" Target="https://www.imdb.com/title/tt32306048/" TargetMode="External"/><Relationship Id="rId360" Type="http://schemas.openxmlformats.org/officeDocument/2006/relationships/hyperlink" Target="https://www.imdb.com/title/tt1979320/" TargetMode="External"/><Relationship Id="rId361" Type="http://schemas.openxmlformats.org/officeDocument/2006/relationships/hyperlink" Target="https://www.imdb.com/title/tt11280740/" TargetMode="External"/><Relationship Id="rId362" Type="http://schemas.openxmlformats.org/officeDocument/2006/relationships/hyperlink" Target="https://www.imdb.com/title/tt8178634/" TargetMode="External"/><Relationship Id="rId363" Type="http://schemas.openxmlformats.org/officeDocument/2006/relationships/hyperlink" Target="https://www.imdb.com/title/tt22297828/" TargetMode="External"/><Relationship Id="rId364" Type="http://schemas.openxmlformats.org/officeDocument/2006/relationships/hyperlink" Target="https://www.imdb.com/title/tt0471042/" TargetMode="External"/><Relationship Id="rId365" Type="http://schemas.openxmlformats.org/officeDocument/2006/relationships/hyperlink" Target="https://www.imdb.com/title/tt0364045/" TargetMode="External"/><Relationship Id="rId366" Type="http://schemas.openxmlformats.org/officeDocument/2006/relationships/hyperlink" Target="https://www.imdb.com/title/tt10627584/" TargetMode="External"/><Relationship Id="rId367" Type="http://schemas.openxmlformats.org/officeDocument/2006/relationships/hyperlink" Target="https://www.imdb.com/title/tt32420734/" TargetMode="External"/><Relationship Id="rId368" Type="http://schemas.openxmlformats.org/officeDocument/2006/relationships/hyperlink" Target="https://www.imdb.com/title/tt6000478/" TargetMode="External"/><Relationship Id="rId369" Type="http://schemas.openxmlformats.org/officeDocument/2006/relationships/hyperlink" Target="https://www.imdb.com/title/tt6155172/" TargetMode="External"/><Relationship Id="rId370" Type="http://schemas.openxmlformats.org/officeDocument/2006/relationships/hyperlink" Target="https://www.imdb.com/title/tt2066051/" TargetMode="External"/><Relationship Id="rId371" Type="http://schemas.openxmlformats.org/officeDocument/2006/relationships/hyperlink" Target="https://www.imdb.com/title/tt5870322/" TargetMode="External"/><Relationship Id="rId372" Type="http://schemas.openxmlformats.org/officeDocument/2006/relationships/hyperlink" Target="https://www.imdb.com/title/tt29623480/" TargetMode="External"/><Relationship Id="rId373" Type="http://schemas.openxmlformats.org/officeDocument/2006/relationships/hyperlink" Target="https://www.imdb.com/title/tt0150377/" TargetMode="External"/><Relationship Id="rId374" Type="http://schemas.openxmlformats.org/officeDocument/2006/relationships/hyperlink" Target="https://www.imdb.com/title/tt11016042/" TargetMode="External"/><Relationship Id="rId375" Type="http://schemas.openxmlformats.org/officeDocument/2006/relationships/hyperlink" Target="https://www.imdb.com/title/tt4969044/" TargetMode="External"/><Relationship Id="rId376" Type="http://schemas.openxmlformats.org/officeDocument/2006/relationships/hyperlink" Target="https://www.imdb.com/title/tt1436562/" TargetMode="External"/><Relationship Id="rId377" Type="http://schemas.openxmlformats.org/officeDocument/2006/relationships/hyperlink" Target="https://www.imdb.com/title/tt0308383/" TargetMode="External"/><Relationship Id="rId378" Type="http://schemas.openxmlformats.org/officeDocument/2006/relationships/hyperlink" Target="https://www.imdb.com/title/tt1173745/" TargetMode="External"/><Relationship Id="rId379" Type="http://schemas.openxmlformats.org/officeDocument/2006/relationships/hyperlink" Target="https://www.imdb.com/title/tt27502227/" TargetMode="External"/><Relationship Id="rId380" Type="http://schemas.openxmlformats.org/officeDocument/2006/relationships/hyperlink" Target="https://www.imdb.com/title/tt3759298/" TargetMode="External"/><Relationship Id="rId381" Type="http://schemas.openxmlformats.org/officeDocument/2006/relationships/hyperlink" Target="https://www.imdb.com/title/tt0083260/" TargetMode="External"/><Relationship Id="rId382" Type="http://schemas.openxmlformats.org/officeDocument/2006/relationships/hyperlink" Target="https://www.imdb.com/title/tt8613070/" TargetMode="External"/><Relationship Id="rId383" Type="http://schemas.openxmlformats.org/officeDocument/2006/relationships/hyperlink" Target="https://www.imdb.com/title/tt14892216/" TargetMode="External"/><Relationship Id="rId384" Type="http://schemas.openxmlformats.org/officeDocument/2006/relationships/hyperlink" Target="https://www.imdb.com/title/tt12731980/" TargetMode="External"/><Relationship Id="rId385" Type="http://schemas.openxmlformats.org/officeDocument/2006/relationships/hyperlink" Target="https://www.imdb.com/title/tt3365778/" TargetMode="External"/><Relationship Id="rId386" Type="http://schemas.openxmlformats.org/officeDocument/2006/relationships/hyperlink" Target="https://www.imdb.com/title/tt2452150/" TargetMode="External"/><Relationship Id="rId387" Type="http://schemas.openxmlformats.org/officeDocument/2006/relationships/hyperlink" Target="https://www.imdb.com/title/tt6914122/" TargetMode="External"/><Relationship Id="rId388" Type="http://schemas.openxmlformats.org/officeDocument/2006/relationships/hyperlink" Target="https://www.imdb.com/title/tt8510488/" TargetMode="External"/><Relationship Id="rId389" Type="http://schemas.openxmlformats.org/officeDocument/2006/relationships/hyperlink" Target="https://www.imdb.com/title/tt8936646/" TargetMode="External"/><Relationship Id="rId390" Type="http://schemas.openxmlformats.org/officeDocument/2006/relationships/hyperlink" Target="https://www.imdb.com/title/tt0180093/" TargetMode="External"/><Relationship Id="rId391" Type="http://schemas.openxmlformats.org/officeDocument/2006/relationships/hyperlink" Target="https://www.imdb.com/title/tt23849204/" TargetMode="External"/><Relationship Id="rId392" Type="http://schemas.openxmlformats.org/officeDocument/2006/relationships/hyperlink" Target="https://www.imdb.com/title/tt3011894/" TargetMode="External"/><Relationship Id="rId393" Type="http://schemas.openxmlformats.org/officeDocument/2006/relationships/hyperlink" Target="https://www.imdb.com/title/tt6878306/" TargetMode="External"/><Relationship Id="rId394" Type="http://schemas.openxmlformats.org/officeDocument/2006/relationships/hyperlink" Target="https://www.imdb.com/title/tt0490204/" TargetMode="External"/><Relationship Id="rId395" Type="http://schemas.openxmlformats.org/officeDocument/2006/relationships/hyperlink" Target="https://www.imdb.com/title/tt2710394/" TargetMode="External"/><Relationship Id="rId396" Type="http://schemas.openxmlformats.org/officeDocument/2006/relationships/hyperlink" Target="https://www.imdb.com/title/tt3268668/" TargetMode="External"/><Relationship Id="rId397" Type="http://schemas.openxmlformats.org/officeDocument/2006/relationships/hyperlink" Target="https://www.imdb.com/title/tt1967545/" TargetMode="External"/><Relationship Id="rId398" Type="http://schemas.openxmlformats.org/officeDocument/2006/relationships/hyperlink" Target="https://www.imdb.com/title/tt9506474/" TargetMode="External"/><Relationship Id="rId399" Type="http://schemas.openxmlformats.org/officeDocument/2006/relationships/hyperlink" Target="https://www.imdb.com/title/tt12101170/" TargetMode="External"/><Relationship Id="rId400" Type="http://schemas.openxmlformats.org/officeDocument/2006/relationships/hyperlink" Target="https://www.imdb.com/title/tt16030542/" TargetMode="External"/><Relationship Id="rId401" Type="http://schemas.openxmlformats.org/officeDocument/2006/relationships/hyperlink" Target="https://www.imdb.com/title/tt11252254/" TargetMode="External"/><Relationship Id="rId402" Type="http://schemas.openxmlformats.org/officeDocument/2006/relationships/hyperlink" Target="https://www.imdb.com/title/tt2235695/" TargetMode="External"/><Relationship Id="rId403" Type="http://schemas.openxmlformats.org/officeDocument/2006/relationships/hyperlink" Target="https://www.imdb.com/title/tt3236120/" TargetMode="External"/><Relationship Id="rId404" Type="http://schemas.openxmlformats.org/officeDocument/2006/relationships/hyperlink" Target="https://www.imdb.com/title/tt1846487/" TargetMode="External"/><Relationship Id="rId405" Type="http://schemas.openxmlformats.org/officeDocument/2006/relationships/hyperlink" Target="https://www.imdb.com/title/tt0114388/" TargetMode="External"/><Relationship Id="rId406" Type="http://schemas.openxmlformats.org/officeDocument/2006/relationships/hyperlink" Target="https://www.imdb.com/title/tt0350258/" TargetMode="External"/><Relationship Id="rId407" Type="http://schemas.openxmlformats.org/officeDocument/2006/relationships/hyperlink" Target="https://www.imdb.com/title/tt1784599/" TargetMode="External"/><Relationship Id="rId408" Type="http://schemas.openxmlformats.org/officeDocument/2006/relationships/hyperlink" Target="https://www.imdb.com/title/tt22497928/" TargetMode="External"/><Relationship Id="rId409" Type="http://schemas.openxmlformats.org/officeDocument/2006/relationships/hyperlink" Target="https://www.imdb.com/title/tt6017756/" TargetMode="External"/><Relationship Id="rId410" Type="http://schemas.openxmlformats.org/officeDocument/2006/relationships/hyperlink" Target="https://www.imdb.com/title/tt4807408/" TargetMode="External"/><Relationship Id="rId411" Type="http://schemas.openxmlformats.org/officeDocument/2006/relationships/hyperlink" Target="https://www.imdb.com/title/tt8633462/" TargetMode="External"/><Relationship Id="rId412" Type="http://schemas.openxmlformats.org/officeDocument/2006/relationships/hyperlink" Target="https://www.imdb.com/title/tt8885172/" TargetMode="External"/><Relationship Id="rId413" Type="http://schemas.openxmlformats.org/officeDocument/2006/relationships/hyperlink" Target="https://www.imdb.com/title/tt2194499/" TargetMode="External"/><Relationship Id="rId414" Type="http://schemas.openxmlformats.org/officeDocument/2006/relationships/hyperlink" Target="https://www.imdb.com/title/tt0104257/" TargetMode="External"/><Relationship Id="rId415" Type="http://schemas.openxmlformats.org/officeDocument/2006/relationships/hyperlink" Target="https://www.imdb.com/title/tt1226837/" TargetMode="External"/><Relationship Id="rId416" Type="http://schemas.openxmlformats.org/officeDocument/2006/relationships/hyperlink" Target="https://www.imdb.com/title/tt0989757/" TargetMode="External"/><Relationship Id="rId417" Type="http://schemas.openxmlformats.org/officeDocument/2006/relationships/hyperlink" Target="https://www.imdb.com/title/tt11687104/" TargetMode="External"/><Relationship Id="rId418" Type="http://schemas.openxmlformats.org/officeDocument/2006/relationships/hyperlink" Target="https://www.imdb.com/title/tt7654880/" TargetMode="External"/><Relationship Id="rId419" Type="http://schemas.openxmlformats.org/officeDocument/2006/relationships/hyperlink" Target="https://www.imdb.com/title/tt18075020/" TargetMode="External"/><Relationship Id="rId420" Type="http://schemas.openxmlformats.org/officeDocument/2006/relationships/hyperlink" Target="https://www.imdb.com/title/tt1010048/" TargetMode="External"/><Relationship Id="rId421" Type="http://schemas.openxmlformats.org/officeDocument/2006/relationships/hyperlink" Target="https://www.imdb.com/title/tt0887883/" TargetMode="External"/><Relationship Id="rId422" Type="http://schemas.openxmlformats.org/officeDocument/2006/relationships/hyperlink" Target="https://www.imdb.com/title/tt15213258/" TargetMode="External"/><Relationship Id="rId423" Type="http://schemas.openxmlformats.org/officeDocument/2006/relationships/hyperlink" Target="https://www.imdb.com/title/tt2800240/" TargetMode="External"/><Relationship Id="rId424" Type="http://schemas.openxmlformats.org/officeDocument/2006/relationships/hyperlink" Target="https://www.imdb.com/title/tt3742378/" TargetMode="External"/><Relationship Id="rId425" Type="http://schemas.openxmlformats.org/officeDocument/2006/relationships/hyperlink" Target="https://www.imdb.com/title/tt31019484/" TargetMode="External"/><Relationship Id="rId426" Type="http://schemas.openxmlformats.org/officeDocument/2006/relationships/hyperlink" Target="https://www.imdb.com/title/tt16745502/" TargetMode="External"/><Relationship Id="rId427" Type="http://schemas.openxmlformats.org/officeDocument/2006/relationships/hyperlink" Target="https://www.imdb.com/title/tt8439854/" TargetMode="External"/><Relationship Id="rId428" Type="http://schemas.openxmlformats.org/officeDocument/2006/relationships/hyperlink" Target="https://www.imdb.com/title/tt22227936/" TargetMode="External"/><Relationship Id="rId429" Type="http://schemas.openxmlformats.org/officeDocument/2006/relationships/hyperlink" Target="https://www.imdb.com/title/tt10344522/" TargetMode="External"/><Relationship Id="rId430" Type="http://schemas.openxmlformats.org/officeDocument/2006/relationships/hyperlink" Target="https://www.imdb.com/title/tt0181875/" TargetMode="External"/><Relationship Id="rId431" Type="http://schemas.openxmlformats.org/officeDocument/2006/relationships/hyperlink" Target="https://www.imdb.com/title/tt0386792/" TargetMode="External"/><Relationship Id="rId432" Type="http://schemas.openxmlformats.org/officeDocument/2006/relationships/hyperlink" Target="https://www.imdb.com/title/tt1878870/" TargetMode="External"/><Relationship Id="rId433" Type="http://schemas.openxmlformats.org/officeDocument/2006/relationships/hyperlink" Target="https://www.imdb.com/title/tt13540900/" TargetMode="External"/><Relationship Id="rId434" Type="http://schemas.openxmlformats.org/officeDocument/2006/relationships/hyperlink" Target="https://www.imdb.com/title/tt1280558/" TargetMode="External"/><Relationship Id="rId435" Type="http://schemas.openxmlformats.org/officeDocument/2006/relationships/hyperlink" Target="https://www.imdb.com/title/tt0111693/" TargetMode="External"/><Relationship Id="rId436" Type="http://schemas.openxmlformats.org/officeDocument/2006/relationships/hyperlink" Target="https://www.imdb.com/title/tt22247502/" TargetMode="External"/><Relationship Id="rId437" Type="http://schemas.openxmlformats.org/officeDocument/2006/relationships/hyperlink" Target="https://www.imdb.com/title/tt8760280/" TargetMode="External"/><Relationship Id="rId438" Type="http://schemas.openxmlformats.org/officeDocument/2006/relationships/hyperlink" Target="https://www.imdb.com/title/tt0060827/" TargetMode="External"/><Relationship Id="rId439" Type="http://schemas.openxmlformats.org/officeDocument/2006/relationships/hyperlink" Target="https://www.imdb.com/title/tt29482291/" TargetMode="External"/><Relationship Id="rId440" Type="http://schemas.openxmlformats.org/officeDocument/2006/relationships/hyperlink" Target="https://www.imdb.com/title/tt15175188/" TargetMode="External"/><Relationship Id="rId441" Type="http://schemas.openxmlformats.org/officeDocument/2006/relationships/hyperlink" Target="https://www.imdb.com/title/tt13279528/" TargetMode="External"/><Relationship Id="rId442" Type="http://schemas.openxmlformats.org/officeDocument/2006/relationships/hyperlink" Target="https://www.imdb.com/title/tt8697222/" TargetMode="External"/><Relationship Id="rId443" Type="http://schemas.openxmlformats.org/officeDocument/2006/relationships/hyperlink" Target="https://www.imdb.com/title/tt10023172/" TargetMode="External"/><Relationship Id="rId444" Type="http://schemas.openxmlformats.org/officeDocument/2006/relationships/hyperlink" Target="https://www.imdb.com/title/tt0110912/" TargetMode="External"/><Relationship Id="rId445" Type="http://schemas.openxmlformats.org/officeDocument/2006/relationships/hyperlink" Target="https://www.imdb.com/title/tt0054215/" TargetMode="External"/><Relationship Id="rId446" Type="http://schemas.openxmlformats.org/officeDocument/2006/relationships/hyperlink" Target="https://www.imdb.com/title/tt28267514/" TargetMode="External"/><Relationship Id="rId447" Type="http://schemas.openxmlformats.org/officeDocument/2006/relationships/hyperlink" Target="https://www.imdb.com/title/tt1396226/" TargetMode="External"/><Relationship Id="rId448" Type="http://schemas.openxmlformats.org/officeDocument/2006/relationships/hyperlink" Target="https://www.imdb.com/title/tt0107211/" TargetMode="External"/><Relationship Id="rId449" Type="http://schemas.openxmlformats.org/officeDocument/2006/relationships/hyperlink" Target="https://www.imdb.com/title/tt1446714/" TargetMode="External"/><Relationship Id="rId450" Type="http://schemas.openxmlformats.org/officeDocument/2006/relationships/hyperlink" Target="https://www.imdb.com/title/tt12888462/" TargetMode="External"/><Relationship Id="rId451" Type="http://schemas.openxmlformats.org/officeDocument/2006/relationships/hyperlink" Target="https://www.imdb.com/title/tt6133130/" TargetMode="External"/><Relationship Id="rId452" Type="http://schemas.openxmlformats.org/officeDocument/2006/relationships/hyperlink" Target="https://www.imdb.com/title/tt15334430/" TargetMode="External"/><Relationship Id="rId453" Type="http://schemas.openxmlformats.org/officeDocument/2006/relationships/hyperlink" Target="https://www.imdb.com/title/tt1360860/" TargetMode="External"/><Relationship Id="rId454" Type="http://schemas.openxmlformats.org/officeDocument/2006/relationships/hyperlink" Target="https://www.imdb.com/title/tt30217143/" TargetMode="External"/><Relationship Id="rId455" Type="http://schemas.openxmlformats.org/officeDocument/2006/relationships/hyperlink" Target="https://www.imdb.com/title/tt0109045/" TargetMode="External"/><Relationship Id="rId456" Type="http://schemas.openxmlformats.org/officeDocument/2006/relationships/hyperlink" Target="https://www.imdb.com/title/tt22041854/" TargetMode="External"/><Relationship Id="rId457" Type="http://schemas.openxmlformats.org/officeDocument/2006/relationships/hyperlink" Target="https://www.imdb.com/title/tt4882376/" TargetMode="External"/><Relationship Id="rId458" Type="http://schemas.openxmlformats.org/officeDocument/2006/relationships/hyperlink" Target="https://www.imdb.com/title/tt1292594/" TargetMode="External"/><Relationship Id="rId459" Type="http://schemas.openxmlformats.org/officeDocument/2006/relationships/hyperlink" Target="https://www.imdb.com/title/tt6690004/" TargetMode="External"/><Relationship Id="rId460" Type="http://schemas.openxmlformats.org/officeDocument/2006/relationships/hyperlink" Target="https://www.imdb.com/title/tt0374546/" TargetMode="External"/><Relationship Id="rId461" Type="http://schemas.openxmlformats.org/officeDocument/2006/relationships/hyperlink" Target="https://www.imdb.com/title/tt32547691/" TargetMode="External"/><Relationship Id="rId462" Type="http://schemas.openxmlformats.org/officeDocument/2006/relationships/hyperlink" Target="https://www.imdb.com/title/tt0448011/" TargetMode="External"/><Relationship Id="rId463" Type="http://schemas.openxmlformats.org/officeDocument/2006/relationships/hyperlink" Target="https://www.imdb.com/title/tt0092605/" TargetMode="External"/><Relationship Id="rId464" Type="http://schemas.openxmlformats.org/officeDocument/2006/relationships/hyperlink" Target="https://www.imdb.com/title/tt0264464/" TargetMode="External"/><Relationship Id="rId465" Type="http://schemas.openxmlformats.org/officeDocument/2006/relationships/hyperlink" Target="https://www.imdb.com/title/tt0477071/" TargetMode="External"/><Relationship Id="rId466" Type="http://schemas.openxmlformats.org/officeDocument/2006/relationships/hyperlink" Target="https://www.imdb.com/title/tt1242460/" TargetMode="External"/><Relationship Id="rId467" Type="http://schemas.openxmlformats.org/officeDocument/2006/relationships/hyperlink" Target="https://www.imdb.com/title/tt0929632/" TargetMode="External"/><Relationship Id="rId468" Type="http://schemas.openxmlformats.org/officeDocument/2006/relationships/hyperlink" Target="https://www.imdb.com/title/tt0929632/" TargetMode="External"/><Relationship Id="rId469" Type="http://schemas.openxmlformats.org/officeDocument/2006/relationships/hyperlink" Target="https://www.imdb.com/title/tt1850397/" TargetMode="External"/><Relationship Id="rId470" Type="http://schemas.openxmlformats.org/officeDocument/2006/relationships/hyperlink" Target="https://www.imdb.com/title/tt10850932/" TargetMode="External"/><Relationship Id="rId471" Type="http://schemas.openxmlformats.org/officeDocument/2006/relationships/hyperlink" Target="https://www.imdb.com/title/tt3833480/" TargetMode="External"/><Relationship Id="rId472" Type="http://schemas.openxmlformats.org/officeDocument/2006/relationships/hyperlink" Target="https://www.imdb.com/title/tt4486986/" TargetMode="External"/><Relationship Id="rId473" Type="http://schemas.openxmlformats.org/officeDocument/2006/relationships/hyperlink" Target="https://www.imdb.com/title/tt3907584/" TargetMode="External"/><Relationship Id="rId474" Type="http://schemas.openxmlformats.org/officeDocument/2006/relationships/hyperlink" Target="https://www.imdb.com/title/tt0416320/" TargetMode="External"/><Relationship Id="rId475" Type="http://schemas.openxmlformats.org/officeDocument/2006/relationships/hyperlink" Target="https://www.imdb.com/title/tt3682448/" TargetMode="External"/><Relationship Id="rId476" Type="http://schemas.openxmlformats.org/officeDocument/2006/relationships/hyperlink" Target="https://www.imdb.com/title/tt3636060/" TargetMode="External"/><Relationship Id="rId477" Type="http://schemas.openxmlformats.org/officeDocument/2006/relationships/hyperlink" Target="https://www.imdb.com/title/tt1287878/" TargetMode="External"/><Relationship Id="rId478" Type="http://schemas.openxmlformats.org/officeDocument/2006/relationships/hyperlink" Target="https://www.imdb.com/title/tt4595882/" TargetMode="External"/><Relationship Id="rId479" Type="http://schemas.openxmlformats.org/officeDocument/2006/relationships/hyperlink" Target="https://www.imdb.com/title/tt8707922/" TargetMode="External"/><Relationship Id="rId480" Type="http://schemas.openxmlformats.org/officeDocument/2006/relationships/hyperlink" Target="https://www.imdb.com/title/tt14230458/" TargetMode="External"/><Relationship Id="rId481" Type="http://schemas.openxmlformats.org/officeDocument/2006/relationships/hyperlink" Target="https://www.imdb.com/title/tt0091763/" TargetMode="External"/><Relationship Id="rId482" Type="http://schemas.openxmlformats.org/officeDocument/2006/relationships/hyperlink" Target="https://www.imdb.com/title/tt1212436/" TargetMode="External"/><Relationship Id="rId483" Type="http://schemas.openxmlformats.org/officeDocument/2006/relationships/hyperlink" Target="https://www.imdb.com/title/tt0325980/" TargetMode="External"/><Relationship Id="rId484" Type="http://schemas.openxmlformats.org/officeDocument/2006/relationships/hyperlink" Target="https://www.imdb.com/title/tt0168122/" TargetMode="External"/><Relationship Id="rId485" Type="http://schemas.openxmlformats.org/officeDocument/2006/relationships/hyperlink" Target="https://www.imdb.com/title/tt1488589/" TargetMode="External"/><Relationship Id="rId486" Type="http://schemas.openxmlformats.org/officeDocument/2006/relationships/hyperlink" Target="https://www.imdb.com/title/tt5571734/" TargetMode="External"/><Relationship Id="rId487" Type="http://schemas.openxmlformats.org/officeDocument/2006/relationships/hyperlink" Target="https://www.imdb.com/title/tt11161474/" TargetMode="External"/><Relationship Id="rId488" Type="http://schemas.openxmlformats.org/officeDocument/2006/relationships/hyperlink" Target="https://www.imdb.com/title/tt0450188/" TargetMode="External"/><Relationship Id="rId489" Type="http://schemas.openxmlformats.org/officeDocument/2006/relationships/hyperlink" Target="https://www.imdb.com/title/tt2431286/" TargetMode="External"/><Relationship Id="rId490" Type="http://schemas.openxmlformats.org/officeDocument/2006/relationships/hyperlink" Target="https://www.imdb.com/title/tt13456318/" TargetMode="External"/><Relationship Id="rId491" Type="http://schemas.openxmlformats.org/officeDocument/2006/relationships/hyperlink" Target="https://www.imdb.com/title/tt0396171/" TargetMode="External"/><Relationship Id="rId492" Type="http://schemas.openxmlformats.org/officeDocument/2006/relationships/hyperlink" Target="https://www.imdb.com/title/tt0105323/" TargetMode="External"/><Relationship Id="rId493" Type="http://schemas.openxmlformats.org/officeDocument/2006/relationships/hyperlink" Target="https://www.imdb.com/title/tt4901306/" TargetMode="External"/><Relationship Id="rId494" Type="http://schemas.openxmlformats.org/officeDocument/2006/relationships/hyperlink" Target="https://www.imdb.com/title/tt17162524/" TargetMode="External"/><Relationship Id="rId495" Type="http://schemas.openxmlformats.org/officeDocument/2006/relationships/hyperlink" Target="https://www.imdb.com/title/tt0064665/" TargetMode="External"/><Relationship Id="rId496" Type="http://schemas.openxmlformats.org/officeDocument/2006/relationships/hyperlink" Target="https://www.imdb.com/title/tt3659388/" TargetMode="External"/><Relationship Id="rId497" Type="http://schemas.openxmlformats.org/officeDocument/2006/relationships/hyperlink" Target="https://www.imdb.com/title/tt10064124/" TargetMode="External"/><Relationship Id="rId498" Type="http://schemas.openxmlformats.org/officeDocument/2006/relationships/hyperlink" Target="https://www.imdb.com/title/tt0104237/" TargetMode="External"/><Relationship Id="rId499" Type="http://schemas.openxmlformats.org/officeDocument/2006/relationships/hyperlink" Target="https://www.imdb.com/title/tt8089592/" TargetMode="External"/><Relationship Id="rId500" Type="http://schemas.openxmlformats.org/officeDocument/2006/relationships/hyperlink" Target="https://www.imdb.com/title/tt32591211/" TargetMode="External"/><Relationship Id="rId501" Type="http://schemas.openxmlformats.org/officeDocument/2006/relationships/hyperlink" Target="https://www.imdb.com/title/tt1352393/" TargetMode="External"/><Relationship Id="rId502" Type="http://schemas.openxmlformats.org/officeDocument/2006/relationships/hyperlink" Target="https://www.imdb.com/title/tt27196021/" TargetMode="External"/><Relationship Id="rId503" Type="http://schemas.openxmlformats.org/officeDocument/2006/relationships/hyperlink" Target="https://www.imdb.com/title/tt20234774/" TargetMode="External"/><Relationship Id="rId504" Type="http://schemas.openxmlformats.org/officeDocument/2006/relationships/hyperlink" Target="https://www.imdb.com/title/tt0449059/" TargetMode="External"/><Relationship Id="rId505" Type="http://schemas.openxmlformats.org/officeDocument/2006/relationships/hyperlink" Target="https://www.imdb.com/title/tt33378120/" TargetMode="External"/><Relationship Id="rId506" Type="http://schemas.openxmlformats.org/officeDocument/2006/relationships/hyperlink" Target="https://www.imdb.com/title/tt0319061/" TargetMode="External"/><Relationship Id="rId507" Type="http://schemas.openxmlformats.org/officeDocument/2006/relationships/hyperlink" Target="https://www.imdb.com/title/tt21957774/" TargetMode="External"/><Relationship Id="rId508" Type="http://schemas.openxmlformats.org/officeDocument/2006/relationships/hyperlink" Target="https://www.imdb.com/title/tt11161474/" TargetMode="External"/><Relationship Id="rId509" Type="http://schemas.openxmlformats.org/officeDocument/2006/relationships/hyperlink" Target="https://www.imdb.com/title/tt21993128/" TargetMode="External"/><Relationship Id="rId510" Type="http://schemas.openxmlformats.org/officeDocument/2006/relationships/hyperlink" Target="https://www.imdb.com/title/tt0404203/" TargetMode="External"/><Relationship Id="rId511" Type="http://schemas.openxmlformats.org/officeDocument/2006/relationships/hyperlink" Target="https://www.imdb.com/title/tt31193180/" TargetMode="External"/><Relationship Id="rId512" Type="http://schemas.openxmlformats.org/officeDocument/2006/relationships/hyperlink" Target="https://www.imdb.com/title/tt0213149/" TargetMode="External"/><Relationship Id="rId513" Type="http://schemas.openxmlformats.org/officeDocument/2006/relationships/hyperlink" Target="https://www.imdb.com/title/tt2442560/" TargetMode="External"/><Relationship Id="rId514" Type="http://schemas.openxmlformats.org/officeDocument/2006/relationships/hyperlink" Target="https://www.imdb.com/title/tt5247022/" TargetMode="External"/><Relationship Id="rId515" Type="http://schemas.openxmlformats.org/officeDocument/2006/relationships/hyperlink" Target="https://www.imdb.com/title/tt4733624/" TargetMode="External"/><Relationship Id="rId516" Type="http://schemas.openxmlformats.org/officeDocument/2006/relationships/hyperlink" Target="https://www.imdb.com/title/tt0129290/" TargetMode="External"/><Relationship Id="rId517" Type="http://schemas.openxmlformats.org/officeDocument/2006/relationships/hyperlink" Target="https://www.imdb.com/title/tt0376479/" TargetMode="External"/><Relationship Id="rId518" Type="http://schemas.openxmlformats.org/officeDocument/2006/relationships/hyperlink" Target="https://www.imdb.com/title/tt15083184/" TargetMode="External"/><Relationship Id="rId519" Type="http://schemas.openxmlformats.org/officeDocument/2006/relationships/hyperlink" Target="https://www.imdb.com/title/tt11068094/" TargetMode="External"/><Relationship Id="rId520" Type="http://schemas.openxmlformats.org/officeDocument/2006/relationships/hyperlink" Target="https://www.imdb.com/title/tt10343984/" TargetMode="External"/><Relationship Id="rId521" Type="http://schemas.openxmlformats.org/officeDocument/2006/relationships/hyperlink" Target="https://www.imdb.com/title/tt0105097/" TargetMode="External"/><Relationship Id="rId522" Type="http://schemas.openxmlformats.org/officeDocument/2006/relationships/hyperlink" Target="https://www.imdb.com/title/tt6751668/" TargetMode="External"/><Relationship Id="rId523" Type="http://schemas.openxmlformats.org/officeDocument/2006/relationships/hyperlink" Target="https://www.imdb.com/title/tt0445620/" TargetMode="External"/><Relationship Id="rId524" Type="http://schemas.openxmlformats.org/officeDocument/2006/relationships/hyperlink" Target="https://www.imdb.com/title/tt27444205/" TargetMode="External"/><Relationship Id="rId525" Type="http://schemas.openxmlformats.org/officeDocument/2006/relationships/hyperlink" Target="https://www.imdb.com/title/tt6462806/" TargetMode="External"/><Relationship Id="rId526" Type="http://schemas.openxmlformats.org/officeDocument/2006/relationships/hyperlink" Target="https://www.imdb.com/title/tt0300140/" TargetMode="External"/><Relationship Id="rId527" Type="http://schemas.openxmlformats.org/officeDocument/2006/relationships/hyperlink" Target="https://www.imdb.com/title/tt3316960/" TargetMode="External"/><Relationship Id="rId528" Type="http://schemas.openxmlformats.org/officeDocument/2006/relationships/hyperlink" Target="https://www.imdb.com/title/tt1606389/" TargetMode="External"/><Relationship Id="rId529" Type="http://schemas.openxmlformats.org/officeDocument/2006/relationships/hyperlink" Target="https://www.imdb.com/title/tt9617456/" TargetMode="External"/><Relationship Id="rId530" Type="http://schemas.openxmlformats.org/officeDocument/2006/relationships/hyperlink" Target="https://www.imdb.com/title/tt1859650/" TargetMode="External"/><Relationship Id="rId531" Type="http://schemas.openxmlformats.org/officeDocument/2006/relationships/hyperlink" Target="https://www.imdb.com/title/tt0070511/" TargetMode="External"/><Relationship Id="rId532" Type="http://schemas.openxmlformats.org/officeDocument/2006/relationships/hyperlink" Target="https://www.imdb.com/title/tt1825683/" TargetMode="External"/><Relationship Id="rId533" Type="http://schemas.openxmlformats.org/officeDocument/2006/relationships/hyperlink" Target="https://www.imdb.com/title/tt6857376/" TargetMode="External"/><Relationship Id="rId534" Type="http://schemas.openxmlformats.org/officeDocument/2006/relationships/hyperlink" Target="https://www.imdb.com/title/tt3202202/" TargetMode="External"/><Relationship Id="rId535" Type="http://schemas.openxmlformats.org/officeDocument/2006/relationships/hyperlink" Target="https://www.imdb.com/title/tt8045906/" TargetMode="External"/><Relationship Id="rId536" Type="http://schemas.openxmlformats.org/officeDocument/2006/relationships/hyperlink" Target="https://www.imdb.com/title/tt0387059/" TargetMode="External"/><Relationship Id="rId537" Type="http://schemas.openxmlformats.org/officeDocument/2006/relationships/hyperlink" Target="https://www.imdb.com/title/tt14995258/" TargetMode="External"/><Relationship Id="rId538" Type="http://schemas.openxmlformats.org/officeDocument/2006/relationships/hyperlink" Target="https://www.imdb.com/title/tt10675042/" TargetMode="External"/><Relationship Id="rId539" Type="http://schemas.openxmlformats.org/officeDocument/2006/relationships/hyperlink" Target="https://www.imdb.com/title/tt3462710/" TargetMode="External"/><Relationship Id="rId540" Type="http://schemas.openxmlformats.org/officeDocument/2006/relationships/hyperlink" Target="https://www.imdb.com/title/tt2331143/" TargetMode="External"/><Relationship Id="rId541" Type="http://schemas.openxmlformats.org/officeDocument/2006/relationships/hyperlink" Target="https://www.imdb.com/title/tt2582502/" TargetMode="External"/><Relationship Id="rId542" Type="http://schemas.openxmlformats.org/officeDocument/2006/relationships/hyperlink" Target="https://www.imdb.com/title/tt19704638/" TargetMode="External"/><Relationship Id="rId543" Type="http://schemas.openxmlformats.org/officeDocument/2006/relationships/hyperlink" Target="https://www.imdb.com/title/tt31189315/" TargetMode="External"/><Relationship Id="rId544" Type="http://schemas.openxmlformats.org/officeDocument/2006/relationships/hyperlink" Target="https://www.imdb.com/title/tt15538570/" TargetMode="External"/><Relationship Id="rId545" Type="http://schemas.openxmlformats.org/officeDocument/2006/relationships/hyperlink" Target="https://www.imdb.com/title/tt8041276/" TargetMode="External"/><Relationship Id="rId546" Type="http://schemas.openxmlformats.org/officeDocument/2006/relationships/hyperlink" Target="https://www.imdb.com/title/tt7218518/" TargetMode="External"/><Relationship Id="rId547" Type="http://schemas.openxmlformats.org/officeDocument/2006/relationships/hyperlink" Target="https://www.imdb.com/title/tt0431308/" TargetMode="External"/><Relationship Id="rId548" Type="http://schemas.openxmlformats.org/officeDocument/2006/relationships/hyperlink" Target="https://www.imdb.com/title/tt5071412/" TargetMode="External"/><Relationship Id="rId549" Type="http://schemas.openxmlformats.org/officeDocument/2006/relationships/hyperlink" Target="https://www.imdb.com/title/tt3006802/" TargetMode="External"/><Relationship Id="rId550" Type="http://schemas.openxmlformats.org/officeDocument/2006/relationships/hyperlink" Target="https://www.imdb.com/title/tt1736633/" TargetMode="External"/><Relationship Id="rId551" Type="http://schemas.openxmlformats.org/officeDocument/2006/relationships/hyperlink" Target="https://www.imdb.com/title/tt0368913/" TargetMode="External"/><Relationship Id="rId552" Type="http://schemas.openxmlformats.org/officeDocument/2006/relationships/hyperlink" Target="https://www.imdb.com/title/tt0112818/" TargetMode="External"/><Relationship Id="rId553" Type="http://schemas.openxmlformats.org/officeDocument/2006/relationships/hyperlink" Target="https://www.imdb.com/title/tt7949606/" TargetMode="External"/><Relationship Id="rId554" Type="http://schemas.openxmlformats.org/officeDocument/2006/relationships/hyperlink" Target="https://www.imdb.com/title/tt10970762/" TargetMode="External"/><Relationship Id="rId555" Type="http://schemas.openxmlformats.org/officeDocument/2006/relationships/hyperlink" Target="https://www.imdb.com/title/tt0114814/" TargetMode="External"/><Relationship Id="rId556" Type="http://schemas.openxmlformats.org/officeDocument/2006/relationships/hyperlink" Target="https://www.imdb.com/title/tt1392214/" TargetMode="External"/><Relationship Id="rId557" Type="http://schemas.openxmlformats.org/officeDocument/2006/relationships/hyperlink" Target="https://www.imdb.com/title/tt31974288/" TargetMode="External"/><Relationship Id="rId558" Type="http://schemas.openxmlformats.org/officeDocument/2006/relationships/hyperlink" Target="https://www.imdb.com/title/tt13150630/" TargetMode="External"/><Relationship Id="rId559" Type="http://schemas.openxmlformats.org/officeDocument/2006/relationships/hyperlink" Target="https://www.imdb.com/title/tt10483610/" TargetMode="External"/><Relationship Id="rId560" Type="http://schemas.openxmlformats.org/officeDocument/2006/relationships/hyperlink" Target="https://www.imdb.com/title/tt10307724/" TargetMode="External"/><Relationship Id="rId561" Type="http://schemas.openxmlformats.org/officeDocument/2006/relationships/hyperlink" Target="https://www.imdb.com/title/tt14849194/" TargetMode="External"/><Relationship Id="rId562" Type="http://schemas.openxmlformats.org/officeDocument/2006/relationships/hyperlink" Target="https://www.imdb.com/title/tt1453159/" TargetMode="External"/><Relationship Id="rId563" Type="http://schemas.openxmlformats.org/officeDocument/2006/relationships/hyperlink" Target="https://www.imdb.com/title/tt17075746/" TargetMode="External"/><Relationship Id="rId564" Type="http://schemas.openxmlformats.org/officeDocument/2006/relationships/hyperlink" Target="https://www.imdb.com/title/tt3460252/" TargetMode="External"/><Relationship Id="rId565" Type="http://schemas.openxmlformats.org/officeDocument/2006/relationships/hyperlink" Target="https://www.imdb.com/title/tt1707386/" TargetMode="External"/><Relationship Id="rId566" Type="http://schemas.openxmlformats.org/officeDocument/2006/relationships/hyperlink" Target="https://www.imdb.com/title/tt5536736/" TargetMode="External"/><Relationship Id="rId567" Type="http://schemas.openxmlformats.org/officeDocument/2006/relationships/hyperlink" Target="https://www.imdb.com/title/tt9075612/" TargetMode="External"/><Relationship Id="rId568" Type="http://schemas.openxmlformats.org/officeDocument/2006/relationships/hyperlink" Target="https://www.imdb.com/title/tt0260634/" TargetMode="External"/><Relationship Id="rId569" Type="http://schemas.openxmlformats.org/officeDocument/2006/relationships/hyperlink" Target="https://www.imdb.com/title/tt1212450/" TargetMode="External"/><Relationship Id="rId570" Type="http://schemas.openxmlformats.org/officeDocument/2006/relationships/hyperlink" Target="https://www.imdb.com/title/tt0407887/" TargetMode="External"/><Relationship Id="rId571" Type="http://schemas.openxmlformats.org/officeDocument/2006/relationships/hyperlink" Target="https://www.imdb.com/title/tt10168672/" TargetMode="External"/><Relationship Id="rId572" Type="http://schemas.openxmlformats.org/officeDocument/2006/relationships/hyperlink" Target="https://www.imdb.com/title/tt0381849/" TargetMode="External"/><Relationship Id="rId573" Type="http://schemas.openxmlformats.org/officeDocument/2006/relationships/hyperlink" Target="https://www.imdb.com/title/tt0105695/" TargetMode="External"/><Relationship Id="rId574" Type="http://schemas.openxmlformats.org/officeDocument/2006/relationships/hyperlink" Target="https://www.imdb.com/title/tt13308276/" TargetMode="External"/><Relationship Id="rId575" Type="http://schemas.openxmlformats.org/officeDocument/2006/relationships/hyperlink" Target="https://www.imdb.com/title/tt0813547/" TargetMode="External"/><Relationship Id="rId576" Type="http://schemas.openxmlformats.org/officeDocument/2006/relationships/hyperlink" Target="https://www.imdb.com/title/tt14208870/" TargetMode="External"/><Relationship Id="rId577" Type="http://schemas.openxmlformats.org/officeDocument/2006/relationships/hyperlink" Target="https://www.imdb.com/title/tt3344694/" TargetMode="External"/><Relationship Id="rId578" Type="http://schemas.openxmlformats.org/officeDocument/2006/relationships/hyperlink" Target="https://www.imdb.com/title/tt38091266/" TargetMode="External"/><Relationship Id="rId579" Type="http://schemas.openxmlformats.org/officeDocument/2006/relationships/hyperlink" Target="https://www.imdb.com/title/tt28657879/" TargetMode="External"/><Relationship Id="rId580" Type="http://schemas.openxmlformats.org/officeDocument/2006/relationships/hyperlink" Target="https://www.imdb.com/title/tt1033575/" TargetMode="External"/><Relationship Id="rId581" Type="http://schemas.openxmlformats.org/officeDocument/2006/relationships/hyperlink" Target="https://www.imdb.com/title/tt33508491/" TargetMode="External"/><Relationship Id="rId582" Type="http://schemas.openxmlformats.org/officeDocument/2006/relationships/hyperlink" Target="https://www.imdb.com/title/tt0082971/" TargetMode="External"/><Relationship Id="rId583" Type="http://schemas.openxmlformats.org/officeDocument/2006/relationships/hyperlink" Target="https://www.imdb.com/title/tt1582457/" TargetMode="External"/><Relationship Id="rId584" Type="http://schemas.openxmlformats.org/officeDocument/2006/relationships/hyperlink" Target="https://www.imdb.com/title/tt0099685/" TargetMode="External"/><Relationship Id="rId585" Type="http://schemas.openxmlformats.org/officeDocument/2006/relationships/hyperlink" Target="https://www.imdb.com/title/tt11813216/" TargetMode="External"/><Relationship Id="rId586" Type="http://schemas.openxmlformats.org/officeDocument/2006/relationships/hyperlink" Target="https://www.imdb.com/title/tt5749974/" TargetMode="External"/><Relationship Id="rId587" Type="http://schemas.openxmlformats.org/officeDocument/2006/relationships/hyperlink" Target="https://www.imdb.com/title/tt1070874/" TargetMode="External"/><Relationship Id="rId588" Type="http://schemas.openxmlformats.org/officeDocument/2006/relationships/hyperlink" Target="https://www.imdb.com/title/tt0114746/" TargetMode="External"/><Relationship Id="rId589" Type="http://schemas.openxmlformats.org/officeDocument/2006/relationships/hyperlink" Target="https://www.imdb.com/title/tt13321244/" TargetMode="External"/><Relationship Id="rId590" Type="http://schemas.openxmlformats.org/officeDocument/2006/relationships/hyperlink" Target="https://www.imdb.com/title/tt0414387/" TargetMode="External"/><Relationship Id="rId591" Type="http://schemas.openxmlformats.org/officeDocument/2006/relationships/hyperlink" Target="https://www.imdb.com/title/tt15398776/" TargetMode="External"/><Relationship Id="rId592" Type="http://schemas.openxmlformats.org/officeDocument/2006/relationships/hyperlink" Target="https://www.imdb.com/title/tt5208252/" TargetMode="External"/><Relationship Id="rId593" Type="http://schemas.openxmlformats.org/officeDocument/2006/relationships/hyperlink" Target="https://www.imdb.com/title/tt5974626/" TargetMode="External"/><Relationship Id="rId594" Type="http://schemas.openxmlformats.org/officeDocument/2006/relationships/hyperlink" Target="https://www.imdb.com/title/tt1563738/" TargetMode="External"/><Relationship Id="rId595" Type="http://schemas.openxmlformats.org/officeDocument/2006/relationships/hyperlink" Target="https://www.imdb.com/title/tt0386117/" TargetMode="External"/><Relationship Id="rId596" Type="http://schemas.openxmlformats.org/officeDocument/2006/relationships/hyperlink" Target="https://www.imdb.com/title/tt0477348/" TargetMode="External"/><Relationship Id="rId597" Type="http://schemas.openxmlformats.org/officeDocument/2006/relationships/hyperlink" Target="https://www.imdb.com/title/tt1536537/" TargetMode="External"/><Relationship Id="rId598" Type="http://schemas.openxmlformats.org/officeDocument/2006/relationships/hyperlink" Target="https://www.imdb.com/title/tt11116290/" TargetMode="External"/><Relationship Id="rId599" Type="http://schemas.openxmlformats.org/officeDocument/2006/relationships/hyperlink" Target="https://www.imdb.com/title/tt7137906/" TargetMode="External"/><Relationship Id="rId600" Type="http://schemas.openxmlformats.org/officeDocument/2006/relationships/hyperlink" Target="https://www.imdb.com/title/tt0364569/" TargetMode="External"/><Relationship Id="rId601" Type="http://schemas.openxmlformats.org/officeDocument/2006/relationships/hyperlink" Target="https://www.imdb.com/title/tt7014006/" TargetMode="External"/><Relationship Id="rId602" Type="http://schemas.openxmlformats.org/officeDocument/2006/relationships/hyperlink" Target="https://www.imdb.com/title/tt25433734/" TargetMode="External"/><Relationship Id="rId603" Type="http://schemas.openxmlformats.org/officeDocument/2006/relationships/hyperlink" Target="https://www.imdb.com/title/tt9419834/" TargetMode="External"/><Relationship Id="rId604" Type="http://schemas.openxmlformats.org/officeDocument/2006/relationships/hyperlink" Target="https://www.imdb.com/title/tt0427944/" TargetMode="External"/><Relationship Id="rId605" Type="http://schemas.openxmlformats.org/officeDocument/2006/relationships/hyperlink" Target="https://www.imdb.com/title/tt1730768/" TargetMode="External"/><Relationship Id="rId606" Type="http://schemas.openxmlformats.org/officeDocument/2006/relationships/hyperlink" Target="https://www.imdb.com/title/tt1907668/" TargetMode="External"/><Relationship Id="rId607" Type="http://schemas.openxmlformats.org/officeDocument/2006/relationships/hyperlink" Target="https://www.imdb.com/title/tt14369276/" TargetMode="External"/><Relationship Id="rId608" Type="http://schemas.openxmlformats.org/officeDocument/2006/relationships/hyperlink" Target="https://www.imdb.com/title/tt0377084/" TargetMode="External"/><Relationship Id="rId609" Type="http://schemas.openxmlformats.org/officeDocument/2006/relationships/hyperlink" Target="https://www.imdb.com/title/tt5496926/" TargetMode="External"/><Relationship Id="rId610" Type="http://schemas.openxmlformats.org/officeDocument/2006/relationships/hyperlink" Target="https://www.imdb.com/title/tt0964517/" TargetMode="External"/><Relationship Id="rId611" Type="http://schemas.openxmlformats.org/officeDocument/2006/relationships/hyperlink" Target="https://www.imdb.com/title/tt6053948/" TargetMode="External"/><Relationship Id="rId612" Type="http://schemas.openxmlformats.org/officeDocument/2006/relationships/hyperlink" Target="https://www.imdb.com/title/tt8337320/" TargetMode="External"/><Relationship Id="rId613" Type="http://schemas.openxmlformats.org/officeDocument/2006/relationships/hyperlink" Target="https://www.imdb.com/title/tt21735972/" TargetMode="External"/><Relationship Id="rId614" Type="http://schemas.openxmlformats.org/officeDocument/2006/relationships/hyperlink" Target="https://www.imdb.com/title/tt0325710/" TargetMode="External"/><Relationship Id="rId615" Type="http://schemas.openxmlformats.org/officeDocument/2006/relationships/hyperlink" Target="https://www.imdb.com/title/tt4179452/" TargetMode="External"/><Relationship Id="rId616" Type="http://schemas.openxmlformats.org/officeDocument/2006/relationships/hyperlink" Target="https://www.imdb.com/title/tt0455590/" TargetMode="External"/><Relationship Id="rId617" Type="http://schemas.openxmlformats.org/officeDocument/2006/relationships/hyperlink" Target="https://www.imdb.com/title/tt19883634/" TargetMode="External"/><Relationship Id="rId618" Type="http://schemas.openxmlformats.org/officeDocument/2006/relationships/hyperlink" Target="https://www.imdb.com/title/tt0093389/" TargetMode="External"/><Relationship Id="rId619" Type="http://schemas.openxmlformats.org/officeDocument/2006/relationships/hyperlink" Target="https://www.imdb.com/title/tt4244994/" TargetMode="External"/><Relationship Id="rId620" Type="http://schemas.openxmlformats.org/officeDocument/2006/relationships/hyperlink" Target="https://www.imdb.com/title/tt0104691/" TargetMode="External"/><Relationship Id="rId621" Type="http://schemas.openxmlformats.org/officeDocument/2006/relationships/hyperlink" Target="https://www.imdb.com/title/tt35340614/" TargetMode="External"/><Relationship Id="rId622" Type="http://schemas.openxmlformats.org/officeDocument/2006/relationships/hyperlink" Target="https://www.imdb.com/title/tt1838603/" TargetMode="External"/><Relationship Id="rId623" Type="http://schemas.openxmlformats.org/officeDocument/2006/relationships/hyperlink" Target="https://www.imdb.com/title/tt1243957/" TargetMode="External"/><Relationship Id="rId624" Type="http://schemas.openxmlformats.org/officeDocument/2006/relationships/hyperlink" Target="https://www.imdb.com/title/tt11847842/" TargetMode="External"/><Relationship Id="rId625" Type="http://schemas.openxmlformats.org/officeDocument/2006/relationships/hyperlink" Target="https://www.imdb.com/title/tt29242846/" TargetMode="External"/><Relationship Id="rId626" Type="http://schemas.openxmlformats.org/officeDocument/2006/relationships/hyperlink" Target="https://www.imdb.com/title/tt4488744/" TargetMode="External"/><Relationship Id="rId627" Type="http://schemas.openxmlformats.org/officeDocument/2006/relationships/hyperlink" Target="https://www.imdb.com/title/tt0190332/" TargetMode="External"/><Relationship Id="rId628" Type="http://schemas.openxmlformats.org/officeDocument/2006/relationships/hyperlink" Target="https://www.imdb.com/title/tt6571548/" TargetMode="External"/><Relationship Id="rId629" Type="http://schemas.openxmlformats.org/officeDocument/2006/relationships/hyperlink" Target="https://www.imdb.com/title/tt40191089/" TargetMode="External"/><Relationship Id="rId630" Type="http://schemas.openxmlformats.org/officeDocument/2006/relationships/hyperlink" Target="https://www.imdb.com/title/tt1864750/" TargetMode="External"/><Relationship Id="rId631" Type="http://schemas.openxmlformats.org/officeDocument/2006/relationships/hyperlink" Target="https://www.imdb.com/title/tt9779658/" TargetMode="External"/><Relationship Id="rId632" Type="http://schemas.openxmlformats.org/officeDocument/2006/relationships/hyperlink" Target="https://www.imdb.com/title/tt12908110/" TargetMode="External"/><Relationship Id="rId633" Type="http://schemas.openxmlformats.org/officeDocument/2006/relationships/hyperlink" Target="https://www.imdb.com/title/tt0134119/" TargetMode="External"/><Relationship Id="rId634" Type="http://schemas.openxmlformats.org/officeDocument/2006/relationships/hyperlink" Target="https://www.imdb.com/title/tt6970700/" TargetMode="External"/><Relationship Id="rId635" Type="http://schemas.openxmlformats.org/officeDocument/2006/relationships/hyperlink" Target="https://www.imdb.com/title/tt0117774/" TargetMode="External"/><Relationship Id="rId636" Type="http://schemas.openxmlformats.org/officeDocument/2006/relationships/hyperlink" Target="https://www.imdb.com/title/tt1683526/" TargetMode="External"/><Relationship Id="rId637" Type="http://schemas.openxmlformats.org/officeDocument/2006/relationships/hyperlink" Target="https://www.imdb.com/title/tt0304415/" TargetMode="External"/><Relationship Id="rId638" Type="http://schemas.openxmlformats.org/officeDocument/2006/relationships/hyperlink" Target="https://www.imdb.com/title/tt0795493/" TargetMode="External"/><Relationship Id="rId639" Type="http://schemas.openxmlformats.org/officeDocument/2006/relationships/hyperlink" Target="https://www.imdb.com/title/tt5363618/" TargetMode="External"/><Relationship Id="rId640" Type="http://schemas.openxmlformats.org/officeDocument/2006/relationships/hyperlink" Target="https://www.imdb.com/title/tt0426931/" TargetMode="External"/><Relationship Id="rId641" Type="http://schemas.openxmlformats.org/officeDocument/2006/relationships/hyperlink" Target="https://www.imdb.com/title/tt2190367/" TargetMode="External"/><Relationship Id="rId642" Type="http://schemas.openxmlformats.org/officeDocument/2006/relationships/hyperlink" Target="https://www.imdb.com/title/tt0821642/" TargetMode="External"/><Relationship Id="rId643" Type="http://schemas.openxmlformats.org/officeDocument/2006/relationships/hyperlink" Target="https://www.imdb.com/title/tt0115580/" TargetMode="External"/><Relationship Id="rId644" Type="http://schemas.openxmlformats.org/officeDocument/2006/relationships/hyperlink" Target="https://www.imdb.com/title/tt8099236/" TargetMode="External"/><Relationship Id="rId645" Type="http://schemas.openxmlformats.org/officeDocument/2006/relationships/hyperlink" Target="https://www.imdb.com/title/tt0102926/" TargetMode="External"/><Relationship Id="rId646" Type="http://schemas.openxmlformats.org/officeDocument/2006/relationships/hyperlink" Target="https://www.imdb.com/title/tt0120382/" TargetMode="External"/><Relationship Id="rId647" Type="http://schemas.openxmlformats.org/officeDocument/2006/relationships/hyperlink" Target="https://www.imdb.com/title/tt0167404/" TargetMode="External"/><Relationship Id="rId648" Type="http://schemas.openxmlformats.org/officeDocument/2006/relationships/hyperlink" Target="https://www.imdb.com/title/tt14137416/" TargetMode="External"/><Relationship Id="rId649" Type="http://schemas.openxmlformats.org/officeDocument/2006/relationships/hyperlink" Target="https://www.imdb.com/title/tt4411584/" TargetMode="External"/><Relationship Id="rId650" Type="http://schemas.openxmlformats.org/officeDocument/2006/relationships/hyperlink" Target="https://www.imdb.com/title/tt1305806/" TargetMode="External"/><Relationship Id="rId651" Type="http://schemas.openxmlformats.org/officeDocument/2006/relationships/hyperlink" Target="https://www.imdb.com/title/tt0388795/" TargetMode="External"/><Relationship Id="rId652" Type="http://schemas.openxmlformats.org/officeDocument/2006/relationships/hyperlink" Target="https://www.imdb.com/title/tt0424908/" TargetMode="External"/><Relationship Id="rId653" Type="http://schemas.openxmlformats.org/officeDocument/2006/relationships/hyperlink" Target="https://www.imdb.com/title/tt0347304/" TargetMode="External"/><Relationship Id="rId654" Type="http://schemas.openxmlformats.org/officeDocument/2006/relationships/hyperlink" Target="https://www.imdb.com/title/tt0115862/" TargetMode="External"/><Relationship Id="rId655" Type="http://schemas.openxmlformats.org/officeDocument/2006/relationships/hyperlink" Target="https://www.imdb.com/title/tt3674140/" TargetMode="External"/><Relationship Id="rId656" Type="http://schemas.openxmlformats.org/officeDocument/2006/relationships/hyperlink" Target="https://www.imdb.com/title/tt19760052/" TargetMode="External"/><Relationship Id="rId657" Type="http://schemas.openxmlformats.org/officeDocument/2006/relationships/hyperlink" Target="https://www.imdb.com/title/tt0100486/" TargetMode="External"/><Relationship Id="rId658" Type="http://schemas.openxmlformats.org/officeDocument/2006/relationships/hyperlink" Target="https://www.imdb.com/title/tt2271563/" TargetMode="External"/><Relationship Id="rId659" Type="http://schemas.openxmlformats.org/officeDocument/2006/relationships/hyperlink" Target="https://www.imdb.com/title/tt7545524/" TargetMode="External"/><Relationship Id="rId660" Type="http://schemas.openxmlformats.org/officeDocument/2006/relationships/hyperlink" Target="https://www.imdb.com/title/tt0120815/" TargetMode="External"/><Relationship Id="rId661" Type="http://schemas.openxmlformats.org/officeDocument/2006/relationships/hyperlink" Target="https://www.imdb.com/title/tt11278476/" TargetMode="External"/><Relationship Id="rId662" Type="http://schemas.openxmlformats.org/officeDocument/2006/relationships/hyperlink" Target="https://www.imdb.com/title/tt6105098/" TargetMode="External"/><Relationship Id="rId663" Type="http://schemas.openxmlformats.org/officeDocument/2006/relationships/hyperlink" Target="https://www.imdb.com/title/tt0110357/" TargetMode="External"/><Relationship Id="rId664" Type="http://schemas.openxmlformats.org/officeDocument/2006/relationships/hyperlink" Target="https://www.imdb.com/title/tt4501268/" TargetMode="External"/><Relationship Id="rId665" Type="http://schemas.openxmlformats.org/officeDocument/2006/relationships/hyperlink" Target="https://www.imdb.com/title/tt9686708/" TargetMode="External"/><Relationship Id="rId666" Type="http://schemas.openxmlformats.org/officeDocument/2006/relationships/hyperlink" Target="https://www.imdb.com/title/tt14609428/" TargetMode="External"/><Relationship Id="rId667" Type="http://schemas.openxmlformats.org/officeDocument/2006/relationships/hyperlink" Target="https://www.imdb.com/title/tt1663202/" TargetMode="External"/><Relationship Id="rId668" Type="http://schemas.openxmlformats.org/officeDocument/2006/relationships/hyperlink" Target="https://www.imdb.com/title/tt23055660/" TargetMode="External"/><Relationship Id="rId669" Type="http://schemas.openxmlformats.org/officeDocument/2006/relationships/hyperlink" Target="https://www.imdb.com/title/tt1839654/" TargetMode="External"/><Relationship Id="rId670" Type="http://schemas.openxmlformats.org/officeDocument/2006/relationships/hyperlink" Target="https://www.imdb.com/title/tt7979142/" TargetMode="External"/><Relationship Id="rId671" Type="http://schemas.openxmlformats.org/officeDocument/2006/relationships/hyperlink" Target="https://www.imdb.com/title/tt2011971/" TargetMode="External"/><Relationship Id="rId672" Type="http://schemas.openxmlformats.org/officeDocument/2006/relationships/hyperlink" Target="https://www.imdb.com/title/tt27410895/" TargetMode="External"/><Relationship Id="rId673" Type="http://schemas.openxmlformats.org/officeDocument/2006/relationships/hyperlink" Target="https://www.imdb.com/title/tt0208990/" TargetMode="External"/><Relationship Id="rId674" Type="http://schemas.openxmlformats.org/officeDocument/2006/relationships/hyperlink" Target="https://www.imdb.com/title/tt3170832/" TargetMode="External"/><Relationship Id="rId675" Type="http://schemas.openxmlformats.org/officeDocument/2006/relationships/hyperlink" Target="https://www.imdb.com/title/tt29439114/" TargetMode="External"/><Relationship Id="rId676" Type="http://schemas.openxmlformats.org/officeDocument/2006/relationships/hyperlink" Target="https://www.imdb.com/title/tt3766354/" TargetMode="External"/><Relationship Id="rId677" Type="http://schemas.openxmlformats.org/officeDocument/2006/relationships/hyperlink" Target="https://www.imdb.com/title/tt0455944/" TargetMode="External"/><Relationship Id="rId678" Type="http://schemas.openxmlformats.org/officeDocument/2006/relationships/hyperlink" Target="https://www.imdb.com/title/tt5648882/" TargetMode="External"/><Relationship Id="rId679" Type="http://schemas.openxmlformats.org/officeDocument/2006/relationships/hyperlink" Target="https://www.imdb.com/title/tt0110413/" TargetMode="External"/><Relationship Id="rId680" Type="http://schemas.openxmlformats.org/officeDocument/2006/relationships/hyperlink" Target="https://www.imdb.com/title/tt6865690/" TargetMode="External"/><Relationship Id="rId681" Type="http://schemas.openxmlformats.org/officeDocument/2006/relationships/hyperlink" Target="https://www.imdb.com/title/tt10549212/" TargetMode="External"/><Relationship Id="rId682" Type="http://schemas.openxmlformats.org/officeDocument/2006/relationships/hyperlink" Target="https://www.imdb.com/title/tt9071322/" TargetMode="External"/><Relationship Id="rId683" Type="http://schemas.openxmlformats.org/officeDocument/2006/relationships/hyperlink" Target="https://www.imdb.com/title/tt1352824/" TargetMode="External"/><Relationship Id="rId684" Type="http://schemas.openxmlformats.org/officeDocument/2006/relationships/hyperlink" Target="https://www.imdb.com/title/tt21149522/" TargetMode="External"/><Relationship Id="rId685" Type="http://schemas.openxmlformats.org/officeDocument/2006/relationships/hyperlink" Target="https://www.imdb.com/title/tt0099674/" TargetMode="External"/><Relationship Id="rId686" Type="http://schemas.openxmlformats.org/officeDocument/2006/relationships/hyperlink" Target="https://www.imdb.com/title/tt0071562/" TargetMode="External"/><Relationship Id="rId687" Type="http://schemas.openxmlformats.org/officeDocument/2006/relationships/hyperlink" Target="https://www.imdb.com/title/tt0068646/" TargetMode="External"/><Relationship Id="rId688" Type="http://schemas.openxmlformats.org/officeDocument/2006/relationships/hyperlink" Target="https://www.imdb.com/title/tt1189340/" TargetMode="External"/><Relationship Id="rId689" Type="http://schemas.openxmlformats.org/officeDocument/2006/relationships/hyperlink" Target="https://www.imdb.com/title/tt13833978/" TargetMode="External"/><Relationship Id="rId690" Type="http://schemas.openxmlformats.org/officeDocument/2006/relationships/hyperlink" Target="https://www.imdb.com/title/tt0105159/" TargetMode="External"/><Relationship Id="rId691" Type="http://schemas.openxmlformats.org/officeDocument/2006/relationships/hyperlink" Target="https://www.imdb.com/title/tt5867796/" TargetMode="External"/><Relationship Id="rId692" Type="http://schemas.openxmlformats.org/officeDocument/2006/relationships/hyperlink" Target="https://www.imdb.com/title/tt11889538/" TargetMode="External"/><Relationship Id="rId693" Type="http://schemas.openxmlformats.org/officeDocument/2006/relationships/hyperlink" Target="https://www.imdb.com/title/tt0454848/" TargetMode="External"/><Relationship Id="rId694" Type="http://schemas.openxmlformats.org/officeDocument/2006/relationships/hyperlink" Target="https://www.imdb.com/title/tt7405458/" TargetMode="External"/><Relationship Id="rId695" Type="http://schemas.openxmlformats.org/officeDocument/2006/relationships/hyperlink" Target="https://www.imdb.com/title/tt0107822/" TargetMode="External"/><Relationship Id="rId696" Type="http://schemas.openxmlformats.org/officeDocument/2006/relationships/hyperlink" Target="https://www.imdb.com/title/tt0253474/" TargetMode="External"/><Relationship Id="rId697" Type="http://schemas.openxmlformats.org/officeDocument/2006/relationships/hyperlink" Target="https://www.imdb.com/title/tt11291274/" TargetMode="External"/><Relationship Id="rId698" Type="http://schemas.openxmlformats.org/officeDocument/2006/relationships/hyperlink" Target="https://www.imdb.com/title/tt11773484/" TargetMode="External"/><Relationship Id="rId699" Type="http://schemas.openxmlformats.org/officeDocument/2006/relationships/hyperlink" Target="https://www.imdb.com/title/tt1264904/" TargetMode="External"/><Relationship Id="rId700" Type="http://schemas.openxmlformats.org/officeDocument/2006/relationships/hyperlink" Target="https://www.imdb.com/title/tt2404461/" TargetMode="External"/><Relationship Id="rId701" Type="http://schemas.openxmlformats.org/officeDocument/2006/relationships/hyperlink" Target="https://www.imdb.com/title/tt14138650/" TargetMode="External"/><Relationship Id="rId702" Type="http://schemas.openxmlformats.org/officeDocument/2006/relationships/hyperlink" Target="https://www.imdb.com/title/tt1921043/" TargetMode="External"/><Relationship Id="rId703" Type="http://schemas.openxmlformats.org/officeDocument/2006/relationships/hyperlink" Target="https://www.imdb.com/title/tt8886670/" TargetMode="External"/><Relationship Id="rId704" Type="http://schemas.openxmlformats.org/officeDocument/2006/relationships/hyperlink" Target="https://www.imdb.com/title/tt0106519/" TargetMode="External"/><Relationship Id="rId705" Type="http://schemas.openxmlformats.org/officeDocument/2006/relationships/hyperlink" Target="https://www.imdb.com/title/tt4873118/" TargetMode="External"/><Relationship Id="rId706" Type="http://schemas.openxmlformats.org/officeDocument/2006/relationships/hyperlink" Target="https://www.imdb.com/title/tt0116209/" TargetMode="External"/><Relationship Id="rId707" Type="http://schemas.openxmlformats.org/officeDocument/2006/relationships/hyperlink" Target="https://www.imdb.com/title/tt15574312/" TargetMode="External"/><Relationship Id="rId708" Type="http://schemas.openxmlformats.org/officeDocument/2006/relationships/hyperlink" Target="https://www.imdb.com/title/tt9150970/" TargetMode="External"/><Relationship Id="rId709" Type="http://schemas.openxmlformats.org/officeDocument/2006/relationships/hyperlink" Target="https://www.imdb.com/title/tt5222918/" TargetMode="External"/><Relationship Id="rId710" Type="http://schemas.openxmlformats.org/officeDocument/2006/relationships/hyperlink" Target="https://www.imdb.com/title/tt0104756/" TargetMode="External"/><Relationship Id="rId711" Type="http://schemas.openxmlformats.org/officeDocument/2006/relationships/hyperlink" Target="https://www.imdb.com/title/tt34692373/" TargetMode="External"/><Relationship Id="rId712" Type="http://schemas.openxmlformats.org/officeDocument/2006/relationships/hyperlink" Target="https://www.imdb.com/title/tt26595906/" TargetMode="External"/><Relationship Id="rId713" Type="http://schemas.openxmlformats.org/officeDocument/2006/relationships/hyperlink" Target="https://www.imdb.com/title/tt12747748/" TargetMode="External"/><Relationship Id="rId714" Type="http://schemas.openxmlformats.org/officeDocument/2006/relationships/hyperlink" Target="https://www.imdb.com/title/tt32897959/" TargetMode="External"/><Relationship Id="rId715" Type="http://schemas.openxmlformats.org/officeDocument/2006/relationships/hyperlink" Target="https://www.imdb.com/title/tt1327773/" TargetMode="External"/><Relationship Id="rId716" Type="http://schemas.openxmlformats.org/officeDocument/2006/relationships/hyperlink" Target="https://www.imdb.com/title/tt31974367/" TargetMode="External"/><Relationship Id="rId717" Type="http://schemas.openxmlformats.org/officeDocument/2006/relationships/hyperlink" Target="https://www.imdb.com/title/tt27542448/" TargetMode="External"/><Relationship Id="rId718" Type="http://schemas.openxmlformats.org/officeDocument/2006/relationships/hyperlink" Target="https://www.imdb.com/title/tt8263936/" TargetMode="External"/><Relationship Id="rId719" Type="http://schemas.openxmlformats.org/officeDocument/2006/relationships/hyperlink" Target="https://www.imdb.com/title/tt0259288/" TargetMode="External"/><Relationship Id="rId720" Type="http://schemas.openxmlformats.org/officeDocument/2006/relationships/hyperlink" Target="https://www.imdb.com/title/tt5541240/" TargetMode="External"/><Relationship Id="rId721" Type="http://schemas.openxmlformats.org/officeDocument/2006/relationships/hyperlink" Target="https://www.imdb.com/title/tt3580748/" TargetMode="External"/><Relationship Id="rId722" Type="http://schemas.openxmlformats.org/officeDocument/2006/relationships/hyperlink" Target="https://www.imdb.com/title/tt9288822/" TargetMode="External"/><Relationship Id="rId723" Type="http://schemas.openxmlformats.org/officeDocument/2006/relationships/hyperlink" Target="https://www.imdb.com/title/tt3138782/" TargetMode="External"/><Relationship Id="rId724" Type="http://schemas.openxmlformats.org/officeDocument/2006/relationships/hyperlink" Target="https://www.imdb.com/title/tt7255502/" TargetMode="External"/><Relationship Id="rId725" Type="http://schemas.openxmlformats.org/officeDocument/2006/relationships/hyperlink" Target="https://www.imdb.com/title/tt9764362/" TargetMode="External"/><Relationship Id="rId726" Type="http://schemas.openxmlformats.org/officeDocument/2006/relationships/hyperlink" Target="https://www.imdb.com/title/tt0790712/" TargetMode="External"/><Relationship Id="rId727" Type="http://schemas.openxmlformats.org/officeDocument/2006/relationships/hyperlink" Target="https://www.imdb.com/title/tt10975604/" TargetMode="External"/><Relationship Id="rId728" Type="http://schemas.openxmlformats.org/officeDocument/2006/relationships/hyperlink" Target="https://www.imdb.com/title/tt7533152/" TargetMode="External"/><Relationship Id="rId729" Type="http://schemas.openxmlformats.org/officeDocument/2006/relationships/hyperlink" Target="https://www.imdb.com/title/tt0914798/" TargetMode="External"/><Relationship Id="rId730" Type="http://schemas.openxmlformats.org/officeDocument/2006/relationships/hyperlink" Target="https://www.imdb.com/title/tt14542504/" TargetMode="External"/><Relationship Id="rId731" Type="http://schemas.openxmlformats.org/officeDocument/2006/relationships/hyperlink" Target="https://www.imdb.com/title/tt1924396/" TargetMode="External"/><Relationship Id="rId732" Type="http://schemas.openxmlformats.org/officeDocument/2006/relationships/hyperlink" Target="https://www.imdb.com/title/tt9284430/" TargetMode="External"/><Relationship Id="rId733" Type="http://schemas.openxmlformats.org/officeDocument/2006/relationships/hyperlink" Target="https://www.imdb.com/title/tt36150950/" TargetMode="External"/><Relationship Id="rId734" Type="http://schemas.openxmlformats.org/officeDocument/2006/relationships/hyperlink" Target="https://www.imdb.com/title/tt6873658/" TargetMode="External"/><Relationship Id="rId735" Type="http://schemas.openxmlformats.org/officeDocument/2006/relationships/hyperlink" Target="https://www.imdb.com/title/tt1714206/" TargetMode="External"/><Relationship Id="rId736" Type="http://schemas.openxmlformats.org/officeDocument/2006/relationships/hyperlink" Target="https://www.imdb.com/title/tt4824302/" TargetMode="External"/><Relationship Id="rId737" Type="http://schemas.openxmlformats.org/officeDocument/2006/relationships/hyperlink" Target="https://www.imdb.com/title/tt1125849/" TargetMode="External"/><Relationship Id="rId738" Type="http://schemas.openxmlformats.org/officeDocument/2006/relationships/hyperlink" Target="https://www.imdb.com/title/tt9902160/" TargetMode="External"/><Relationship Id="rId739" Type="http://schemas.openxmlformats.org/officeDocument/2006/relationships/hyperlink" Target="https://www.imdb.com/title/tt0993846/" TargetMode="External"/><Relationship Id="rId740" Type="http://schemas.openxmlformats.org/officeDocument/2006/relationships/hyperlink" Target="https://www.imdb.com/title/tt2861532/" TargetMode="External"/><Relationship Id="rId741" Type="http://schemas.openxmlformats.org/officeDocument/2006/relationships/hyperlink" Target="https://www.imdb.com/title/tt14342018/" TargetMode="External"/><Relationship Id="rId742" Type="http://schemas.openxmlformats.org/officeDocument/2006/relationships/hyperlink" Target="https://www.imdb.com/title/tt11390036/" TargetMode="External"/><Relationship Id="rId743" Type="http://schemas.openxmlformats.org/officeDocument/2006/relationships/hyperlink" Target="https://www.imdb.com/title/tt15198870/" TargetMode="External"/><Relationship Id="rId744" Type="http://schemas.openxmlformats.org/officeDocument/2006/relationships/hyperlink" Target="https://www.imdb.com/title/tt0976051/" TargetMode="External"/><Relationship Id="rId745" Type="http://schemas.openxmlformats.org/officeDocument/2006/relationships/hyperlink" Target="https://www.imdb.com/title/tt3464902/" TargetMode="External"/><Relationship Id="rId746" Type="http://schemas.openxmlformats.org/officeDocument/2006/relationships/hyperlink" Target="https://www.imdb.com/title/tt1045658/" TargetMode="External"/><Relationship Id="rId747" Type="http://schemas.openxmlformats.org/officeDocument/2006/relationships/hyperlink" Target="https://www.imdb.com/title/tt0457430/" TargetMode="External"/><Relationship Id="rId748" Type="http://schemas.openxmlformats.org/officeDocument/2006/relationships/hyperlink" Target="https://www.imdb.com/title/tt1872194/" TargetMode="External"/><Relationship Id="rId749" Type="http://schemas.openxmlformats.org/officeDocument/2006/relationships/hyperlink" Target="https://www.imdb.com/title/tt15000156/" TargetMode="External"/><Relationship Id="rId750" Type="http://schemas.openxmlformats.org/officeDocument/2006/relationships/hyperlink" Target="https://www.imdb.com/title/tt2084970/" TargetMode="External"/><Relationship Id="rId751" Type="http://schemas.openxmlformats.org/officeDocument/2006/relationships/hyperlink" Target="https://www.imdb.com/title/tt0387131/" TargetMode="External"/><Relationship Id="rId752" Type="http://schemas.openxmlformats.org/officeDocument/2006/relationships/hyperlink" Target="https://www.imdb.com/title/tt30494784/" TargetMode="External"/><Relationship Id="rId753" Type="http://schemas.openxmlformats.org/officeDocument/2006/relationships/hyperlink" Target="https://www.imdb.com/title/tt0108071/" TargetMode="External"/><Relationship Id="rId754" Type="http://schemas.openxmlformats.org/officeDocument/2006/relationships/hyperlink" Target="https://www.imdb.com/title/tt3203620/" TargetMode="External"/><Relationship Id="rId755" Type="http://schemas.openxmlformats.org/officeDocument/2006/relationships/hyperlink" Target="https://www.imdb.com/title/tt1302006/" TargetMode="External"/><Relationship Id="rId756" Type="http://schemas.openxmlformats.org/officeDocument/2006/relationships/hyperlink" Target="https://www.imdb.com/title/tt0303408/" TargetMode="External"/><Relationship Id="rId757" Type="http://schemas.openxmlformats.org/officeDocument/2006/relationships/hyperlink" Target="https://www.imdb.com/title/tt2011159/" TargetMode="External"/><Relationship Id="rId758" Type="http://schemas.openxmlformats.org/officeDocument/2006/relationships/hyperlink" Target="https://www.imdb.com/title/tt7048622/" TargetMode="External"/><Relationship Id="rId759" Type="http://schemas.openxmlformats.org/officeDocument/2006/relationships/hyperlink" Target="https://www.imdb.com/title/tt10147644/" TargetMode="External"/><Relationship Id="rId760" Type="http://schemas.openxmlformats.org/officeDocument/2006/relationships/hyperlink" Target="https://www.imdb.com/title/tt0112966/" TargetMode="External"/><Relationship Id="rId761" Type="http://schemas.openxmlformats.org/officeDocument/2006/relationships/hyperlink" Target="https://www.imdb.com/title/tt1833116/" TargetMode="External"/><Relationship Id="rId762" Type="http://schemas.openxmlformats.org/officeDocument/2006/relationships/hyperlink" Target="https://www.imdb.com/title/tt0140352/" TargetMode="External"/><Relationship Id="rId763" Type="http://schemas.openxmlformats.org/officeDocument/2006/relationships/hyperlink" Target="https://www.imdb.com/title/tt1649419/" TargetMode="External"/><Relationship Id="rId764" Type="http://schemas.openxmlformats.org/officeDocument/2006/relationships/hyperlink" Target="https://www.imdb.com/title/tt0443543/" TargetMode="External"/><Relationship Id="rId765" Type="http://schemas.openxmlformats.org/officeDocument/2006/relationships/hyperlink" Target="https://www.imdb.com/title/tt0081505/" TargetMode="External"/><Relationship Id="rId766" Type="http://schemas.openxmlformats.org/officeDocument/2006/relationships/hyperlink" Target="https://www.imdb.com/title/tt0787524/" TargetMode="External"/><Relationship Id="rId767" Type="http://schemas.openxmlformats.org/officeDocument/2006/relationships/hyperlink" Target="https://www.imdb.com/title/tt1210166/" TargetMode="External"/><Relationship Id="rId768" Type="http://schemas.openxmlformats.org/officeDocument/2006/relationships/hyperlink" Target="https://www.imdb.com/title/tt0056217/" TargetMode="External"/><Relationship Id="rId769" Type="http://schemas.openxmlformats.org/officeDocument/2006/relationships/hyperlink" Target="https://www.imdb.com/title/tt14307536/" TargetMode="External"/><Relationship Id="rId770" Type="http://schemas.openxmlformats.org/officeDocument/2006/relationships/hyperlink" Target="https://www.imdb.com/title/tt10834220/" TargetMode="External"/><Relationship Id="rId771" Type="http://schemas.openxmlformats.org/officeDocument/2006/relationships/hyperlink" Target="https://www.imdb.com/title/tt0765432/" TargetMode="External"/><Relationship Id="rId772" Type="http://schemas.openxmlformats.org/officeDocument/2006/relationships/hyperlink" Target="https://www.imdb.com/title/tt0482571/" TargetMode="External"/><Relationship Id="rId773" Type="http://schemas.openxmlformats.org/officeDocument/2006/relationships/hyperlink" Target="https://www.imdb.com/title/tt1220719/" TargetMode="External"/><Relationship Id="rId774" Type="http://schemas.openxmlformats.org/officeDocument/2006/relationships/hyperlink" Target="https://www.imdb.com/title/tt2278388/" TargetMode="External"/><Relationship Id="rId775" Type="http://schemas.openxmlformats.org/officeDocument/2006/relationships/hyperlink" Target="https://www.imdb.com/title/tt1091191/" TargetMode="External"/><Relationship Id="rId776" Type="http://schemas.openxmlformats.org/officeDocument/2006/relationships/hyperlink" Target="https://www.imdb.com/title/tt1343092/" TargetMode="External"/><Relationship Id="rId777" Type="http://schemas.openxmlformats.org/officeDocument/2006/relationships/hyperlink" Target="https://www.imdb.com/title/tt0032553/" TargetMode="External"/><Relationship Id="rId778" Type="http://schemas.openxmlformats.org/officeDocument/2006/relationships/hyperlink" Target="https://www.imdb.com/title/tt0427309/" TargetMode="External"/><Relationship Id="rId779" Type="http://schemas.openxmlformats.org/officeDocument/2006/relationships/hyperlink" Target="https://www.imdb.com/title/tt0216787/" TargetMode="External"/><Relationship Id="rId780" Type="http://schemas.openxmlformats.org/officeDocument/2006/relationships/hyperlink" Target="https://www.imdb.com/title/tt14992922/" TargetMode="External"/><Relationship Id="rId781" Type="http://schemas.openxmlformats.org/officeDocument/2006/relationships/hyperlink" Target="https://www.imdb.com/title/tt8200550/" TargetMode="External"/><Relationship Id="rId782" Type="http://schemas.openxmlformats.org/officeDocument/2006/relationships/hyperlink" Target="https://www.imdb.com/title/tt1399664/" TargetMode="External"/><Relationship Id="rId783" Type="http://schemas.openxmlformats.org/officeDocument/2006/relationships/hyperlink" Target="https://www.imdb.com/title/tt5932728/" TargetMode="External"/><Relationship Id="rId784" Type="http://schemas.openxmlformats.org/officeDocument/2006/relationships/hyperlink" Target="https://www.imdb.com/title/tt0765429/" TargetMode="External"/><Relationship Id="rId785" Type="http://schemas.openxmlformats.org/officeDocument/2006/relationships/hyperlink" Target="https://www.imdb.com/title/tt10048342/" TargetMode="External"/><Relationship Id="rId786" Type="http://schemas.openxmlformats.org/officeDocument/2006/relationships/hyperlink" Target="https://www.imdb.com/title/tt0077416/" TargetMode="External"/><Relationship Id="rId787" Type="http://schemas.openxmlformats.org/officeDocument/2006/relationships/hyperlink" Target="https://www.imdb.com/title/tt6704776/" TargetMode="External"/><Relationship Id="rId788" Type="http://schemas.openxmlformats.org/officeDocument/2006/relationships/hyperlink" Target="https://www.imdb.com/title/tt8254556/" TargetMode="External"/><Relationship Id="rId789" Type="http://schemas.openxmlformats.org/officeDocument/2006/relationships/hyperlink" Target="https://www.imdb.com/title/tt5508576/" TargetMode="External"/><Relationship Id="rId790" Type="http://schemas.openxmlformats.org/officeDocument/2006/relationships/hyperlink" Target="https://www.imdb.com/title/tt3808342/" TargetMode="External"/><Relationship Id="rId791" Type="http://schemas.openxmlformats.org/officeDocument/2006/relationships/hyperlink" Target="https://www.imdb.com/title/tt33402908/" TargetMode="External"/><Relationship Id="rId792" Type="http://schemas.openxmlformats.org/officeDocument/2006/relationships/hyperlink" Target="https://www.imdb.com/title/tt4741708/" TargetMode="External"/><Relationship Id="rId793" Type="http://schemas.openxmlformats.org/officeDocument/2006/relationships/hyperlink" Target="https://www.imdb.com/title/tt0292542/" TargetMode="External"/><Relationship Id="rId794" Type="http://schemas.openxmlformats.org/officeDocument/2006/relationships/hyperlink" Target="https://www.imdb.com/title/tt14781286/" TargetMode="External"/><Relationship Id="rId795" Type="http://schemas.openxmlformats.org/officeDocument/2006/relationships/hyperlink" Target="https://www.imdb.com/title/tt7984734/" TargetMode="External"/><Relationship Id="rId796" Type="http://schemas.openxmlformats.org/officeDocument/2006/relationships/hyperlink" Target="https://www.imdb.com/title/tt0293508/" TargetMode="External"/><Relationship Id="rId797" Type="http://schemas.openxmlformats.org/officeDocument/2006/relationships/hyperlink" Target="https://www.imdb.com/title/tt15473010/" TargetMode="External"/><Relationship Id="rId798" Type="http://schemas.openxmlformats.org/officeDocument/2006/relationships/hyperlink" Target="https://www.imdb.com/title/tt0211915/" TargetMode="External"/><Relationship Id="rId799" Type="http://schemas.openxmlformats.org/officeDocument/2006/relationships/hyperlink" Target="https://www.imdb.com/title/tt29114029/" TargetMode="External"/><Relationship Id="rId800" Type="http://schemas.openxmlformats.org/officeDocument/2006/relationships/hyperlink" Target="https://www.imdb.com/title/tt0077928/" TargetMode="External"/><Relationship Id="rId801" Type="http://schemas.openxmlformats.org/officeDocument/2006/relationships/hyperlink" Target="https://www.imdb.com/title/tt0070047/" TargetMode="External"/><Relationship Id="rId802" Type="http://schemas.openxmlformats.org/officeDocument/2006/relationships/hyperlink" Target="https://www.imdb.com/title/tt5592248/" TargetMode="External"/><Relationship Id="rId803" Type="http://schemas.openxmlformats.org/officeDocument/2006/relationships/hyperlink" Target="https://www.imdb.com/title/tt5952634/" TargetMode="External"/><Relationship Id="rId804" Type="http://schemas.openxmlformats.org/officeDocument/2006/relationships/hyperlink" Target="https://www.imdb.com/title/tt0117057/" TargetMode="External"/><Relationship Id="rId805" Type="http://schemas.openxmlformats.org/officeDocument/2006/relationships/hyperlink" Target="https://www.imdb.com/title/tt6394270/" TargetMode="External"/><Relationship Id="rId806" Type="http://schemas.openxmlformats.org/officeDocument/2006/relationships/hyperlink" Target="https://www.imdb.com/title/tt0401383/" TargetMode="External"/><Relationship Id="rId807" Type="http://schemas.openxmlformats.org/officeDocument/2006/relationships/hyperlink" Target="https://www.imdb.com/title/tt4273800/" TargetMode="External"/><Relationship Id="rId808" Type="http://schemas.openxmlformats.org/officeDocument/2006/relationships/hyperlink" Target="https://www.imdb.com/title/tt33071426/" TargetMode="External"/><Relationship Id="rId809" Type="http://schemas.openxmlformats.org/officeDocument/2006/relationships/hyperlink" Target="https://www.imdb.com/title/tt6515342/" TargetMode="External"/><Relationship Id="rId810" Type="http://schemas.openxmlformats.org/officeDocument/2006/relationships/hyperlink" Target="https://www.imdb.com/title/tt30750108/" TargetMode="External"/><Relationship Id="rId811" Type="http://schemas.openxmlformats.org/officeDocument/2006/relationships/hyperlink" Target="https://www.imdb.com/title/tt11382384/" TargetMode="External"/><Relationship Id="rId812" Type="http://schemas.openxmlformats.org/officeDocument/2006/relationships/hyperlink" Target="https://www.imdb.com/title/tt1504320/" TargetMode="External"/><Relationship Id="rId813" Type="http://schemas.openxmlformats.org/officeDocument/2006/relationships/hyperlink" Target="https://www.imdb.com/title/tt11464826/" TargetMode="External"/><Relationship Id="rId814" Type="http://schemas.openxmlformats.org/officeDocument/2006/relationships/hyperlink" Target="https://www.imdb.com/title/tt0243155/" TargetMode="External"/><Relationship Id="rId815" Type="http://schemas.openxmlformats.org/officeDocument/2006/relationships/hyperlink" Target="https://www.imdb.com/title/tt5277952/" TargetMode="External"/><Relationship Id="rId816" Type="http://schemas.openxmlformats.org/officeDocument/2006/relationships/hyperlink" Target="https://www.imdb.com/title/tt33612209/" TargetMode="External"/><Relationship Id="rId817" Type="http://schemas.openxmlformats.org/officeDocument/2006/relationships/hyperlink" Target="https://www.imdb.com/title/tt0458352/" TargetMode="External"/><Relationship Id="rId818" Type="http://schemas.openxmlformats.org/officeDocument/2006/relationships/hyperlink" Target="https://www.imdb.com/title/tt7395114/" TargetMode="External"/><Relationship Id="rId819" Type="http://schemas.openxmlformats.org/officeDocument/2006/relationships/hyperlink" Target="https://www.imdb.com/title/tt4572514/" TargetMode="External"/><Relationship Id="rId820" Type="http://schemas.openxmlformats.org/officeDocument/2006/relationships/hyperlink" Target="https://www.imdb.com/title/tt4555426/" TargetMode="External"/><Relationship Id="rId821" Type="http://schemas.openxmlformats.org/officeDocument/2006/relationships/hyperlink" Target="https://www.imdb.com/title/tt10545704/" TargetMode="External"/><Relationship Id="rId822" Type="http://schemas.openxmlformats.org/officeDocument/2006/relationships/hyperlink" Target="https://www.imdb.com/title/tt0446755/" TargetMode="External"/><Relationship Id="rId823" Type="http://schemas.openxmlformats.org/officeDocument/2006/relationships/hyperlink" Target="https://www.imdb.com/title/tt0108330/" TargetMode="External"/><Relationship Id="rId824" Type="http://schemas.openxmlformats.org/officeDocument/2006/relationships/hyperlink" Target="https://www.imdb.com/title/tt4766630/" TargetMode="External"/><Relationship Id="rId825" Type="http://schemas.openxmlformats.org/officeDocument/2006/relationships/hyperlink" Target="https://www.imdb.com/title/tt0090985/" TargetMode="External"/><Relationship Id="rId826" Type="http://schemas.openxmlformats.org/officeDocument/2006/relationships/hyperlink" Target="https://www.imdb.com/title/tt0421715/" TargetMode="External"/><Relationship Id="rId827" Type="http://schemas.openxmlformats.org/officeDocument/2006/relationships/hyperlink" Target="https://www.imdb.com/title/tt34231642/" TargetMode="External"/><Relationship Id="rId828" Type="http://schemas.openxmlformats.org/officeDocument/2006/relationships/hyperlink" Target="https://www.imdb.com/title/tt20330434/" TargetMode="External"/><Relationship Id="rId829" Type="http://schemas.openxmlformats.org/officeDocument/2006/relationships/hyperlink" Target="https://www.imdb.com/title/tt0422015/" TargetMode="External"/><Relationship Id="rId830" Type="http://schemas.openxmlformats.org/officeDocument/2006/relationships/hyperlink" Target="https://www.imdb.com/title/tt0201485/" TargetMode="External"/><Relationship Id="rId831" Type="http://schemas.openxmlformats.org/officeDocument/2006/relationships/hyperlink" Target="https://www.imdb.com/title/tt0285800/" TargetMode="External"/><Relationship Id="rId832" Type="http://schemas.openxmlformats.org/officeDocument/2006/relationships/hyperlink" Target="https://www.imdb.com/title/tt14173636/" TargetMode="External"/><Relationship Id="rId833" Type="http://schemas.openxmlformats.org/officeDocument/2006/relationships/hyperlink" Target="https://www.imdb.com/title/tt41784903/" TargetMode="External"/><Relationship Id="rId834" Type="http://schemas.openxmlformats.org/officeDocument/2006/relationships/hyperlink" Target="https://www.imdb.com/title/tt5834204/" TargetMode="External"/><Relationship Id="rId835" Type="http://schemas.openxmlformats.org/officeDocument/2006/relationships/hyperlink" Target="https://www.imdb.com/title/tt4015500/" TargetMode="External"/><Relationship Id="rId836" Type="http://schemas.openxmlformats.org/officeDocument/2006/relationships/hyperlink" Target="https://www.imdb.com/title/tt2140479/" TargetMode="External"/><Relationship Id="rId837" Type="http://schemas.openxmlformats.org/officeDocument/2006/relationships/hyperlink" Target="https://www.imdb.com/title/tt4830786/" TargetMode="External"/><Relationship Id="rId838" Type="http://schemas.openxmlformats.org/officeDocument/2006/relationships/hyperlink" Target="https://www.imdb.com/title/tt26446278/" TargetMode="External"/><Relationship Id="rId839" Type="http://schemas.openxmlformats.org/officeDocument/2006/relationships/hyperlink" Target="https://www.imdb.com/title/tt1320082/" TargetMode="External"/><Relationship Id="rId840" Type="http://schemas.openxmlformats.org/officeDocument/2006/relationships/hyperlink" Target="https://www.imdb.com/title/tt14589916/" TargetMode="External"/><Relationship Id="rId841" Type="http://schemas.openxmlformats.org/officeDocument/2006/relationships/hyperlink" Target="https://www.imdb.com/title/tt8608144/" TargetMode="External"/><Relationship Id="rId842" Type="http://schemas.openxmlformats.org/officeDocument/2006/relationships/hyperlink" Target="https://www.imdb.com/title/tt0866437/" TargetMode="External"/><Relationship Id="rId843" Type="http://schemas.openxmlformats.org/officeDocument/2006/relationships/hyperlink" Target="https://www.imdb.com/title/tt0385004/" TargetMode="External"/><Relationship Id="rId844" Type="http://schemas.openxmlformats.org/officeDocument/2006/relationships/hyperlink" Target="https://www.imdb.com/title/tt4562518/" TargetMode="External"/><Relationship Id="rId845" Type="http://schemas.openxmlformats.org/officeDocument/2006/relationships/hyperlink" Target="https://www.imdb.com/title/tt0132477/" TargetMode="External"/><Relationship Id="rId846" Type="http://schemas.openxmlformats.org/officeDocument/2006/relationships/hyperlink" Target="https://www.imdb.com/title/tt2378507/" TargetMode="External"/><Relationship Id="rId847" Type="http://schemas.openxmlformats.org/officeDocument/2006/relationships/hyperlink" Target="https://www.imdb.com/title/tt3513548/" TargetMode="External"/><Relationship Id="rId848" Type="http://schemas.openxmlformats.org/officeDocument/2006/relationships/hyperlink" Target="https://www.imdb.com/title/tt8739752/" TargetMode="External"/><Relationship Id="rId849" Type="http://schemas.openxmlformats.org/officeDocument/2006/relationships/hyperlink" Target="https://www.imdb.com/title/tt27788849/" TargetMode="External"/><Relationship Id="rId850" Type="http://schemas.openxmlformats.org/officeDocument/2006/relationships/hyperlink" Target="https://www.imdb.com/title/tt1084950/" TargetMode="External"/><Relationship Id="rId851" Type="http://schemas.openxmlformats.org/officeDocument/2006/relationships/hyperlink" Target="https://www.imdb.com/title/tt11514868/" TargetMode="External"/><Relationship Id="rId852" Type="http://schemas.openxmlformats.org/officeDocument/2006/relationships/hyperlink" Target="https://www.imdb.com/title/tt0110877/" TargetMode="External"/><Relationship Id="rId853" Type="http://schemas.openxmlformats.org/officeDocument/2006/relationships/hyperlink" Target="https://www.imdb.com/title/tt16978130/" TargetMode="External"/><Relationship Id="rId854" Type="http://schemas.openxmlformats.org/officeDocument/2006/relationships/hyperlink" Target="https://www.imdb.com/title/tt1657517/" TargetMode="External"/><Relationship Id="rId855" Type="http://schemas.openxmlformats.org/officeDocument/2006/relationships/hyperlink" Target="https://www.imdb.com/title/tt1441912/" TargetMode="External"/><Relationship Id="rId856" Type="http://schemas.openxmlformats.org/officeDocument/2006/relationships/hyperlink" Target="https://www.imdb.com/title/tt6599742/" TargetMode="External"/><Relationship Id="rId857" Type="http://schemas.openxmlformats.org/officeDocument/2006/relationships/hyperlink" Target="https://www.imdb.com/title/tt0419887/" TargetMode="External"/><Relationship Id="rId858" Type="http://schemas.openxmlformats.org/officeDocument/2006/relationships/hyperlink" Target="https://www.imdb.com/title/tt8999762/" TargetMode="External"/><Relationship Id="rId859" Type="http://schemas.openxmlformats.org/officeDocument/2006/relationships/hyperlink" Target="https://www.imdb.com/title/tt0810784/" TargetMode="External"/><Relationship Id="rId860" Type="http://schemas.openxmlformats.org/officeDocument/2006/relationships/hyperlink" Target="https://www.imdb.com/title/tt6560040/" TargetMode="External"/><Relationship Id="rId861" Type="http://schemas.openxmlformats.org/officeDocument/2006/relationships/hyperlink" Target="https://www.imdb.com/title/tt9170516/" TargetMode="External"/><Relationship Id="rId862" Type="http://schemas.openxmlformats.org/officeDocument/2006/relationships/hyperlink" Target="https://www.imdb.com/title/tt7740496/" TargetMode="External"/><Relationship Id="rId863" Type="http://schemas.openxmlformats.org/officeDocument/2006/relationships/hyperlink" Target="https://www.imdb.com/title/tt20561198/" TargetMode="External"/><Relationship Id="rId864" Type="http://schemas.openxmlformats.org/officeDocument/2006/relationships/hyperlink" Target="https://www.imdb.com/title/tt0082096/" TargetMode="External"/><Relationship Id="rId865" Type="http://schemas.openxmlformats.org/officeDocument/2006/relationships/hyperlink" Target="https://www.imdb.com/title/tt0338751/" TargetMode="External"/><Relationship Id="rId866" Type="http://schemas.openxmlformats.org/officeDocument/2006/relationships/hyperlink" Target="https://www.imdb.com/title/tt28696532/" TargetMode="External"/><Relationship Id="rId867" Type="http://schemas.openxmlformats.org/officeDocument/2006/relationships/hyperlink" Target="https://www.imdb.com/title/tt0271383/" TargetMode="External"/><Relationship Id="rId868" Type="http://schemas.openxmlformats.org/officeDocument/2006/relationships/hyperlink" Target="https://www.imdb.com/title/tt1772373/" TargetMode="External"/><Relationship Id="rId869" Type="http://schemas.openxmlformats.org/officeDocument/2006/relationships/hyperlink" Target="https://www.imdb.com/title/tt1655442/" TargetMode="External"/><Relationship Id="rId870" Type="http://schemas.openxmlformats.org/officeDocument/2006/relationships/hyperlink" Target="https://www.imdb.com/title/tt2039393/" TargetMode="External"/><Relationship Id="rId871" Type="http://schemas.openxmlformats.org/officeDocument/2006/relationships/hyperlink" Target="https://www.imdb.com/title/tt5186714/" TargetMode="External"/><Relationship Id="rId872" Type="http://schemas.openxmlformats.org/officeDocument/2006/relationships/hyperlink" Target="https://www.imdb.com/title/tt0065408/" TargetMode="External"/><Relationship Id="rId873" Type="http://schemas.openxmlformats.org/officeDocument/2006/relationships/hyperlink" Target="https://www.imdb.com/title/tt2937898/" TargetMode="External"/><Relationship Id="rId874" Type="http://schemas.openxmlformats.org/officeDocument/2006/relationships/hyperlink" Target="https://www.imdb.com/title/tt0457939/" TargetMode="External"/><Relationship Id="rId875" Type="http://schemas.openxmlformats.org/officeDocument/2006/relationships/hyperlink" Target="https://www.imdb.com/title/tt2639344/" TargetMode="External"/><Relationship Id="rId876" Type="http://schemas.openxmlformats.org/officeDocument/2006/relationships/hyperlink" Target="https://www.imdb.com/title/tt9827834/" TargetMode="External"/><Relationship Id="rId877" Type="http://schemas.openxmlformats.org/officeDocument/2006/relationships/hyperlink" Target="https://www.imdb.com/title/tt6367558/" TargetMode="External"/><Relationship Id="rId878" Type="http://schemas.openxmlformats.org/officeDocument/2006/relationships/hyperlink" Target="https://www.imdb.com/title/tt14369780/" TargetMode="External"/><Relationship Id="rId879" Type="http://schemas.openxmlformats.org/officeDocument/2006/relationships/hyperlink" Target="https://www.imdb.com/title/tt1276419/" TargetMode="External"/><Relationship Id="rId880" Type="http://schemas.openxmlformats.org/officeDocument/2006/relationships/hyperlink" Target="https://www.imdb.com/title/tt0101316/" TargetMode="External"/><Relationship Id="rId881" Type="http://schemas.openxmlformats.org/officeDocument/2006/relationships/hyperlink" Target="https://www.imdb.com/title/tt4604612/" TargetMode="External"/><Relationship Id="rId882" Type="http://schemas.openxmlformats.org/officeDocument/2006/relationships/hyperlink" Target="https://www.imdb.com/title/tt14114802/" TargetMode="External"/><Relationship Id="rId883" Type="http://schemas.openxmlformats.org/officeDocument/2006/relationships/hyperlink" Target="https://www.imdb.com/title/tt27847051/" TargetMode="External"/><Relationship Id="rId884" Type="http://schemas.openxmlformats.org/officeDocument/2006/relationships/hyperlink" Target="https://www.imdb.com/title/tt13918776/" TargetMode="External"/><Relationship Id="rId885" Type="http://schemas.openxmlformats.org/officeDocument/2006/relationships/hyperlink" Target="https://www.imdb.com/title/tt0340377/" TargetMode="External"/><Relationship Id="rId886" Type="http://schemas.openxmlformats.org/officeDocument/2006/relationships/hyperlink" Target="https://www.imdb.com/title/tt0118971/" TargetMode="External"/><Relationship Id="rId887" Type="http://schemas.openxmlformats.org/officeDocument/2006/relationships/hyperlink" Target="https://www.imdb.com/title/tt2872718/" TargetMode="External"/><Relationship Id="rId888" Type="http://schemas.openxmlformats.org/officeDocument/2006/relationships/hyperlink" Target="https://www.imdb.com/title/tt5302918/" TargetMode="External"/><Relationship Id="rId889" Type="http://schemas.openxmlformats.org/officeDocument/2006/relationships/hyperlink" Target="https://www.imdb.com/title/tt29567915/" TargetMode="External"/><Relationship Id="rId890" Type="http://schemas.openxmlformats.org/officeDocument/2006/relationships/hyperlink" Target="https://www.imdb.com/title/tt7772582/" TargetMode="External"/><Relationship Id="rId891" Type="http://schemas.openxmlformats.org/officeDocument/2006/relationships/hyperlink" Target="https://www.imdb.com/title/tt0278435/" TargetMode="External"/><Relationship Id="rId892" Type="http://schemas.openxmlformats.org/officeDocument/2006/relationships/hyperlink" Target="https://www.imdb.com/title/tt8172146/" TargetMode="External"/><Relationship Id="rId893" Type="http://schemas.openxmlformats.org/officeDocument/2006/relationships/hyperlink" Target="https://www.imdb.com/title/tt5311542/" TargetMode="External"/><Relationship Id="rId894" Type="http://schemas.openxmlformats.org/officeDocument/2006/relationships/hyperlink" Target="https://www.imdb.com/title/tt23782584/" TargetMode="External"/><Relationship Id="rId895" Type="http://schemas.openxmlformats.org/officeDocument/2006/relationships/hyperlink" Target="https://www.imdb.com/title/tt1205535/" TargetMode="External"/><Relationship Id="rId896" Type="http://schemas.openxmlformats.org/officeDocument/2006/relationships/hyperlink" Target="https://www.imdb.com/title/tt0247586/" TargetMode="External"/><Relationship Id="rId897" Type="http://schemas.openxmlformats.org/officeDocument/2006/relationships/hyperlink" Target="https://www.imdb.com/title/tt1073241/" TargetMode="External"/><Relationship Id="rId898" Type="http://schemas.openxmlformats.org/officeDocument/2006/relationships/hyperlink" Target="https://www.imdb.com/title/tt1445520/" TargetMode="External"/><Relationship Id="rId899" Type="http://schemas.openxmlformats.org/officeDocument/2006/relationships/hyperlink" Target="https://www.imdb.com/title/tt0435623/" TargetMode="External"/><Relationship Id="rId900" Type="http://schemas.openxmlformats.org/officeDocument/2006/relationships/hyperlink" Target="https://www.imdb.com/title/tt5034266/" TargetMode="External"/><Relationship Id="rId901" Type="http://schemas.openxmlformats.org/officeDocument/2006/relationships/hyperlink" Target="https://www.imdb.com/title/tt3756788/" TargetMode="External"/><Relationship Id="rId902" Type="http://schemas.openxmlformats.org/officeDocument/2006/relationships/hyperlink" Target="https://www.imdb.com/title/tt14960612/" TargetMode="External"/><Relationship Id="rId903" Type="http://schemas.openxmlformats.org/officeDocument/2006/relationships/hyperlink" Target="https://www.imdb.com/title/tt0417349/" TargetMode="External"/><Relationship Id="rId904" Type="http://schemas.openxmlformats.org/officeDocument/2006/relationships/hyperlink" Target="https://www.imdb.com/title/tt4191702/" TargetMode="External"/><Relationship Id="rId905" Type="http://schemas.openxmlformats.org/officeDocument/2006/relationships/hyperlink" Target="https://www.imdb.com/title/tt9059760/" TargetMode="External"/><Relationship Id="rId906" Type="http://schemas.openxmlformats.org/officeDocument/2006/relationships/hyperlink" Target="https://www.imdb.com/title/tt29464977/" TargetMode="External"/><Relationship Id="rId907" Type="http://schemas.openxmlformats.org/officeDocument/2006/relationships/hyperlink" Target="https://www.imdb.com/title/tt28309594/" TargetMode="External"/><Relationship Id="rId908" Type="http://schemas.openxmlformats.org/officeDocument/2006/relationships/hyperlink" Target="https://www.imdb.com/title/tt9770150/" TargetMode="External"/><Relationship Id="rId909" Type="http://schemas.openxmlformats.org/officeDocument/2006/relationships/hyperlink" Target="https://www.imdb.com/title/tt0075686/" TargetMode="External"/><Relationship Id="rId910" Type="http://schemas.openxmlformats.org/officeDocument/2006/relationships/hyperlink" Target="https://www.imdb.com/title/tt0956038/" TargetMode="External"/><Relationship Id="rId911" Type="http://schemas.openxmlformats.org/officeDocument/2006/relationships/hyperlink" Target="https://www.imdb.com/title/tt13846402/" TargetMode="External"/><Relationship Id="rId912" Type="http://schemas.openxmlformats.org/officeDocument/2006/relationships/hyperlink" Target="https://www.imdb.com/title/tt27933302/" TargetMode="External"/><Relationship Id="rId913" Type="http://schemas.openxmlformats.org/officeDocument/2006/relationships/hyperlink" Target="https://www.imdb.com/title/tt0478134/" TargetMode="External"/><Relationship Id="rId914" Type="http://schemas.openxmlformats.org/officeDocument/2006/relationships/hyperlink" Target="https://www.imdb.com/title/tt10366460/" TargetMode="External"/><Relationship Id="rId915" Type="http://schemas.openxmlformats.org/officeDocument/2006/relationships/hyperlink" Target="https://www.imdb.com/title/tt6938828/" TargetMode="External"/><Relationship Id="rId916" Type="http://schemas.openxmlformats.org/officeDocument/2006/relationships/hyperlink" Target="https://www.imdb.com/title/tt0070723/" TargetMode="External"/><Relationship Id="rId917" Type="http://schemas.openxmlformats.org/officeDocument/2006/relationships/hyperlink" Target="https://www.imdb.com/title/tt4359330/" TargetMode="External"/><Relationship Id="rId918" Type="http://schemas.openxmlformats.org/officeDocument/2006/relationships/hyperlink" Target="https://www.imdb.com/title/tt31796256/" TargetMode="External"/><Relationship Id="rId919" Type="http://schemas.openxmlformats.org/officeDocument/2006/relationships/hyperlink" Target="https://www.imdb.com/title/tt15360916/" TargetMode="External"/><Relationship Id="rId920" Type="http://schemas.openxmlformats.org/officeDocument/2006/relationships/hyperlink" Target="https://www.imdb.com/title/tt5133308/" TargetMode="External"/><Relationship Id="rId921" Type="http://schemas.openxmlformats.org/officeDocument/2006/relationships/hyperlink" Target="https://www.imdb.com/title/tt1390411/" TargetMode="External"/><Relationship Id="rId922" Type="http://schemas.openxmlformats.org/officeDocument/2006/relationships/hyperlink" Target="https://www.imdb.com/title/tt0061811/" TargetMode="External"/><Relationship Id="rId923" Type="http://schemas.openxmlformats.org/officeDocument/2006/relationships/hyperlink" Target="https://www.imdb.com/title/tt1139664/" TargetMode="External"/><Relationship Id="rId924" Type="http://schemas.openxmlformats.org/officeDocument/2006/relationships/hyperlink" Target="https://www.imdb.com/title/tt10728764/" TargetMode="External"/><Relationship Id="rId925" Type="http://schemas.openxmlformats.org/officeDocument/2006/relationships/hyperlink" Target="https://www.imdb.com/title/tt26933824/" TargetMode="External"/><Relationship Id="rId926" Type="http://schemas.openxmlformats.org/officeDocument/2006/relationships/hyperlink" Target="https://www.imdb.com/title/tt31221478/" TargetMode="External"/><Relationship Id="rId927" Type="http://schemas.openxmlformats.org/officeDocument/2006/relationships/hyperlink" Target="https://www.imdb.com/title/tt0875034/" TargetMode="External"/><Relationship Id="rId928" Type="http://schemas.openxmlformats.org/officeDocument/2006/relationships/hyperlink" Target="https://www.imdb.com/title/tt0120834/" TargetMode="External"/><Relationship Id="rId929" Type="http://schemas.openxmlformats.org/officeDocument/2006/relationships/hyperlink" Target="https://www.imdb.com/title/tt5614612/" TargetMode="External"/><Relationship Id="rId930" Type="http://schemas.openxmlformats.org/officeDocument/2006/relationships/hyperlink" Target="https://www.imdb.com/title/tt15700830/" TargetMode="External"/><Relationship Id="rId931" Type="http://schemas.openxmlformats.org/officeDocument/2006/relationships/hyperlink" Target="https://www.imdb.com/title/tt21093806/" TargetMode="External"/><Relationship Id="rId932" Type="http://schemas.openxmlformats.org/officeDocument/2006/relationships/hyperlink" Target="https://www.imdb.com/title/tt1821549/" TargetMode="External"/><Relationship Id="rId933" Type="http://schemas.openxmlformats.org/officeDocument/2006/relationships/hyperlink" Target="https://www.imdb.com/title/tt13885302/" TargetMode="External"/><Relationship Id="rId934" Type="http://schemas.openxmlformats.org/officeDocument/2006/relationships/hyperlink" Target="https://www.imdb.com/title/tt0162222/" TargetMode="External"/><Relationship Id="rId935" Type="http://schemas.openxmlformats.org/officeDocument/2006/relationships/hyperlink" Target="https://www.imdb.com/title/tt0093058/" TargetMode="External"/><Relationship Id="rId936" Type="http://schemas.openxmlformats.org/officeDocument/2006/relationships/hyperlink" Target="https://www.imdb.com/title/tt0096969/" TargetMode="External"/><Relationship Id="rId937" Type="http://schemas.openxmlformats.org/officeDocument/2006/relationships/hyperlink" Target="https://www.imdb.com/title/tt1517451/" TargetMode="External"/><Relationship Id="rId938" Type="http://schemas.openxmlformats.org/officeDocument/2006/relationships/hyperlink" Target="https://www.imdb.com/title/tt0120646/" TargetMode="External"/><Relationship Id="rId939" Type="http://schemas.openxmlformats.org/officeDocument/2006/relationships/hyperlink" Target="https://www.imdb.com/title/tt9737876/" TargetMode="External"/><Relationship Id="rId940" Type="http://schemas.openxmlformats.org/officeDocument/2006/relationships/hyperlink" Target="https://www.imdb.com/title/tt14518692/" TargetMode="External"/><Relationship Id="rId941" Type="http://schemas.openxmlformats.org/officeDocument/2006/relationships/hyperlink" Target="https://www.imdb.com/title/tt2707408/" TargetMode="External"/><Relationship Id="rId942" Type="http://schemas.openxmlformats.org/officeDocument/2006/relationships/hyperlink" Target="https://www.imdb.com/title/tt14817272/" TargetMode="External"/><Relationship Id="rId943" Type="http://schemas.openxmlformats.org/officeDocument/2006/relationships/hyperlink" Target="https://www.imdb.com/title/tt13287846/" TargetMode="External"/><Relationship Id="rId944" Type="http://schemas.openxmlformats.org/officeDocument/2006/relationships/hyperlink" Target="https://www.imdb.com/title/tt28752710/" TargetMode="External"/><Relationship Id="rId945" Type="http://schemas.openxmlformats.org/officeDocument/2006/relationships/hyperlink" Target="https://www.imdb.com/title/tt1772288/" TargetMode="External"/><Relationship Id="rId946" Type="http://schemas.openxmlformats.org/officeDocument/2006/relationships/hyperlink" Target="https://www.imdb.com/title/tt11286314/" TargetMode="External"/><Relationship Id="rId947" Type="http://schemas.openxmlformats.org/officeDocument/2006/relationships/hyperlink" Target="https://www.imdb.com/title/tt9698480/" TargetMode="External"/><Relationship Id="rId948" Type="http://schemas.openxmlformats.org/officeDocument/2006/relationships/hyperlink" Target="https://www.imdb.com/title/tt31122777/" TargetMode="External"/><Relationship Id="rId949" Type="http://schemas.openxmlformats.org/officeDocument/2006/relationships/hyperlink" Target="https://www.imdb.com/title/tt0362225/" TargetMode="External"/><Relationship Id="rId950" Type="http://schemas.openxmlformats.org/officeDocument/2006/relationships/hyperlink" Target="https://www.imdb.com/title/tt7805960/" TargetMode="External"/><Relationship Id="rId951" Type="http://schemas.openxmlformats.org/officeDocument/2006/relationships/hyperlink" Target="https://www.imdb.com/title/tt1120985/" TargetMode="External"/><Relationship Id="rId952" Type="http://schemas.openxmlformats.org/officeDocument/2006/relationships/hyperlink" Target="https://www.imdb.com/title/tt5971566/" TargetMode="External"/><Relationship Id="rId953" Type="http://schemas.openxmlformats.org/officeDocument/2006/relationships/hyperlink" Target="https://www.imdb.com/title/tt9815454/" TargetMode="External"/><Relationship Id="rId954" Type="http://schemas.openxmlformats.org/officeDocument/2006/relationships/hyperlink" Target="https://www.imdb.com/title/tt0105265/" TargetMode="External"/><Relationship Id="rId955" Type="http://schemas.openxmlformats.org/officeDocument/2006/relationships/hyperlink" Target="https://www.imdb.com/title/tt1016150/" TargetMode="External"/><Relationship Id="rId956" Type="http://schemas.openxmlformats.org/officeDocument/2006/relationships/hyperlink" Target="https://www.imdb.com/title/tt7489816/" TargetMode="External"/><Relationship Id="rId957" Type="http://schemas.openxmlformats.org/officeDocument/2006/relationships/hyperlink" Target="https://www.imdb.com/title/tt7657324/" TargetMode="External"/><Relationship Id="rId958" Type="http://schemas.openxmlformats.org/officeDocument/2006/relationships/hyperlink" Target="https://www.imdb.com/title/tt12567088/" TargetMode="External"/><Relationship Id="rId959" Type="http://schemas.openxmlformats.org/officeDocument/2006/relationships/hyperlink" Target="https://www.imdb.com/title/tt7121252/" TargetMode="External"/><Relationship Id="rId960" Type="http://schemas.openxmlformats.org/officeDocument/2006/relationships/hyperlink" Target="https://www.imdb.com/title/tt0758758/" TargetMode="External"/><Relationship Id="rId961" Type="http://schemas.openxmlformats.org/officeDocument/2006/relationships/hyperlink" Target="https://www.imdb.com/title/tt22074164/" TargetMode="External"/><Relationship Id="rId962" Type="http://schemas.openxmlformats.org/officeDocument/2006/relationships/hyperlink" Target="https://www.imdb.com/title/tt1417075/" TargetMode="External"/><Relationship Id="rId963" Type="http://schemas.openxmlformats.org/officeDocument/2006/relationships/hyperlink" Target="https://www.imdb.com/title/tt0117666/" TargetMode="External"/><Relationship Id="rId964" Type="http://schemas.openxmlformats.org/officeDocument/2006/relationships/hyperlink" Target="https://www.imdb.com/title/tt5791536/" TargetMode="External"/><Relationship Id="rId965" Type="http://schemas.openxmlformats.org/officeDocument/2006/relationships/hyperlink" Target="https://www.imdb.com/title/tt7475578/" TargetMode="External"/><Relationship Id="rId966" Type="http://schemas.openxmlformats.org/officeDocument/2006/relationships/hyperlink" Target="https://www.imdb.com/title/tt0408306/" TargetMode="External"/><Relationship Id="rId967" Type="http://schemas.openxmlformats.org/officeDocument/2006/relationships/hyperlink" Target="https://www.imdb.com/title/tt3909336/" TargetMode="External"/><Relationship Id="rId968" Type="http://schemas.openxmlformats.org/officeDocument/2006/relationships/hyperlink" Target="https://www.imdb.com/title/tt4385888/" TargetMode="External"/><Relationship Id="rId969" Type="http://schemas.openxmlformats.org/officeDocument/2006/relationships/hyperlink" Target="https://www.imdb.com/title/tt10774460/" TargetMode="External"/><Relationship Id="rId970" Type="http://schemas.openxmlformats.org/officeDocument/2006/relationships/hyperlink" Target="https://www.imdb.com/title/tt0095675/" TargetMode="External"/><Relationship Id="rId971" Type="http://schemas.openxmlformats.org/officeDocument/2006/relationships/hyperlink" Target="https://www.imdb.com/title/tt11827806/" TargetMode="External"/><Relationship Id="rId972" Type="http://schemas.openxmlformats.org/officeDocument/2006/relationships/hyperlink" Target="https://www.imdb.com/title/tt2787834/" TargetMode="External"/><Relationship Id="rId973" Type="http://schemas.openxmlformats.org/officeDocument/2006/relationships/hyperlink" Target="https://www.imdb.com/title/tt0078841/" TargetMode="External"/><Relationship Id="rId974" Type="http://schemas.openxmlformats.org/officeDocument/2006/relationships/hyperlink" Target="https://www.imdb.com/title/tt3138782/" TargetMode="External"/><Relationship Id="rId975" Type="http://schemas.openxmlformats.org/officeDocument/2006/relationships/hyperlink" Target="https://www.imdb.com/title/tt0421229/" TargetMode="External"/><Relationship Id="rId976" Type="http://schemas.openxmlformats.org/officeDocument/2006/relationships/hyperlink" Target="https://www.imdb.com/title/tt0113862/" TargetMode="External"/><Relationship Id="rId977" Type="http://schemas.openxmlformats.org/officeDocument/2006/relationships/hyperlink" Target="https://www.imdb.com/title/tt0203009/" TargetMode="External"/><Relationship Id="rId978" Type="http://schemas.openxmlformats.org/officeDocument/2006/relationships/hyperlink" Target="https://www.imdb.com/title/tt9252468/" TargetMode="External"/><Relationship Id="rId979" Type="http://schemas.openxmlformats.org/officeDocument/2006/relationships/hyperlink" Target="https://www.imdb.com/title/tt7657566/" TargetMode="External"/><Relationship Id="rId980" Type="http://schemas.openxmlformats.org/officeDocument/2006/relationships/hyperlink" Target="https://www.imdb.com/title/tt0050986/" TargetMode="External"/><Relationship Id="rId981" Type="http://schemas.openxmlformats.org/officeDocument/2006/relationships/hyperlink" Target="https://www.imdb.com/title/tt1748122/" TargetMode="External"/><Relationship Id="rId982" Type="http://schemas.openxmlformats.org/officeDocument/2006/relationships/hyperlink" Target="https://www.imdb.com/title/tt4975722/" TargetMode="External"/><Relationship Id="rId983" Type="http://schemas.openxmlformats.org/officeDocument/2006/relationships/hyperlink" Target="https://www.imdb.com/title/tt23736044/" TargetMode="External"/><Relationship Id="rId984" Type="http://schemas.openxmlformats.org/officeDocument/2006/relationships/hyperlink" Target="https://www.imdb.com/title/tt6095616/" TargetMode="External"/><Relationship Id="rId985" Type="http://schemas.openxmlformats.org/officeDocument/2006/relationships/hyperlink" Target="https://www.imdb.com/title/tt8655736/" TargetMode="External"/><Relationship Id="rId986" Type="http://schemas.openxmlformats.org/officeDocument/2006/relationships/hyperlink" Target="https://www.imdb.com/title/tt3612616/" TargetMode="External"/><Relationship Id="rId987" Type="http://schemas.openxmlformats.org/officeDocument/2006/relationships/hyperlink" Target="https://www.imdb.com/title/tt0335119/" TargetMode="External"/><Relationship Id="rId988" Type="http://schemas.openxmlformats.org/officeDocument/2006/relationships/hyperlink" Target="https://www.imdb.com/title/tt0095647/" TargetMode="External"/><Relationship Id="rId989" Type="http://schemas.openxmlformats.org/officeDocument/2006/relationships/hyperlink" Target="https://www.imdb.com/title/tt4995776/" TargetMode="External"/><Relationship Id="rId990" Type="http://schemas.openxmlformats.org/officeDocument/2006/relationships/hyperlink" Target="https://www.imdb.com/title/tt8270592/" TargetMode="External"/><Relationship Id="rId991" Type="http://schemas.openxmlformats.org/officeDocument/2006/relationships/hyperlink" Target="https://www.imdb.com/title/tt0482546/" TargetMode="External"/><Relationship Id="rId992" Type="http://schemas.openxmlformats.org/officeDocument/2006/relationships/hyperlink" Target="https://www.imdb.com/title/tt21096438/" TargetMode="External"/><Relationship Id="rId993" Type="http://schemas.openxmlformats.org/officeDocument/2006/relationships/hyperlink" Target="https://www.imdb.com/title/tt13648220/" TargetMode="External"/><Relationship Id="rId994" Type="http://schemas.openxmlformats.org/officeDocument/2006/relationships/hyperlink" Target="https://www.imdb.com/title/tt3810760/" TargetMode="External"/><Relationship Id="rId995" Type="http://schemas.openxmlformats.org/officeDocument/2006/relationships/hyperlink" Target="https://www.imdb.com/title/tt1455151/" TargetMode="External"/><Relationship Id="rId996" Type="http://schemas.openxmlformats.org/officeDocument/2006/relationships/hyperlink" Target="https://www.imdb.com/title/tt0842926/" TargetMode="External"/><Relationship Id="rId997" Type="http://schemas.openxmlformats.org/officeDocument/2006/relationships/hyperlink" Target="https://www.imdb.com/title/tt13164942/" TargetMode="External"/><Relationship Id="rId998" Type="http://schemas.openxmlformats.org/officeDocument/2006/relationships/hyperlink" Target="https://www.imdb.com/title/tt8323628/" TargetMode="External"/><Relationship Id="rId999" Type="http://schemas.openxmlformats.org/officeDocument/2006/relationships/hyperlink" Target="https://www.imdb.com/title/tt7605922/" TargetMode="External"/><Relationship Id="rId1000" Type="http://schemas.openxmlformats.org/officeDocument/2006/relationships/hyperlink" Target="https://www.imdb.com/title/tt10611372/" TargetMode="External"/><Relationship Id="rId1001" Type="http://schemas.openxmlformats.org/officeDocument/2006/relationships/hyperlink" Target="https://www.imdb.com/title/tt21909764/" TargetMode="External"/><Relationship Id="rId1002" Type="http://schemas.openxmlformats.org/officeDocument/2006/relationships/hyperlink" Target="https://www.imdb.com/title/tt10633456/" TargetMode="External"/><Relationship Id="rId1003" Type="http://schemas.openxmlformats.org/officeDocument/2006/relationships/hyperlink" Target="https://www.imdb.com/title/tt13079150/" TargetMode="External"/><Relationship Id="rId1004" Type="http://schemas.openxmlformats.org/officeDocument/2006/relationships/hyperlink" Target="https://www.imdb.com/title/tt1568346/" TargetMode="External"/><Relationship Id="rId1005" Type="http://schemas.openxmlformats.org/officeDocument/2006/relationships/hyperlink" Target="https://www.imdb.com/title/tt1013753/" TargetMode="External"/><Relationship Id="rId1006" Type="http://schemas.openxmlformats.org/officeDocument/2006/relationships/hyperlink" Target="https://www.imdb.com/title/tt10431500/" TargetMode="External"/><Relationship Id="rId1007" Type="http://schemas.openxmlformats.org/officeDocument/2006/relationships/hyperlink" Target="https://www.imdb.com/title/tt7084386/" TargetMode="External"/><Relationship Id="rId1008" Type="http://schemas.openxmlformats.org/officeDocument/2006/relationships/hyperlink" Target="https://www.imdb.com/title/tt4554212/" TargetMode="External"/><Relationship Id="rId1009" Type="http://schemas.openxmlformats.org/officeDocument/2006/relationships/hyperlink" Target="https://www.imdb.com/title/tt2353767/" TargetMode="External"/><Relationship Id="rId1010" Type="http://schemas.openxmlformats.org/officeDocument/2006/relationships/hyperlink" Target="https://www.imdb.com/title/tt11378946/" TargetMode="External"/><Relationship Id="rId1011" Type="http://schemas.openxmlformats.org/officeDocument/2006/relationships/hyperlink" Target="https://www.imdb.com/title/tt3478962/" TargetMode="External"/><Relationship Id="rId1012" Type="http://schemas.openxmlformats.org/officeDocument/2006/relationships/hyperlink" Target="https://www.imdb.com/title/tt14362262/" TargetMode="External"/><Relationship Id="rId1013" Type="http://schemas.openxmlformats.org/officeDocument/2006/relationships/hyperlink" Target="https://www.imdb.com/title/tt14898794/" TargetMode="External"/><Relationship Id="rId1014" Type="http://schemas.openxmlformats.org/officeDocument/2006/relationships/hyperlink" Target="https://www.imdb.com/title/tt0476735/" TargetMode="External"/><Relationship Id="rId1015" Type="http://schemas.openxmlformats.org/officeDocument/2006/relationships/hyperlink" Target="https://www.imdb.com/title/tt10272386/" TargetMode="External"/><Relationship Id="rId1016" Type="http://schemas.openxmlformats.org/officeDocument/2006/relationships/hyperlink" Target="https://www.imdb.com/title/tt15229674/" TargetMode="External"/><Relationship Id="rId1017" Type="http://schemas.openxmlformats.org/officeDocument/2006/relationships/hyperlink" Target="https://www.imdb.com/title/tt6819310/" TargetMode="External"/><Relationship Id="rId1018" Type="http://schemas.openxmlformats.org/officeDocument/2006/relationships/hyperlink" Target="https://www.imdb.com/title/tt31828554/" TargetMode="External"/><Relationship Id="rId1019" Type="http://schemas.openxmlformats.org/officeDocument/2006/relationships/hyperlink" Target="https://www.imdb.com/title/tt1323594/" TargetMode="External"/><Relationship Id="rId1020" Type="http://schemas.openxmlformats.org/officeDocument/2006/relationships/hyperlink" Target="https://www.imdb.com/title/tt11100380/" TargetMode="External"/><Relationship Id="rId1021" Type="http://schemas.openxmlformats.org/officeDocument/2006/relationships/hyperlink" Target="https://www.imdb.com/title/tt13003996/" TargetMode="External"/><Relationship Id="rId1022" Type="http://schemas.openxmlformats.org/officeDocument/2006/relationships/hyperlink" Target="https://www.imdb.com/title/tt31015278/" TargetMode="External"/><Relationship Id="rId1023" Type="http://schemas.openxmlformats.org/officeDocument/2006/relationships/hyperlink" Target="https://www.imdb.com/title/tt4978342/" TargetMode="External"/><Relationship Id="rId1024" Type="http://schemas.openxmlformats.org/officeDocument/2006/relationships/hyperlink" Target="https://www.imdb.com/title/tt14267526/" TargetMode="External"/><Relationship Id="rId1025" Type="http://schemas.openxmlformats.org/officeDocument/2006/relationships/hyperlink" Target="https://www.imdb.com/title/tt8609660/" TargetMode="External"/><Relationship Id="rId1026" Type="http://schemas.openxmlformats.org/officeDocument/2006/relationships/hyperlink" Target="https://www.imdb.com/title/tt4400360/" TargetMode="External"/><Relationship Id="rId1027" Type="http://schemas.openxmlformats.org/officeDocument/2006/relationships/hyperlink" Target="https://www.imdb.com/title/tt15479704/" TargetMode="External"/><Relationship Id="rId1028" Type="http://schemas.openxmlformats.org/officeDocument/2006/relationships/hyperlink" Target="https://www.imdb.com/title/tt0311113/" TargetMode="External"/><Relationship Id="rId1029" Type="http://schemas.openxmlformats.org/officeDocument/2006/relationships/hyperlink" Target="https://www.imdb.com/title/tt7671598/" TargetMode="External"/><Relationship Id="rId1030" Type="http://schemas.openxmlformats.org/officeDocument/2006/relationships/hyperlink" Target="https://www.imdb.com/title/tt1980929/" TargetMode="External"/><Relationship Id="rId1031" Type="http://schemas.openxmlformats.org/officeDocument/2006/relationships/hyperlink" Target="https://www.imdb.com/title/tt4580372/" TargetMode="External"/><Relationship Id="rId1032" Type="http://schemas.openxmlformats.org/officeDocument/2006/relationships/hyperlink" Target="https://www.imdb.com/title/tt0369053/" TargetMode="External"/><Relationship Id="rId1033" Type="http://schemas.openxmlformats.org/officeDocument/2006/relationships/hyperlink" Target="https://www.imdb.com/title/tt10183816/" TargetMode="External"/><Relationship Id="rId1034" Type="http://schemas.openxmlformats.org/officeDocument/2006/relationships/hyperlink" Target="https://www.imdb.com/title/tt11157300/" TargetMode="External"/><Relationship Id="rId1035" Type="http://schemas.openxmlformats.org/officeDocument/2006/relationships/hyperlink" Target="https://www.imdb.com/title/tt7945440/" TargetMode="External"/><Relationship Id="rId1036" Type="http://schemas.openxmlformats.org/officeDocument/2006/relationships/hyperlink" Target="https://www.imdb.com/title/tt0102316/" TargetMode="External"/><Relationship Id="rId1037" Type="http://schemas.openxmlformats.org/officeDocument/2006/relationships/hyperlink" Target="https://www.imdb.com/title/tt0405159/" TargetMode="External"/><Relationship Id="rId1038" Type="http://schemas.openxmlformats.org/officeDocument/2006/relationships/hyperlink" Target="https://www.imdb.com/title/tt0397535/" TargetMode="External"/><Relationship Id="rId1039" Type="http://schemas.openxmlformats.org/officeDocument/2006/relationships/hyperlink" Target="https://www.imdb.com/title/tt0353969/" TargetMode="External"/><Relationship Id="rId1040" Type="http://schemas.openxmlformats.org/officeDocument/2006/relationships/hyperlink" Target="https://www.imdb.com/title/tt0209144/" TargetMode="External"/><Relationship Id="rId1041" Type="http://schemas.openxmlformats.org/officeDocument/2006/relationships/hyperlink" Target="https://www.imdb.com/title/tt0119822/" TargetMode="External"/><Relationship Id="rId1042" Type="http://schemas.openxmlformats.org/officeDocument/2006/relationships/hyperlink" Target="https://www.imdb.com/title/tt1527186/" TargetMode="External"/><Relationship Id="rId1043" Type="http://schemas.openxmlformats.org/officeDocument/2006/relationships/hyperlink" Target="https://www.imdb.com/title/tt11656220/" TargetMode="External"/><Relationship Id="rId1044" Type="http://schemas.openxmlformats.org/officeDocument/2006/relationships/hyperlink" Target="https://www.imdb.com/title/tt1605783/" TargetMode="External"/><Relationship Id="rId1045" Type="http://schemas.openxmlformats.org/officeDocument/2006/relationships/hyperlink" Target="https://www.imdb.com/title/tt1605783/" TargetMode="External"/><Relationship Id="rId1046" Type="http://schemas.openxmlformats.org/officeDocument/2006/relationships/hyperlink" Target="https://www.imdb.com/title/tt0452623/" TargetMode="External"/><Relationship Id="rId1047" Type="http://schemas.openxmlformats.org/officeDocument/2006/relationships/hyperlink" Target="https://www.imdb.com/title/tt5057130/" TargetMode="External"/><Relationship Id="rId1048" Type="http://schemas.openxmlformats.org/officeDocument/2006/relationships/hyperlink" Target="https://www.imdb.com/title/tt5726616/" TargetMode="External"/><Relationship Id="rId1049" Type="http://schemas.openxmlformats.org/officeDocument/2006/relationships/hyperlink" Target="https://www.imdb.com/title/tt0410639/" TargetMode="External"/><Relationship Id="rId1050" Type="http://schemas.openxmlformats.org/officeDocument/2006/relationships/hyperlink" Target="https://www.imdb.com/title/tt0085496/" TargetMode="External"/><Relationship Id="rId1051" Type="http://schemas.openxmlformats.org/officeDocument/2006/relationships/hyperlink" Target="https://www.imdb.com/title/tt3721954/" TargetMode="External"/><Relationship Id="rId1052" Type="http://schemas.openxmlformats.org/officeDocument/2006/relationships/hyperlink" Target="https://www.imdb.com/title/tt11389748/" TargetMode="External"/><Relationship Id="rId1053" Type="http://schemas.openxmlformats.org/officeDocument/2006/relationships/hyperlink" Target="https://www.imdb.com/title/tt3906082/" TargetMode="External"/><Relationship Id="rId1054" Type="http://schemas.openxmlformats.org/officeDocument/2006/relationships/hyperlink" Target="https://www.imdb.com/title/tt0058331/" TargetMode="External"/><Relationship Id="rId1055" Type="http://schemas.openxmlformats.org/officeDocument/2006/relationships/hyperlink" Target="https://www.imdb.com/title/tt0978762/" TargetMode="External"/><Relationship Id="rId1056" Type="http://schemas.openxmlformats.org/officeDocument/2006/relationships/hyperlink" Target="https://www.imdb.com/title/tt5989394/" TargetMode="External"/><Relationship Id="rId1057" Type="http://schemas.openxmlformats.org/officeDocument/2006/relationships/hyperlink" Target="https://www.imdb.com/title/tt32916440/" TargetMode="External"/><Relationship Id="rId1058" Type="http://schemas.openxmlformats.org/officeDocument/2006/relationships/hyperlink" Target="https://www.imdb.com/title/tt5301662/" TargetMode="External"/><Relationship Id="rId1059" Type="http://schemas.openxmlformats.org/officeDocument/2006/relationships/hyperlink" Target="https://www.imdb.com/title/tt4003966/" TargetMode="External"/><Relationship Id="rId1060" Type="http://schemas.openxmlformats.org/officeDocument/2006/relationships/hyperlink" Target="https://www.imdb.com/title/tt26743607/" TargetMode="External"/><Relationship Id="rId1061" Type="http://schemas.openxmlformats.org/officeDocument/2006/relationships/hyperlink" Target="https://www.imdb.com/title/tt22893404/" TargetMode="External"/><Relationship Id="rId1062" Type="http://schemas.openxmlformats.org/officeDocument/2006/relationships/hyperlink" Target="https://www.imdb.com/title/tt10155688/" TargetMode="External"/><Relationship Id="rId1063" Type="http://schemas.openxmlformats.org/officeDocument/2006/relationships/hyperlink" Target="https://www.imdb.com/title/tt2189461/" TargetMode="External"/><Relationship Id="rId1064" Type="http://schemas.openxmlformats.org/officeDocument/2006/relationships/hyperlink" Target="https://www.imdb.com/title/tt5269594/" TargetMode="External"/><Relationship Id="rId1065" Type="http://schemas.openxmlformats.org/officeDocument/2006/relationships/hyperlink" Target="https://www.imdb.com/title/tt0399146/" TargetMode="External"/><Relationship Id="rId1066" Type="http://schemas.openxmlformats.org/officeDocument/2006/relationships/hyperlink" Target="https://www.imdb.com/title/tt20864704/" TargetMode="External"/><Relationship Id="rId1067" Type="http://schemas.openxmlformats.org/officeDocument/2006/relationships/hyperlink" Target="https://www.imdb.com/title/tt0369702/" TargetMode="External"/><Relationship Id="rId1068" Type="http://schemas.openxmlformats.org/officeDocument/2006/relationships/hyperlink" Target="https://www.imdb.com/title/tt1295085/" TargetMode="External"/><Relationship Id="rId1069" Type="http://schemas.openxmlformats.org/officeDocument/2006/relationships/hyperlink" Target="https://www.imdb.com/title/tt10618286/" TargetMode="External"/><Relationship Id="rId1070" Type="http://schemas.openxmlformats.org/officeDocument/2006/relationships/hyperlink" Target="https://www.imdb.com/title/tt0079522/" TargetMode="External"/><Relationship Id="rId1071" Type="http://schemas.openxmlformats.org/officeDocument/2006/relationships/hyperlink" Target="https://www.imdb.com/title/tt5203748/" TargetMode="External"/><Relationship Id="rId1072" Type="http://schemas.openxmlformats.org/officeDocument/2006/relationships/hyperlink" Target="https://www.imdb.com/title/tt4034228/" TargetMode="External"/><Relationship Id="rId1073" Type="http://schemas.openxmlformats.org/officeDocument/2006/relationships/hyperlink" Target="https://www.imdb.com/title/tt0795421/" TargetMode="External"/><Relationship Id="rId1074" Type="http://schemas.openxmlformats.org/officeDocument/2006/relationships/hyperlink" Target="https://www.imdb.com/title/tt1153111/" TargetMode="External"/><Relationship Id="rId1075" Type="http://schemas.openxmlformats.org/officeDocument/2006/relationships/hyperlink" Target="https://www.imdb.com/title/tt0107497/" TargetMode="External"/><Relationship Id="rId1076" Type="http://schemas.openxmlformats.org/officeDocument/2006/relationships/hyperlink" Target="https://www.imdb.com/title/tt0213847/" TargetMode="External"/><Relationship Id="rId1077" Type="http://schemas.openxmlformats.org/officeDocument/2006/relationships/hyperlink" Target="https://www.imdb.com/title/tt15246038/" TargetMode="External"/><Relationship Id="rId1078" Type="http://schemas.openxmlformats.org/officeDocument/2006/relationships/hyperlink" Target="https://www.imdb.com/title/tt5827360/" TargetMode="External"/><Relationship Id="rId1079" Type="http://schemas.openxmlformats.org/officeDocument/2006/relationships/hyperlink" Target="https://www.imdb.com/title/tt5536610/" TargetMode="External"/><Relationship Id="rId1080" Type="http://schemas.openxmlformats.org/officeDocument/2006/relationships/hyperlink" Target="https://www.imdb.com/title/tt9731598/" TargetMode="External"/><Relationship Id="rId1081" Type="http://schemas.openxmlformats.org/officeDocument/2006/relationships/hyperlink" Target="https://www.imdb.com/title/tt11337908/" TargetMode="External"/><Relationship Id="rId1082" Type="http://schemas.openxmlformats.org/officeDocument/2006/relationships/hyperlink" Target="https://www.imdb.com/title/tt0175880/" TargetMode="External"/><Relationship Id="rId1083" Type="http://schemas.openxmlformats.org/officeDocument/2006/relationships/hyperlink" Target="https://www.imdb.com/title/tt8367814/" TargetMode="External"/><Relationship Id="rId1084" Type="http://schemas.openxmlformats.org/officeDocument/2006/relationships/hyperlink" Target="https://www.imdb.com/title/tt5535276/" TargetMode="External"/><Relationship Id="rId1085" Type="http://schemas.openxmlformats.org/officeDocument/2006/relationships/hyperlink" Target="https://www.imdb.com/title/tt12618926/" TargetMode="External"/><Relationship Id="rId1086" Type="http://schemas.openxmlformats.org/officeDocument/2006/relationships/hyperlink" Target="https://www.imdb.com/title/tt5109784/" TargetMode="External"/><Relationship Id="rId1087" Type="http://schemas.openxmlformats.org/officeDocument/2006/relationships/hyperlink" Target="https://www.imdb.com/title/tt11937732/" TargetMode="External"/><Relationship Id="rId1088" Type="http://schemas.openxmlformats.org/officeDocument/2006/relationships/hyperlink" Target="https://www.imdb.com/title/tt5109784/" TargetMode="External"/><Relationship Id="rId1089" Type="http://schemas.openxmlformats.org/officeDocument/2006/relationships/hyperlink" Target="https://www.imdb.com/title/tt0275491/" TargetMode="External"/><Relationship Id="rId1090" Type="http://schemas.openxmlformats.org/officeDocument/2006/relationships/hyperlink" Target="https://www.imdb.com/title/tt0066026/" TargetMode="External"/><Relationship Id="rId1091" Type="http://schemas.openxmlformats.org/officeDocument/2006/relationships/hyperlink" Target="https://www.imdb.com/title/tt0841925/" TargetMode="External"/><Relationship Id="rId1092" Type="http://schemas.openxmlformats.org/officeDocument/2006/relationships/hyperlink" Target="https://www.imdb.com/title/tt4916630/" TargetMode="External"/><Relationship Id="rId1093" Type="http://schemas.openxmlformats.org/officeDocument/2006/relationships/hyperlink" Target="https://www.imdb.com/title/tt14439896/" TargetMode="External"/><Relationship Id="rId1094" Type="http://schemas.openxmlformats.org/officeDocument/2006/relationships/hyperlink" Target="https://www.imdb.com/title/tt2531336/" TargetMode="External"/><Relationship Id="rId1095" Type="http://schemas.openxmlformats.org/officeDocument/2006/relationships/hyperlink" Target="https://www.imdb.com/title/tt0104779/" TargetMode="External"/><Relationship Id="rId1096" Type="http://schemas.openxmlformats.org/officeDocument/2006/relationships/hyperlink" Target="https://www.imdb.com/title/tt4669986/" TargetMode="External"/><Relationship Id="rId1097" Type="http://schemas.openxmlformats.org/officeDocument/2006/relationships/hyperlink" Target="https://www.imdb.com/title/tt0066011/" TargetMode="External"/><Relationship Id="rId1098" Type="http://schemas.openxmlformats.org/officeDocument/2006/relationships/hyperlink" Target="https://www.imdb.com/title/tt0069704/" TargetMode="External"/><Relationship Id="rId1099" Type="http://schemas.openxmlformats.org/officeDocument/2006/relationships/hyperlink" Target="https://www.imdb.com/title/tt11655202/" TargetMode="External"/><Relationship Id="rId1100" Type="http://schemas.openxmlformats.org/officeDocument/2006/relationships/hyperlink" Target="https://www.imdb.com/title/tt0100157/" TargetMode="External"/><Relationship Id="rId1101" Type="http://schemas.openxmlformats.org/officeDocument/2006/relationships/hyperlink" Target="https://www.imdb.com/title/tt0119488/" TargetMode="External"/><Relationship Id="rId1102" Type="http://schemas.openxmlformats.org/officeDocument/2006/relationships/hyperlink" Target="https://www.imdb.com/title/tt0119558/" TargetMode="External"/><Relationship Id="rId1103" Type="http://schemas.openxmlformats.org/officeDocument/2006/relationships/hyperlink" Target="https://www.imdb.com/title/tt5160938/" TargetMode="External"/><Relationship Id="rId1104" Type="http://schemas.openxmlformats.org/officeDocument/2006/relationships/hyperlink" Target="https://www.imdb.com/title/tt1268204/" TargetMode="External"/><Relationship Id="rId1105" Type="http://schemas.openxmlformats.org/officeDocument/2006/relationships/hyperlink" Target="https://www.imdb.com/title/tt2305051/" TargetMode="External"/><Relationship Id="rId1106" Type="http://schemas.openxmlformats.org/officeDocument/2006/relationships/hyperlink" Target="https://www.imdb.com/title/tt12923028/" TargetMode="External"/><Relationship Id="rId1107" Type="http://schemas.openxmlformats.org/officeDocument/2006/relationships/hyperlink" Target="https://www.imdb.com/title/tt3741834/" TargetMode="External"/><Relationship Id="rId1108" Type="http://schemas.openxmlformats.org/officeDocument/2006/relationships/hyperlink" Target="https://www.imdb.com/title/tt2312718/" TargetMode="External"/><Relationship Id="rId1109" Type="http://schemas.openxmlformats.org/officeDocument/2006/relationships/hyperlink" Target="https://www.imdb.com/title/tt2303687/" TargetMode="External"/><Relationship Id="rId1110" Type="http://schemas.openxmlformats.org/officeDocument/2006/relationships/hyperlink" Target="https://www.imdb.com/title/tt0443272/" TargetMode="External"/><Relationship Id="rId1111" Type="http://schemas.openxmlformats.org/officeDocument/2006/relationships/hyperlink" Target="https://www.imdb.com/title/tt1172963/" TargetMode="External"/><Relationship Id="rId1112" Type="http://schemas.openxmlformats.org/officeDocument/2006/relationships/hyperlink" Target="https://www.imdb.com/title/tt5349022/" TargetMode="External"/><Relationship Id="rId1113" Type="http://schemas.openxmlformats.org/officeDocument/2006/relationships/hyperlink" Target="https://www.imdb.com/title/tt20864704/" TargetMode="External"/><Relationship Id="rId1114" Type="http://schemas.openxmlformats.org/officeDocument/2006/relationships/hyperlink" Target="https://www.imdb.com/title/tt0281961/" TargetMode="External"/><Relationship Id="rId1115" Type="http://schemas.openxmlformats.org/officeDocument/2006/relationships/hyperlink" Target="https://www.imdb.com/title/tt11271038/" TargetMode="External"/><Relationship Id="rId1116" Type="http://schemas.openxmlformats.org/officeDocument/2006/relationships/hyperlink" Target="https://www.imdb.com/title/tt2802154/" TargetMode="External"/><Relationship Id="rId1117" Type="http://schemas.openxmlformats.org/officeDocument/2006/relationships/hyperlink" Target="https://www.imdb.com/title/tt38776795/" TargetMode="External"/><Relationship Id="rId1118" Type="http://schemas.openxmlformats.org/officeDocument/2006/relationships/hyperlink" Target="https://www.imdb.com/title/tt10808832/" TargetMode="External"/><Relationship Id="rId1119" Type="http://schemas.openxmlformats.org/officeDocument/2006/relationships/hyperlink" Target="https://www.imdb.com/title/tt0110322/" TargetMode="External"/><Relationship Id="rId1120" Type="http://schemas.openxmlformats.org/officeDocument/2006/relationships/hyperlink" Target="https://www.imdb.com/title/tt1172963/" TargetMode="External"/><Relationship Id="rId1121" Type="http://schemas.openxmlformats.org/officeDocument/2006/relationships/hyperlink" Target="https://www.imdb.com/title/tt1403981/" TargetMode="External"/><Relationship Id="rId1122" Type="http://schemas.openxmlformats.org/officeDocument/2006/relationships/hyperlink" Target="https://www.imdb.com/title/tt2073016/" TargetMode="External"/><Relationship Id="rId1123" Type="http://schemas.openxmlformats.org/officeDocument/2006/relationships/hyperlink" Target="https://www.imdb.com/title/tt5712152/" TargetMode="External"/><Relationship Id="rId1124" Type="http://schemas.openxmlformats.org/officeDocument/2006/relationships/hyperlink" Target="https://www.imdb.com/title/tt0056172/" TargetMode="External"/><Relationship Id="rId1125" Type="http://schemas.openxmlformats.org/officeDocument/2006/relationships/hyperlink" Target="https://www.imdb.com/title/tt14417794/" TargetMode="External"/><Relationship Id="rId1126" Type="http://schemas.openxmlformats.org/officeDocument/2006/relationships/hyperlink" Target="https://www.imdb.com/title/tt2146130/" TargetMode="External"/><Relationship Id="rId1127" Type="http://schemas.openxmlformats.org/officeDocument/2006/relationships/hyperlink" Target="https://www.imdb.com/title/tt3451096/" TargetMode="External"/><Relationship Id="rId1128" Type="http://schemas.openxmlformats.org/officeDocument/2006/relationships/hyperlink" Target="https://www.imdb.com/title/tt1660379/" TargetMode="External"/><Relationship Id="rId1129" Type="http://schemas.openxmlformats.org/officeDocument/2006/relationships/hyperlink" Target="https://www.imdb.com/title/tt5078852/" TargetMode="External"/><Relationship Id="rId1130" Type="http://schemas.openxmlformats.org/officeDocument/2006/relationships/hyperlink" Target="https://www.imdb.com/title/tt0108065/" TargetMode="External"/><Relationship Id="rId1131" Type="http://schemas.openxmlformats.org/officeDocument/2006/relationships/hyperlink" Target="https://www.imdb.com/title/tt0113071/" TargetMode="External"/><Relationship Id="rId1132" Type="http://schemas.openxmlformats.org/officeDocument/2006/relationships/hyperlink" Target="https://www.imdb.com/title/tt4925292/" TargetMode="External"/><Relationship Id="rId1133" Type="http://schemas.openxmlformats.org/officeDocument/2006/relationships/hyperlink" Target="https://www.imdb.com/title/tt0120686/" TargetMode="External"/><Relationship Id="rId1134" Type="http://schemas.openxmlformats.org/officeDocument/2006/relationships/hyperlink" Target="https://www.imdb.com/title/tt27787160/" TargetMode="External"/><Relationship Id="rId1135" Type="http://schemas.openxmlformats.org/officeDocument/2006/relationships/hyperlink" Target="https://www.imdb.com/title/tt8500086/" TargetMode="External"/><Relationship Id="rId1136" Type="http://schemas.openxmlformats.org/officeDocument/2006/relationships/hyperlink" Target="https://www.imdb.com/title/tt7937168/" TargetMode="External"/><Relationship Id="rId1137" Type="http://schemas.openxmlformats.org/officeDocument/2006/relationships/hyperlink" Target="https://www.imdb.com/title/tt5687236/" TargetMode="External"/><Relationship Id="rId1138" Type="http://schemas.openxmlformats.org/officeDocument/2006/relationships/hyperlink" Target="https://www.imdb.com/title/tt3783958/" TargetMode="External"/><Relationship Id="rId1139" Type="http://schemas.openxmlformats.org/officeDocument/2006/relationships/hyperlink" Target="https://www.imdb.com/title/tt6468322/" TargetMode="External"/><Relationship Id="rId1140" Type="http://schemas.openxmlformats.org/officeDocument/2006/relationships/hyperlink" Target="https://www.imdb.com/title/tt26760483/" TargetMode="External"/><Relationship Id="rId1141" Type="http://schemas.openxmlformats.org/officeDocument/2006/relationships/hyperlink" Target="https://www.imdb.com/title/tt0079417/" TargetMode="External"/><Relationship Id="rId1142" Type="http://schemas.openxmlformats.org/officeDocument/2006/relationships/hyperlink" Target="https://www.imdb.com/title/tt0116790/" TargetMode="External"/><Relationship Id="rId1143" Type="http://schemas.openxmlformats.org/officeDocument/2006/relationships/hyperlink" Target="https://www.imdb.com/title/tt9620288/" TargetMode="External"/><Relationship Id="rId1144" Type="http://schemas.openxmlformats.org/officeDocument/2006/relationships/hyperlink" Target="https://www.imdb.com/title/tt0378194/" TargetMode="External"/><Relationship Id="rId1145" Type="http://schemas.openxmlformats.org/officeDocument/2006/relationships/hyperlink" Target="https://www.imdb.com/title/tt0266697/" TargetMode="External"/><Relationship Id="rId1146" Type="http://schemas.openxmlformats.org/officeDocument/2006/relationships/hyperlink" Target="https://www.imdb.com/title/tt0879843/" TargetMode="External"/><Relationship Id="rId1147" Type="http://schemas.openxmlformats.org/officeDocument/2006/relationships/hyperlink" Target="https://www.imdb.com/title/tt0435100/" TargetMode="External"/><Relationship Id="rId1148" Type="http://schemas.openxmlformats.org/officeDocument/2006/relationships/hyperlink" Target="https://www.imdb.com/title/tt0107302/" TargetMode="External"/><Relationship Id="rId1149" Type="http://schemas.openxmlformats.org/officeDocument/2006/relationships/hyperlink" Target="https://www.imdb.com/title/tt0473356/" TargetMode="External"/><Relationship Id="rId1150" Type="http://schemas.openxmlformats.org/officeDocument/2006/relationships/hyperlink" Target="https://www.imdb.com/title/tt0107290/" TargetMode="External"/><Relationship Id="rId1151" Type="http://schemas.openxmlformats.org/officeDocument/2006/relationships/hyperlink" Target="https://www.imdb.com/title/tt27403986/" TargetMode="External"/><Relationship Id="rId1152" Type="http://schemas.openxmlformats.org/officeDocument/2006/relationships/hyperlink" Target="https://www.imdb.com/title/tt0467406/" TargetMode="External"/><Relationship Id="rId1153" Type="http://schemas.openxmlformats.org/officeDocument/2006/relationships/hyperlink" Target="https://www.imdb.com/title/tt4326444/" TargetMode="External"/><Relationship Id="rId1154" Type="http://schemas.openxmlformats.org/officeDocument/2006/relationships/hyperlink" Target="https://www.imdb.com/title/tt1135503/" TargetMode="External"/><Relationship Id="rId1155" Type="http://schemas.openxmlformats.org/officeDocument/2006/relationships/hyperlink" Target="https://www.imdb.com/title/tt7549996/" TargetMode="External"/><Relationship Id="rId1156" Type="http://schemas.openxmlformats.org/officeDocument/2006/relationships/hyperlink" Target="https://www.imdb.com/title/tt9784798/" TargetMode="External"/><Relationship Id="rId1157" Type="http://schemas.openxmlformats.org/officeDocument/2006/relationships/hyperlink" Target="https://www.imdb.com/title/tt10243672/" TargetMode="External"/><Relationship Id="rId1158" Type="http://schemas.openxmlformats.org/officeDocument/2006/relationships/hyperlink" Target="https://www.imdb.com/title/tt2584384/" TargetMode="External"/><Relationship Id="rId1159" Type="http://schemas.openxmlformats.org/officeDocument/2006/relationships/hyperlink" Target="https://www.imdb.com/title/tt5727208/" TargetMode="External"/><Relationship Id="rId1160" Type="http://schemas.openxmlformats.org/officeDocument/2006/relationships/hyperlink" Target="https://www.imdb.com/title/tt0358273/" TargetMode="External"/><Relationship Id="rId1161" Type="http://schemas.openxmlformats.org/officeDocument/2006/relationships/hyperlink" Target="https://www.imdb.com/title/tt0120735/" TargetMode="External"/><Relationship Id="rId1162" Type="http://schemas.openxmlformats.org/officeDocument/2006/relationships/hyperlink" Target="https://www.imdb.com/title/tt16304446/" TargetMode="External"/><Relationship Id="rId1163" Type="http://schemas.openxmlformats.org/officeDocument/2006/relationships/hyperlink" Target="https://www.imdb.com/title/tt1165293/" TargetMode="External"/><Relationship Id="rId1164" Type="http://schemas.openxmlformats.org/officeDocument/2006/relationships/hyperlink" Target="https://www.imdb.com/title/tt2708254/" TargetMode="External"/><Relationship Id="rId1165" Type="http://schemas.openxmlformats.org/officeDocument/2006/relationships/hyperlink" Target="https://www.imdb.com/title/tt0075520/" TargetMode="External"/><Relationship Id="rId1166" Type="http://schemas.openxmlformats.org/officeDocument/2006/relationships/hyperlink" Target="https://www.imdb.com/title/tt9205538/" TargetMode="External"/><Relationship Id="rId1167" Type="http://schemas.openxmlformats.org/officeDocument/2006/relationships/hyperlink" Target="https://www.imdb.com/title/tt30446847/" TargetMode="External"/><Relationship Id="rId1168" Type="http://schemas.openxmlformats.org/officeDocument/2006/relationships/hyperlink" Target="https://www.imdb.com/title/tt1229822/" TargetMode="External"/><Relationship Id="rId1169" Type="http://schemas.openxmlformats.org/officeDocument/2006/relationships/hyperlink" Target="https://www.imdb.com/title/tt0790724/" TargetMode="External"/><Relationship Id="rId1170" Type="http://schemas.openxmlformats.org/officeDocument/2006/relationships/hyperlink" Target="https://www.imdb.com/title/tt2245003/" TargetMode="External"/><Relationship Id="rId1171" Type="http://schemas.openxmlformats.org/officeDocument/2006/relationships/hyperlink" Target="https://www.imdb.com/title/tt15654800/" TargetMode="External"/><Relationship Id="rId1172" Type="http://schemas.openxmlformats.org/officeDocument/2006/relationships/hyperlink" Target="https://www.imdb.com/title/tt2011533/" TargetMode="External"/><Relationship Id="rId1173" Type="http://schemas.openxmlformats.org/officeDocument/2006/relationships/hyperlink" Target="https://www.imdb.com/title/tt13116876/" TargetMode="External"/><Relationship Id="rId1174" Type="http://schemas.openxmlformats.org/officeDocument/2006/relationships/hyperlink" Target="https://www.imdb.com/title/tt26676489/" TargetMode="External"/><Relationship Id="rId1175" Type="http://schemas.openxmlformats.org/officeDocument/2006/relationships/hyperlink" Target="https://www.imdb.com/title/tt0322674/" TargetMode="External"/><Relationship Id="rId1176" Type="http://schemas.openxmlformats.org/officeDocument/2006/relationships/hyperlink" Target="https://www.imdb.com/title/tt11092178/" TargetMode="External"/><Relationship Id="rId1177" Type="http://schemas.openxmlformats.org/officeDocument/2006/relationships/hyperlink" Target="https://www.imdb.com/title/tt8740976/" TargetMode="External"/><Relationship Id="rId1178" Type="http://schemas.openxmlformats.org/officeDocument/2006/relationships/hyperlink" Target="https://www.imdb.com/title/tt1809398/" TargetMode="External"/><Relationship Id="rId1179" Type="http://schemas.openxmlformats.org/officeDocument/2006/relationships/hyperlink" Target="https://www.imdb.com/title/tt1675434/" TargetMode="External"/><Relationship Id="rId1180" Type="http://schemas.openxmlformats.org/officeDocument/2006/relationships/hyperlink" Target="https://www.imdb.com/title/tt14463542/" TargetMode="External"/><Relationship Id="rId1181" Type="http://schemas.openxmlformats.org/officeDocument/2006/relationships/hyperlink" Target="https://www.imdb.com/title/tt0816692/" TargetMode="External"/><Relationship Id="rId1182" Type="http://schemas.openxmlformats.org/officeDocument/2006/relationships/hyperlink" Target="https://www.imdb.com/title/tt11243112/" TargetMode="External"/><Relationship Id="rId1183" Type="http://schemas.openxmlformats.org/officeDocument/2006/relationships/hyperlink" Target="https://www.imdb.com/title/tt0103772/" TargetMode="External"/><Relationship Id="rId1184" Type="http://schemas.openxmlformats.org/officeDocument/2006/relationships/hyperlink" Target="https://www.imdb.com/title/tt0780571/" TargetMode="External"/><Relationship Id="rId1185" Type="http://schemas.openxmlformats.org/officeDocument/2006/relationships/hyperlink" Target="https://www.imdb.com/title/tt13397574/" TargetMode="External"/><Relationship Id="rId1186" Type="http://schemas.openxmlformats.org/officeDocument/2006/relationships/hyperlink" Target="https://www.imdb.com/title/tt6776106/" TargetMode="External"/><Relationship Id="rId1187" Type="http://schemas.openxmlformats.org/officeDocument/2006/relationships/hyperlink" Target="https://www.imdb.com/title/tt8010592/" TargetMode="External"/><Relationship Id="rId1188" Type="http://schemas.openxmlformats.org/officeDocument/2006/relationships/hyperlink" Target="https://www.imdb.com/title/tt2042568/" TargetMode="External"/><Relationship Id="rId1189" Type="http://schemas.openxmlformats.org/officeDocument/2006/relationships/hyperlink" Target="https://www.imdb.com/title/tt3543258/" TargetMode="External"/><Relationship Id="rId1190" Type="http://schemas.openxmlformats.org/officeDocument/2006/relationships/hyperlink" Target="https://www.imdb.com/title/tt14109724/" TargetMode="External"/><Relationship Id="rId1191" Type="http://schemas.openxmlformats.org/officeDocument/2006/relationships/hyperlink" Target="https://www.imdb.com/title/tt7349662/" TargetMode="External"/><Relationship Id="rId1192" Type="http://schemas.openxmlformats.org/officeDocument/2006/relationships/hyperlink" Target="https://www.imdb.com/title/tt11083552/" TargetMode="External"/><Relationship Id="rId1193" Type="http://schemas.openxmlformats.org/officeDocument/2006/relationships/hyperlink" Target="https://www.imdb.com/title/tt0250797/" TargetMode="External"/><Relationship Id="rId1194" Type="http://schemas.openxmlformats.org/officeDocument/2006/relationships/hyperlink" Target="https://www.imdb.com/title/tt20832442/" TargetMode="External"/><Relationship Id="rId1195" Type="http://schemas.openxmlformats.org/officeDocument/2006/relationships/hyperlink" Target="https://www.imdb.com/title/tt27936770/" TargetMode="External"/><Relationship Id="rId1196" Type="http://schemas.openxmlformats.org/officeDocument/2006/relationships/hyperlink" Target="https://www.imdb.com/title/tt13978306/" TargetMode="External"/><Relationship Id="rId1197" Type="http://schemas.openxmlformats.org/officeDocument/2006/relationships/hyperlink" Target="https://www.imdb.com/title/tt1255953/" TargetMode="External"/><Relationship Id="rId1198" Type="http://schemas.openxmlformats.org/officeDocument/2006/relationships/hyperlink" Target="https://www.imdb.com/title/tt7909970/" TargetMode="External"/><Relationship Id="rId1199" Type="http://schemas.openxmlformats.org/officeDocument/2006/relationships/hyperlink" Target="https://www.imdb.com/title/tt0092965/" TargetMode="External"/><Relationship Id="rId1200" Type="http://schemas.openxmlformats.org/officeDocument/2006/relationships/hyperlink" Target="https://www.imdb.com/title/tt11816814/" TargetMode="External"/><Relationship Id="rId1201" Type="http://schemas.openxmlformats.org/officeDocument/2006/relationships/hyperlink" Target="https://www.imdb.com/title/tt11233960/" TargetMode="External"/><Relationship Id="rId1202" Type="http://schemas.openxmlformats.org/officeDocument/2006/relationships/hyperlink" Target="https://www.imdb.com/title/tt22028080/" TargetMode="External"/><Relationship Id="rId1203" Type="http://schemas.openxmlformats.org/officeDocument/2006/relationships/hyperlink" Target="https://www.imdb.com/title/tt1130884/" TargetMode="External"/><Relationship Id="rId1204" Type="http://schemas.openxmlformats.org/officeDocument/2006/relationships/hyperlink" Target="https://www.imdb.com/title/tt8949480/" TargetMode="External"/><Relationship Id="rId1205" Type="http://schemas.openxmlformats.org/officeDocument/2006/relationships/hyperlink" Target="https://www.imdb.com/title/tt10549212/" TargetMode="External"/><Relationship Id="rId1206" Type="http://schemas.openxmlformats.org/officeDocument/2006/relationships/hyperlink" Target="https://www.imdb.com/title/tt0448564/" TargetMode="External"/><Relationship Id="rId1207" Type="http://schemas.openxmlformats.org/officeDocument/2006/relationships/hyperlink" Target="https://www.imdb.com/title/tt8893974/" TargetMode="External"/><Relationship Id="rId1208" Type="http://schemas.openxmlformats.org/officeDocument/2006/relationships/hyperlink" Target="https://www.imdb.com/title/tt31514146/" TargetMode="External"/><Relationship Id="rId1209" Type="http://schemas.openxmlformats.org/officeDocument/2006/relationships/hyperlink" Target="https://www.imdb.com/title/tt0425118/" TargetMode="External"/><Relationship Id="rId1210" Type="http://schemas.openxmlformats.org/officeDocument/2006/relationships/hyperlink" Target="https://www.imdb.com/title/tt6791096/" TargetMode="External"/><Relationship Id="rId1211" Type="http://schemas.openxmlformats.org/officeDocument/2006/relationships/hyperlink" Target="https://www.imdb.com/title/tt12383460/" TargetMode="External"/><Relationship Id="rId1212" Type="http://schemas.openxmlformats.org/officeDocument/2006/relationships/hyperlink" Target="https://www.imdb.com/title/tt3327994/" TargetMode="External"/><Relationship Id="rId1213" Type="http://schemas.openxmlformats.org/officeDocument/2006/relationships/hyperlink" Target="https://www.imdb.com/title/tt11214590/" TargetMode="External"/><Relationship Id="rId1214" Type="http://schemas.openxmlformats.org/officeDocument/2006/relationships/hyperlink" Target="https://www.imdb.com/title/tt1856010/" TargetMode="External"/><Relationship Id="rId1215" Type="http://schemas.openxmlformats.org/officeDocument/2006/relationships/hyperlink" Target="https://www.imdb.com/title/tt0395169/" TargetMode="External"/><Relationship Id="rId1216" Type="http://schemas.openxmlformats.org/officeDocument/2006/relationships/hyperlink" Target="https://www.imdb.com/title/tt0836700/" TargetMode="External"/><Relationship Id="rId1217" Type="http://schemas.openxmlformats.org/officeDocument/2006/relationships/hyperlink" Target="https://www.imdb.com/title/tt0333766/" TargetMode="External"/><Relationship Id="rId1218" Type="http://schemas.openxmlformats.org/officeDocument/2006/relationships/hyperlink" Target="https://www.imdb.com/title/tt1423995/" TargetMode="External"/><Relationship Id="rId1219" Type="http://schemas.openxmlformats.org/officeDocument/2006/relationships/hyperlink" Target="https://www.imdb.com/title/tt0203019/" TargetMode="External"/><Relationship Id="rId1220" Type="http://schemas.openxmlformats.org/officeDocument/2006/relationships/hyperlink" Target="https://www.imdb.com/title/tt22084616/" TargetMode="External"/><Relationship Id="rId1221" Type="http://schemas.openxmlformats.org/officeDocument/2006/relationships/hyperlink" Target="https://www.imdb.com/title/tt4633694/" TargetMode="External"/><Relationship Id="rId1222" Type="http://schemas.openxmlformats.org/officeDocument/2006/relationships/hyperlink" Target="https://www.imdb.com/title/tt0413300/" TargetMode="External"/><Relationship Id="rId1223" Type="http://schemas.openxmlformats.org/officeDocument/2006/relationships/hyperlink" Target="https://www.imdb.com/title/tt7218518/" TargetMode="External"/><Relationship Id="rId1224" Type="http://schemas.openxmlformats.org/officeDocument/2006/relationships/hyperlink" Target="https://www.imdb.com/title/tt3715320/" TargetMode="External"/><Relationship Id="rId1225" Type="http://schemas.openxmlformats.org/officeDocument/2006/relationships/hyperlink" Target="https://www.imdb.com/title/tt35301431/" TargetMode="External"/><Relationship Id="rId1226" Type="http://schemas.openxmlformats.org/officeDocument/2006/relationships/hyperlink" Target="https://www.imdb.com/title/tt7008682/" TargetMode="External"/><Relationship Id="rId1227" Type="http://schemas.openxmlformats.org/officeDocument/2006/relationships/hyperlink" Target="https://www.imdb.com/title/tt26733325/" TargetMode="External"/><Relationship Id="rId1228" Type="http://schemas.openxmlformats.org/officeDocument/2006/relationships/hyperlink" Target="https://www.imdb.com/title/tt8318898/" TargetMode="External"/><Relationship Id="rId1229" Type="http://schemas.openxmlformats.org/officeDocument/2006/relationships/hyperlink" Target="https://www.imdb.com/title/tt1702014/" TargetMode="External"/><Relationship Id="rId1230" Type="http://schemas.openxmlformats.org/officeDocument/2006/relationships/hyperlink" Target="https://www.imdb.com/title/tt32331294/" TargetMode="External"/><Relationship Id="rId1231" Type="http://schemas.openxmlformats.org/officeDocument/2006/relationships/hyperlink" Target="https://www.imdb.com/title/tt9073940/" TargetMode="External"/><Relationship Id="rId1232" Type="http://schemas.openxmlformats.org/officeDocument/2006/relationships/hyperlink" Target="https://www.imdb.com/title/tt1454029/" TargetMode="External"/><Relationship Id="rId1233" Type="http://schemas.openxmlformats.org/officeDocument/2006/relationships/hyperlink" Target="https://www.imdb.com/title/tt7653254/" TargetMode="External"/><Relationship Id="rId1234" Type="http://schemas.openxmlformats.org/officeDocument/2006/relationships/hyperlink" Target="https://www.imdb.com/title/tt33501878/" TargetMode="External"/><Relationship Id="rId1235" Type="http://schemas.openxmlformats.org/officeDocument/2006/relationships/hyperlink" Target="https://www.imdb.com/title/tt33035373/" TargetMode="External"/><Relationship Id="rId1236" Type="http://schemas.openxmlformats.org/officeDocument/2006/relationships/hyperlink" Target="https://www.imdb.com/title/tt5651032/" TargetMode="External"/><Relationship Id="rId1237" Type="http://schemas.openxmlformats.org/officeDocument/2006/relationships/hyperlink" Target="https://www.imdb.com/title/tt21955196/" TargetMode="External"/><Relationship Id="rId1238" Type="http://schemas.openxmlformats.org/officeDocument/2006/relationships/hyperlink" Target="https://www.imdb.com/title/tt3647498/" TargetMode="External"/><Relationship Id="rId1239" Type="http://schemas.openxmlformats.org/officeDocument/2006/relationships/hyperlink" Target="https://www.imdb.com/title/tt7923220/" TargetMode="External"/><Relationship Id="rId1240" Type="http://schemas.openxmlformats.org/officeDocument/2006/relationships/hyperlink" Target="https://www.imdb.com/title/tt0098635/" TargetMode="External"/><Relationship Id="rId1241" Type="http://schemas.openxmlformats.org/officeDocument/2006/relationships/hyperlink" Target="https://www.imdb.com/title/tt4648786/" TargetMode="External"/><Relationship Id="rId1242" Type="http://schemas.openxmlformats.org/officeDocument/2006/relationships/hyperlink" Target="https://www.imdb.com/title/tt5761478/" TargetMode="External"/><Relationship Id="rId1243" Type="http://schemas.openxmlformats.org/officeDocument/2006/relationships/hyperlink" Target="https://www.imdb.com/title/tt11891850/" TargetMode="External"/><Relationship Id="rId1244" Type="http://schemas.openxmlformats.org/officeDocument/2006/relationships/hyperlink" Target="https://www.imdb.com/title/tt0091167/" TargetMode="External"/><Relationship Id="rId1245" Type="http://schemas.openxmlformats.org/officeDocument/2006/relationships/hyperlink" Target="https://www.imdb.com/title/tt5153236/" TargetMode="External"/><Relationship Id="rId1246" Type="http://schemas.openxmlformats.org/officeDocument/2006/relationships/hyperlink" Target="https://www.imdb.com/title/tt7085648/" TargetMode="External"/><Relationship Id="rId1247" Type="http://schemas.openxmlformats.org/officeDocument/2006/relationships/hyperlink" Target="https://www.imdb.com/title/tt14905854/" TargetMode="External"/><Relationship Id="rId1248" Type="http://schemas.openxmlformats.org/officeDocument/2006/relationships/hyperlink" Target="https://www.imdb.com/title/tt6348410/" TargetMode="External"/><Relationship Id="rId1249" Type="http://schemas.openxmlformats.org/officeDocument/2006/relationships/hyperlink" Target="https://www.imdb.com/title/tt0079261/" TargetMode="External"/><Relationship Id="rId1250" Type="http://schemas.openxmlformats.org/officeDocument/2006/relationships/hyperlink" Target="https://www.imdb.com/title/tt1452626/" TargetMode="External"/><Relationship Id="rId1251" Type="http://schemas.openxmlformats.org/officeDocument/2006/relationships/hyperlink" Target="https://www.imdb.com/title/tt8575476/" TargetMode="External"/><Relationship Id="rId1252" Type="http://schemas.openxmlformats.org/officeDocument/2006/relationships/hyperlink" Target="https://www.imdb.com/title/tt1068649/" TargetMode="External"/><Relationship Id="rId1253" Type="http://schemas.openxmlformats.org/officeDocument/2006/relationships/hyperlink" Target="https://www.imdb.com/title/tt27329537/" TargetMode="External"/><Relationship Id="rId1254" Type="http://schemas.openxmlformats.org/officeDocument/2006/relationships/hyperlink" Target="https://www.imdb.com/title/tt24019192/" TargetMode="External"/><Relationship Id="rId1255" Type="http://schemas.openxmlformats.org/officeDocument/2006/relationships/hyperlink" Target="https://www.imdb.com/title/tt6543652/" TargetMode="External"/><Relationship Id="rId1256" Type="http://schemas.openxmlformats.org/officeDocument/2006/relationships/hyperlink" Target="https://www.imdb.com/title/tt0049934/" TargetMode="External"/><Relationship Id="rId1257" Type="http://schemas.openxmlformats.org/officeDocument/2006/relationships/hyperlink" Target="https://www.imdb.com/title/tt0887912/" TargetMode="External"/><Relationship Id="rId1258" Type="http://schemas.openxmlformats.org/officeDocument/2006/relationships/hyperlink" Target="https://www.imdb.com/title/tt0069467/" TargetMode="External"/><Relationship Id="rId1259" Type="http://schemas.openxmlformats.org/officeDocument/2006/relationships/hyperlink" Target="https://www.imdb.com/title/tt15837600/" TargetMode="External"/><Relationship Id="rId1260" Type="http://schemas.openxmlformats.org/officeDocument/2006/relationships/hyperlink" Target="https://www.imdb.com/title/tt4971144/" TargetMode="External"/><Relationship Id="rId1261" Type="http://schemas.openxmlformats.org/officeDocument/2006/relationships/hyperlink" Target="https://www.imdb.com/title/tt6966692/" TargetMode="External"/><Relationship Id="rId1262" Type="http://schemas.openxmlformats.org/officeDocument/2006/relationships/hyperlink" Target="https://www.imdb.com/title/tt16427718/" TargetMode="External"/><Relationship Id="rId1263" Type="http://schemas.openxmlformats.org/officeDocument/2006/relationships/hyperlink" Target="https://www.imdb.com/title/tt1126590/" TargetMode="External"/><Relationship Id="rId1264" Type="http://schemas.openxmlformats.org/officeDocument/2006/relationships/hyperlink" Target="https://www.imdb.com/title/tt9103932/" TargetMode="External"/><Relationship Id="rId1265" Type="http://schemas.openxmlformats.org/officeDocument/2006/relationships/hyperlink" Target="https://www.imdb.com/title/tt1205489/" TargetMode="External"/><Relationship Id="rId1266" Type="http://schemas.openxmlformats.org/officeDocument/2006/relationships/hyperlink" Target="https://www.imdb.com/title/tt3435532/" TargetMode="External"/><Relationship Id="rId1267" Type="http://schemas.openxmlformats.org/officeDocument/2006/relationships/hyperlink" Target="https://www.imdb.com/title/tt2095649/" TargetMode="External"/><Relationship Id="rId1268" Type="http://schemas.openxmlformats.org/officeDocument/2006/relationships/hyperlink" Target="https://www.imdb.com/title/tt8095860/" TargetMode="External"/><Relationship Id="rId1269" Type="http://schemas.openxmlformats.org/officeDocument/2006/relationships/hyperlink" Target="https://www.imdb.com/title/tt0120265/" TargetMode="External"/><Relationship Id="rId1270" Type="http://schemas.openxmlformats.org/officeDocument/2006/relationships/hyperlink" Target="https://www.imdb.com/title/tt0929425/" TargetMode="External"/><Relationship Id="rId1271" Type="http://schemas.openxmlformats.org/officeDocument/2006/relationships/hyperlink" Target="https://www.imdb.com/title/tt15140278/" TargetMode="External"/><Relationship Id="rId1272" Type="http://schemas.openxmlformats.org/officeDocument/2006/relationships/hyperlink" Target="https://www.imdb.com/title/tt0070735/" TargetMode="External"/><Relationship Id="rId1273" Type="http://schemas.openxmlformats.org/officeDocument/2006/relationships/hyperlink" Target="https://www.imdb.com/title/tt10974556/" TargetMode="External"/><Relationship Id="rId1274" Type="http://schemas.openxmlformats.org/officeDocument/2006/relationships/hyperlink" Target="https://www.imdb.com/title/tt5516154/" TargetMode="External"/><Relationship Id="rId1275" Type="http://schemas.openxmlformats.org/officeDocument/2006/relationships/hyperlink" Target="https://www.imdb.com/title/tt6902696/" TargetMode="External"/><Relationship Id="rId1276" Type="http://schemas.openxmlformats.org/officeDocument/2006/relationships/hyperlink" Target="https://www.imdb.com/title/tt11564570/" TargetMode="External"/><Relationship Id="rId1277" Type="http://schemas.openxmlformats.org/officeDocument/2006/relationships/hyperlink" Target="https://www.imdb.com/title/tt9218128/" TargetMode="External"/><Relationship Id="rId1278" Type="http://schemas.openxmlformats.org/officeDocument/2006/relationships/hyperlink" Target="https://www.imdb.com/title/tt0172495/" TargetMode="External"/><Relationship Id="rId1279" Type="http://schemas.openxmlformats.org/officeDocument/2006/relationships/hyperlink" Target="https://www.imdb.com/title/tt0099653/" TargetMode="External"/><Relationship Id="rId1280" Type="http://schemas.openxmlformats.org/officeDocument/2006/relationships/hyperlink" Target="https://www.imdb.com/title/tt3046062/" TargetMode="External"/><Relationship Id="rId1281" Type="http://schemas.openxmlformats.org/officeDocument/2006/relationships/hyperlink" Target="https://www.imdb.com/title/tt6869362/" TargetMode="External"/><Relationship Id="rId1282" Type="http://schemas.openxmlformats.org/officeDocument/2006/relationships/hyperlink" Target="https://www.imdb.com/title/tt1375670/" TargetMode="External"/><Relationship Id="rId1283" Type="http://schemas.openxmlformats.org/officeDocument/2006/relationships/hyperlink" Target="https://www.imdb.com/title/tt6485928/" TargetMode="External"/><Relationship Id="rId1284" Type="http://schemas.openxmlformats.org/officeDocument/2006/relationships/hyperlink" Target="https://www.imdb.com/title/tt0081283/" TargetMode="External"/><Relationship Id="rId1285" Type="http://schemas.openxmlformats.org/officeDocument/2006/relationships/hyperlink" Target="https://www.imdb.com/title/tt0119217/" TargetMode="External"/><Relationship Id="rId1286" Type="http://schemas.openxmlformats.org/officeDocument/2006/relationships/hyperlink" Target="https://www.imdb.com/title/tt2788556/" TargetMode="External"/><Relationship Id="rId1287" Type="http://schemas.openxmlformats.org/officeDocument/2006/relationships/hyperlink" Target="https://www.imdb.com/title/tt6330052/" TargetMode="External"/><Relationship Id="rId1288" Type="http://schemas.openxmlformats.org/officeDocument/2006/relationships/hyperlink" Target="https://www.imdb.com/title/tt10399902/" TargetMode="External"/><Relationship Id="rId1289" Type="http://schemas.openxmlformats.org/officeDocument/2006/relationships/hyperlink" Target="https://www.imdb.com/title/tt0172493/" TargetMode="External"/><Relationship Id="rId1290" Type="http://schemas.openxmlformats.org/officeDocument/2006/relationships/hyperlink" Target="https://www.imdb.com/title/tt2267998/" TargetMode="External"/><Relationship Id="rId1291" Type="http://schemas.openxmlformats.org/officeDocument/2006/relationships/hyperlink" Target="https://www.imdb.com/title/tt11142762/" TargetMode="External"/><Relationship Id="rId1292" Type="http://schemas.openxmlformats.org/officeDocument/2006/relationships/hyperlink" Target="https://www.imdb.com/title/tt0217505/" TargetMode="External"/><Relationship Id="rId1293" Type="http://schemas.openxmlformats.org/officeDocument/2006/relationships/hyperlink" Target="https://www.imdb.com/title/tt24364150/" TargetMode="External"/><Relationship Id="rId1294" Type="http://schemas.openxmlformats.org/officeDocument/2006/relationships/hyperlink" Target="https://www.imdb.com/title/tt0083987/" TargetMode="External"/><Relationship Id="rId1295" Type="http://schemas.openxmlformats.org/officeDocument/2006/relationships/hyperlink" Target="https://www.imdb.com/title/tt7291268/" TargetMode="External"/><Relationship Id="rId1296" Type="http://schemas.openxmlformats.org/officeDocument/2006/relationships/hyperlink" Target="https://www.imdb.com/title/tt8851198/" TargetMode="External"/><Relationship Id="rId1297" Type="http://schemas.openxmlformats.org/officeDocument/2006/relationships/hyperlink" Target="https://www.imdb.com/title/tt8633478/" TargetMode="External"/><Relationship Id="rId1298" Type="http://schemas.openxmlformats.org/officeDocument/2006/relationships/hyperlink" Target="https://www.imdb.com/title/tt0056990/" TargetMode="External"/><Relationship Id="rId1299" Type="http://schemas.openxmlformats.org/officeDocument/2006/relationships/hyperlink" Target="https://www.imdb.com/title/tt34881149/" TargetMode="External"/><Relationship Id="rId1300" Type="http://schemas.openxmlformats.org/officeDocument/2006/relationships/hyperlink" Target="https://www.imdb.com/title/tt0120679/" TargetMode="External"/><Relationship Id="rId1301" Type="http://schemas.openxmlformats.org/officeDocument/2006/relationships/hyperlink" Target="https://www.imdb.com/title/tt7775622/" TargetMode="External"/><Relationship Id="rId1302" Type="http://schemas.openxmlformats.org/officeDocument/2006/relationships/hyperlink" Target="https://www.imdb.com/title/tt4332232/" TargetMode="External"/><Relationship Id="rId1303" Type="http://schemas.openxmlformats.org/officeDocument/2006/relationships/hyperlink" Target="https://www.imdb.com/title/tt1312221/" TargetMode="External"/><Relationship Id="rId1304" Type="http://schemas.openxmlformats.org/officeDocument/2006/relationships/hyperlink" Target="https://www.imdb.com/title/tt2347569/" TargetMode="External"/><Relationship Id="rId1305" Type="http://schemas.openxmlformats.org/officeDocument/2006/relationships/hyperlink" Target="https://www.imdb.com/title/tt0109830/" TargetMode="External"/><Relationship Id="rId1306" Type="http://schemas.openxmlformats.org/officeDocument/2006/relationships/hyperlink" Target="https://www.imdb.com/title/tt0217498/" TargetMode="External"/><Relationship Id="rId1307" Type="http://schemas.openxmlformats.org/officeDocument/2006/relationships/hyperlink" Target="https://www.imdb.com/title/tt1950186/" TargetMode="External"/><Relationship Id="rId1308" Type="http://schemas.openxmlformats.org/officeDocument/2006/relationships/hyperlink" Target="https://www.imdb.com/title/tt2121382/" TargetMode="External"/><Relationship Id="rId1309" Type="http://schemas.openxmlformats.org/officeDocument/2006/relationships/hyperlink" Target="https://www.imdb.com/title/tt0398017/" TargetMode="External"/><Relationship Id="rId1310" Type="http://schemas.openxmlformats.org/officeDocument/2006/relationships/hyperlink" Target="https://www.imdb.com/title/tt1229381/" TargetMode="External"/><Relationship Id="rId1311" Type="http://schemas.openxmlformats.org/officeDocument/2006/relationships/hyperlink" Target="https://www.imdb.com/title/tt0085701/" TargetMode="External"/><Relationship Id="rId1312" Type="http://schemas.openxmlformats.org/officeDocument/2006/relationships/hyperlink" Target="https://www.imdb.com/title/tt22695402/" TargetMode="External"/><Relationship Id="rId1313" Type="http://schemas.openxmlformats.org/officeDocument/2006/relationships/hyperlink" Target="https://www.imdb.com/title/tt21027780/" TargetMode="External"/><Relationship Id="rId1314" Type="http://schemas.openxmlformats.org/officeDocument/2006/relationships/hyperlink" Target="https://www.imdb.com/title/tt0959337/" TargetMode="External"/><Relationship Id="rId1315" Type="http://schemas.openxmlformats.org/officeDocument/2006/relationships/hyperlink" Target="https://www.imdb.com/title/tt36491653/" TargetMode="External"/><Relationship Id="rId1316" Type="http://schemas.openxmlformats.org/officeDocument/2006/relationships/hyperlink" Target="https://www.imdb.com/title/tt0113277/" TargetMode="External"/><Relationship Id="rId1317" Type="http://schemas.openxmlformats.org/officeDocument/2006/relationships/hyperlink" Target="https://www.imdb.com/title/tt4772188/" TargetMode="External"/><Relationship Id="rId1318" Type="http://schemas.openxmlformats.org/officeDocument/2006/relationships/hyperlink" Target="https://www.imdb.com/title/tt2217458/" TargetMode="External"/><Relationship Id="rId1319" Type="http://schemas.openxmlformats.org/officeDocument/2006/relationships/hyperlink" Target="https://www.imdb.com/title/tt13941624/" TargetMode="External"/><Relationship Id="rId1320" Type="http://schemas.openxmlformats.org/officeDocument/2006/relationships/hyperlink" Target="https://www.imdb.com/title/tt1410063/" TargetMode="External"/><Relationship Id="rId1321" Type="http://schemas.openxmlformats.org/officeDocument/2006/relationships/hyperlink" Target="https://www.imdb.com/title/tt4136084/" TargetMode="External"/><Relationship Id="rId1322" Type="http://schemas.openxmlformats.org/officeDocument/2006/relationships/hyperlink" Target="https://www.imdb.com/title/tt8105234/" TargetMode="External"/><Relationship Id="rId1323" Type="http://schemas.openxmlformats.org/officeDocument/2006/relationships/hyperlink" Target="https://www.imdb.com/title/tt2201227/" TargetMode="External"/><Relationship Id="rId1324" Type="http://schemas.openxmlformats.org/officeDocument/2006/relationships/hyperlink" Target="https://www.imdb.com/title/tt3420504/" TargetMode="External"/><Relationship Id="rId1325" Type="http://schemas.openxmlformats.org/officeDocument/2006/relationships/hyperlink" Target="https://www.imdb.com/title/tt0172396/" TargetMode="External"/><Relationship Id="rId1326" Type="http://schemas.openxmlformats.org/officeDocument/2006/relationships/hyperlink" Target="https://www.imdb.com/title/tt0118849/" TargetMode="External"/><Relationship Id="rId1327" Type="http://schemas.openxmlformats.org/officeDocument/2006/relationships/hyperlink" Target="https://www.imdb.com/title/tt2235372/" TargetMode="External"/><Relationship Id="rId1328" Type="http://schemas.openxmlformats.org/officeDocument/2006/relationships/hyperlink" Target="https://www.imdb.com/title/tt33322230/" TargetMode="External"/><Relationship Id="rId1329" Type="http://schemas.openxmlformats.org/officeDocument/2006/relationships/hyperlink" Target="https://www.imdb.com/title/tt13045890/" TargetMode="External"/><Relationship Id="rId1330" Type="http://schemas.openxmlformats.org/officeDocument/2006/relationships/hyperlink" Target="https://www.imdb.com/title/tt0206634/" TargetMode="External"/><Relationship Id="rId1331" Type="http://schemas.openxmlformats.org/officeDocument/2006/relationships/hyperlink" Target="https://www.imdb.com/title/tt21339834/" TargetMode="External"/><Relationship Id="rId1332" Type="http://schemas.openxmlformats.org/officeDocument/2006/relationships/hyperlink" Target="https://www.imdb.com/title/tt0215364/" TargetMode="External"/><Relationship Id="rId1333" Type="http://schemas.openxmlformats.org/officeDocument/2006/relationships/hyperlink" Target="https://www.imdb.com/title/tt10616558/" TargetMode="External"/><Relationship Id="rId1334" Type="http://schemas.openxmlformats.org/officeDocument/2006/relationships/hyperlink" Target="https://www.imdb.com/title/tt0107818/" TargetMode="External"/><Relationship Id="rId1335" Type="http://schemas.openxmlformats.org/officeDocument/2006/relationships/hyperlink" Target="https://www.imdb.com/title/tt20119468/" TargetMode="External"/><Relationship Id="rId1336" Type="http://schemas.openxmlformats.org/officeDocument/2006/relationships/hyperlink" Target="https://www.imdb.com/title/tt23561236/" TargetMode="External"/><Relationship Id="rId1337" Type="http://schemas.openxmlformats.org/officeDocument/2006/relationships/hyperlink" Target="https://www.imdb.com/title/tt14217100/" TargetMode="External"/><Relationship Id="rId1338" Type="http://schemas.openxmlformats.org/officeDocument/2006/relationships/hyperlink" Target="https://www.imdb.com/title/tt2053425/" TargetMode="External"/><Relationship Id="rId1339" Type="http://schemas.openxmlformats.org/officeDocument/2006/relationships/hyperlink" Target="https://www.imdb.com/title/tt3758542/" TargetMode="External"/><Relationship Id="rId1340" Type="http://schemas.openxmlformats.org/officeDocument/2006/relationships/hyperlink" Target="https://www.imdb.com/title/tt1117385/" TargetMode="External"/><Relationship Id="rId1341" Type="http://schemas.openxmlformats.org/officeDocument/2006/relationships/hyperlink" Target="https://www.imdb.com/title/tt0424205/" TargetMode="External"/><Relationship Id="rId1342" Type="http://schemas.openxmlformats.org/officeDocument/2006/relationships/hyperlink" Target="https://www.imdb.com/title/tt6752992/" TargetMode="External"/><Relationship Id="rId1343" Type="http://schemas.openxmlformats.org/officeDocument/2006/relationships/hyperlink" Target="https://www.imdb.com/title/tt15509244/" TargetMode="External"/><Relationship Id="rId1344" Type="http://schemas.openxmlformats.org/officeDocument/2006/relationships/hyperlink" Target="https://www.imdb.com/title/tt3532216/" TargetMode="External"/><Relationship Id="rId1345" Type="http://schemas.openxmlformats.org/officeDocument/2006/relationships/hyperlink" Target="https://www.imdb.com/title/tt13956560/" TargetMode="External"/><Relationship Id="rId1346" Type="http://schemas.openxmlformats.org/officeDocument/2006/relationships/hyperlink" Target="https://www.imdb.com/title/tt13929998/" TargetMode="External"/><Relationship Id="rId1347" Type="http://schemas.openxmlformats.org/officeDocument/2006/relationships/hyperlink" Target="https://www.imdb.com/title/tt6053438/" TargetMode="External"/><Relationship Id="rId1348" Type="http://schemas.openxmlformats.org/officeDocument/2006/relationships/hyperlink" Target="https://www.imdb.com/title/tt4565380/" TargetMode="External"/><Relationship Id="rId1349" Type="http://schemas.openxmlformats.org/officeDocument/2006/relationships/hyperlink" Target="https://www.imdb.com/title/tt11961378/" TargetMode="External"/><Relationship Id="rId1350" Type="http://schemas.openxmlformats.org/officeDocument/2006/relationships/hyperlink" Target="https://www.imdb.com/title/tt4944658/" TargetMode="External"/><Relationship Id="rId1351" Type="http://schemas.openxmlformats.org/officeDocument/2006/relationships/hyperlink" Target="https://www.imdb.com/title/tt11555492/" TargetMode="External"/><Relationship Id="rId1352" Type="http://schemas.openxmlformats.org/officeDocument/2006/relationships/hyperlink" Target="https://www.imdb.com/title/tt0116282/" TargetMode="External"/><Relationship Id="rId1353" Type="http://schemas.openxmlformats.org/officeDocument/2006/relationships/hyperlink" Target="https://www.imdb.com/title/tt2802850/" TargetMode="External"/><Relationship Id="rId1354" Type="http://schemas.openxmlformats.org/officeDocument/2006/relationships/hyperlink" Target="https://www.imdb.com/title/tt34728348/" TargetMode="External"/><Relationship Id="rId1355" Type="http://schemas.openxmlformats.org/officeDocument/2006/relationships/hyperlink" Target="https://www.imdb.com/title/tt0141842/" TargetMode="External"/><Relationship Id="rId1356" Type="http://schemas.openxmlformats.org/officeDocument/2006/relationships/hyperlink" Target="https://www.imdb.com/title/tt31710037/" TargetMode="External"/><Relationship Id="rId1357" Type="http://schemas.openxmlformats.org/officeDocument/2006/relationships/hyperlink" Target="https://www.imdb.com/title/tt0287467/" TargetMode="External"/><Relationship Id="rId1358" Type="http://schemas.openxmlformats.org/officeDocument/2006/relationships/hyperlink" Target="https://www.imdb.com/title/tt0265086/" TargetMode="External"/><Relationship Id="rId1359" Type="http://schemas.openxmlformats.org/officeDocument/2006/relationships/hyperlink" Target="https://www.imdb.com/title/tt15677150/" TargetMode="External"/><Relationship Id="rId1360" Type="http://schemas.openxmlformats.org/officeDocument/2006/relationships/hyperlink" Target="https://www.imdb.com/title/tt0361596/" TargetMode="External"/><Relationship Id="rId1361" Type="http://schemas.openxmlformats.org/officeDocument/2006/relationships/hyperlink" Target="https://www.imdb.com/title/tt1073241/" TargetMode="External"/><Relationship Id="rId1362" Type="http://schemas.openxmlformats.org/officeDocument/2006/relationships/hyperlink" Target="https://www.imdb.com/title/tt0097216/" TargetMode="External"/><Relationship Id="rId1363" Type="http://schemas.openxmlformats.org/officeDocument/2006/relationships/hyperlink" Target="https://www.imdb.com/title/tt2543472/" TargetMode="External"/><Relationship Id="rId1364" Type="http://schemas.openxmlformats.org/officeDocument/2006/relationships/hyperlink" Target="https://www.imdb.com/title/tt11988512/" TargetMode="External"/><Relationship Id="rId1365" Type="http://schemas.openxmlformats.org/officeDocument/2006/relationships/hyperlink" Target="https://www.imdb.com/title/tt0470752/" TargetMode="External"/><Relationship Id="rId1366" Type="http://schemas.openxmlformats.org/officeDocument/2006/relationships/hyperlink" Target="https://www.imdb.com/title/tt13024674/" TargetMode="External"/><Relationship Id="rId1367" Type="http://schemas.openxmlformats.org/officeDocument/2006/relationships/hyperlink" Target="https://www.imdb.com/title/tt0338309/" TargetMode="External"/><Relationship Id="rId1368" Type="http://schemas.openxmlformats.org/officeDocument/2006/relationships/hyperlink" Target="https://www.imdb.com/title/tt7779590/" TargetMode="External"/><Relationship Id="rId1369" Type="http://schemas.openxmlformats.org/officeDocument/2006/relationships/hyperlink" Target="https://www.imdb.com/title/tt5580036/" TargetMode="External"/><Relationship Id="rId1370" Type="http://schemas.openxmlformats.org/officeDocument/2006/relationships/hyperlink" Target="https://www.imdb.com/title/tt5168192/" TargetMode="External"/><Relationship Id="rId1371" Type="http://schemas.openxmlformats.org/officeDocument/2006/relationships/hyperlink" Target="https://www.imdb.com/title/tt14225838/" TargetMode="External"/><Relationship Id="rId1372" Type="http://schemas.openxmlformats.org/officeDocument/2006/relationships/hyperlink" Target="https://www.imdb.com/title/tt34771210/" TargetMode="External"/><Relationship Id="rId1373" Type="http://schemas.openxmlformats.org/officeDocument/2006/relationships/hyperlink" Target="https://www.imdb.com/title/tt6450186/" TargetMode="External"/><Relationship Id="rId1374" Type="http://schemas.openxmlformats.org/officeDocument/2006/relationships/hyperlink" Target="https://www.imdb.com/title/tt9893250/" TargetMode="External"/><Relationship Id="rId1375" Type="http://schemas.openxmlformats.org/officeDocument/2006/relationships/hyperlink" Target="https://www.imdb.com/title/tt4846340/" TargetMode="External"/><Relationship Id="rId1376" Type="http://schemas.openxmlformats.org/officeDocument/2006/relationships/hyperlink" Target="https://www.imdb.com/title/tt1860242/" TargetMode="External"/><Relationship Id="rId1377" Type="http://schemas.openxmlformats.org/officeDocument/2006/relationships/hyperlink" Target="https://www.imdb.com/title/tt1039960/" TargetMode="External"/><Relationship Id="rId1378" Type="http://schemas.openxmlformats.org/officeDocument/2006/relationships/hyperlink" Target="https://www.imdb.com/title/tt0780511/" TargetMode="External"/><Relationship Id="rId1379" Type="http://schemas.openxmlformats.org/officeDocument/2006/relationships/hyperlink" Target="https://www.imdb.com/title/tt4878488/" TargetMode="External"/><Relationship Id="rId1380" Type="http://schemas.openxmlformats.org/officeDocument/2006/relationships/hyperlink" Target="https://www.imdb.com/title/tt26548664/" TargetMode="External"/><Relationship Id="rId1381" Type="http://schemas.openxmlformats.org/officeDocument/2006/relationships/hyperlink" Target="https://www.imdb.com/title/tt7146600/" TargetMode="External"/><Relationship Id="rId1382" Type="http://schemas.openxmlformats.org/officeDocument/2006/relationships/hyperlink" Target="https://www.imdb.com/title/tt0463998/" TargetMode="External"/><Relationship Id="rId1383" Type="http://schemas.openxmlformats.org/officeDocument/2006/relationships/hyperlink" Target="https://www.imdb.com/title/tt4682788/" TargetMode="External"/><Relationship Id="rId1384" Type="http://schemas.openxmlformats.org/officeDocument/2006/relationships/hyperlink" Target="https://www.imdb.com/title/tt7286916/" TargetMode="External"/><Relationship Id="rId1385" Type="http://schemas.openxmlformats.org/officeDocument/2006/relationships/hyperlink" Target="https://www.imdb.com/title/tt13231544/" TargetMode="External"/><Relationship Id="rId1386" Type="http://schemas.openxmlformats.org/officeDocument/2006/relationships/hyperlink" Target="https://www.imdb.com/title/tt1156143/" TargetMode="External"/><Relationship Id="rId1387" Type="http://schemas.openxmlformats.org/officeDocument/2006/relationships/hyperlink" Target="https://www.imdb.com/title/tt0195685/" TargetMode="External"/><Relationship Id="rId1388" Type="http://schemas.openxmlformats.org/officeDocument/2006/relationships/hyperlink" Target="https://www.imdb.com/title/tt16283824/" TargetMode="External"/><Relationship Id="rId1389" Type="http://schemas.openxmlformats.org/officeDocument/2006/relationships/hyperlink" Target="https://www.imdb.com/title/tt14976046/" TargetMode="External"/><Relationship Id="rId1390" Type="http://schemas.openxmlformats.org/officeDocument/2006/relationships/hyperlink" Target="https://www.imdb.com/title/tt6772802/" TargetMode="External"/><Relationship Id="rId1391" Type="http://schemas.openxmlformats.org/officeDocument/2006/relationships/hyperlink" Target="https://www.imdb.com/title/tt0064116/" TargetMode="External"/><Relationship Id="rId1392" Type="http://schemas.openxmlformats.org/officeDocument/2006/relationships/hyperlink" Target="https://www.imdb.com/title/tt0087843/" TargetMode="External"/><Relationship Id="rId1393" Type="http://schemas.openxmlformats.org/officeDocument/2006/relationships/hyperlink" Target="https://www.imdb.com/title/tt1951181/" TargetMode="External"/><Relationship Id="rId1394" Type="http://schemas.openxmlformats.org/officeDocument/2006/relationships/hyperlink" Target="https://www.imdb.com/title/tt7131622/" TargetMode="External"/><Relationship Id="rId1395" Type="http://schemas.openxmlformats.org/officeDocument/2006/relationships/hyperlink" Target="https://www.imdb.com/title/tt13980362/" TargetMode="External"/><Relationship Id="rId1396" Type="http://schemas.openxmlformats.org/officeDocument/2006/relationships/hyperlink" Target="https://www.imdb.com/title/tt11190652/" TargetMode="External"/><Relationship Id="rId1397" Type="http://schemas.openxmlformats.org/officeDocument/2006/relationships/hyperlink" Target="https://www.imdb.com/title/tt0247425/" TargetMode="External"/><Relationship Id="rId1398" Type="http://schemas.openxmlformats.org/officeDocument/2006/relationships/hyperlink" Target="https://www.imdb.com/title/tt13669038/" TargetMode="External"/><Relationship Id="rId1399" Type="http://schemas.openxmlformats.org/officeDocument/2006/relationships/hyperlink" Target="https://www.imdb.com/title/tt10604178/" TargetMode="External"/><Relationship Id="rId1400" Type="http://schemas.openxmlformats.org/officeDocument/2006/relationships/hyperlink" Target="https://www.imdb.com/title/tt8946378/" TargetMode="External"/><Relationship Id="rId1401" Type="http://schemas.openxmlformats.org/officeDocument/2006/relationships/hyperlink" Target="https://www.imdb.com/title/tt0089755/" TargetMode="External"/><Relationship Id="rId1402" Type="http://schemas.openxmlformats.org/officeDocument/2006/relationships/hyperlink" Target="https://www.imdb.com/title/tt0114924/" TargetMode="External"/><Relationship Id="rId1403" Type="http://schemas.openxmlformats.org/officeDocument/2006/relationships/hyperlink" Target="https://www.imdb.com/title/tt7846844/" TargetMode="External"/><Relationship Id="rId1404" Type="http://schemas.openxmlformats.org/officeDocument/2006/relationships/hyperlink" Target="https://www.imdb.com/title/tt24948454/" TargetMode="External"/><Relationship Id="rId1405" Type="http://schemas.openxmlformats.org/officeDocument/2006/relationships/hyperlink" Target="https://www.imdb.com/title/tt0067023/" TargetMode="External"/><Relationship Id="rId1406" Type="http://schemas.openxmlformats.org/officeDocument/2006/relationships/hyperlink" Target="https://www.imdb.com/title/tt0335266/" TargetMode="External"/><Relationship Id="rId1407" Type="http://schemas.openxmlformats.org/officeDocument/2006/relationships/hyperlink" Target="https://www.imdb.com/title/tt2486678/" TargetMode="External"/><Relationship Id="rId1408" Type="http://schemas.openxmlformats.org/officeDocument/2006/relationships/hyperlink" Target="https://www.imdb.com/title/tt0119643/" TargetMode="External"/><Relationship Id="rId1409" Type="http://schemas.openxmlformats.org/officeDocument/2006/relationships/hyperlink" Target="https://www.imdb.com/title/tt0252076/" TargetMode="External"/><Relationship Id="rId1410" Type="http://schemas.openxmlformats.org/officeDocument/2006/relationships/hyperlink" Target="https://www.imdb.com/title/tt0181536/" TargetMode="External"/><Relationship Id="rId1411" Type="http://schemas.openxmlformats.org/officeDocument/2006/relationships/hyperlink" Target="https://www.imdb.com/title/tt2953050/" TargetMode="External"/><Relationship Id="rId1412" Type="http://schemas.openxmlformats.org/officeDocument/2006/relationships/hyperlink" Target="https://www.imdb.com/title/tt8962124/" TargetMode="External"/><Relationship Id="rId1413" Type="http://schemas.openxmlformats.org/officeDocument/2006/relationships/hyperlink" Target="https://www.imdb.com/title/tt12374656/" TargetMode="External"/><Relationship Id="rId1414" Type="http://schemas.openxmlformats.org/officeDocument/2006/relationships/hyperlink" Target="https://www.imdb.com/title/tt20221436/" TargetMode="External"/><Relationship Id="rId1415" Type="http://schemas.openxmlformats.org/officeDocument/2006/relationships/hyperlink" Target="https://www.imdb.com/title/tt0272338/" TargetMode="External"/><Relationship Id="rId1416" Type="http://schemas.openxmlformats.org/officeDocument/2006/relationships/hyperlink" Target="https://www.imdb.com/title/tt18747542/" TargetMode="External"/><Relationship Id="rId1417" Type="http://schemas.openxmlformats.org/officeDocument/2006/relationships/hyperlink" Target="https://www.imdb.com/title/tt1340107/" TargetMode="External"/><Relationship Id="rId1418" Type="http://schemas.openxmlformats.org/officeDocument/2006/relationships/hyperlink" Target="https://www.imdb.com/title/tt21945344/" TargetMode="External"/><Relationship Id="rId1419" Type="http://schemas.openxmlformats.org/officeDocument/2006/relationships/hyperlink" Target="https://www.imdb.com/title/tt2070649/" TargetMode="External"/><Relationship Id="rId1420" Type="http://schemas.openxmlformats.org/officeDocument/2006/relationships/hyperlink" Target="https://www.imdb.com/title/tt0388125/" TargetMode="External"/><Relationship Id="rId1421" Type="http://schemas.openxmlformats.org/officeDocument/2006/relationships/hyperlink" Target="https://www.imdb.com/title/tt0464029/" TargetMode="External"/><Relationship Id="rId1422" Type="http://schemas.openxmlformats.org/officeDocument/2006/relationships/hyperlink" Target="https://www.imdb.com/title/tt0107207/" TargetMode="External"/><Relationship Id="rId1423" Type="http://schemas.openxmlformats.org/officeDocument/2006/relationships/hyperlink" Target="https://www.imdb.com/title/tt3347518/" TargetMode="External"/><Relationship Id="rId1424" Type="http://schemas.openxmlformats.org/officeDocument/2006/relationships/hyperlink" Target="https://www.imdb.com/title/tt0381690/" TargetMode="External"/><Relationship Id="rId1425" Type="http://schemas.openxmlformats.org/officeDocument/2006/relationships/hyperlink" Target="https://www.imdb.com/title/tt2304589/" TargetMode="External"/><Relationship Id="rId1426" Type="http://schemas.openxmlformats.org/officeDocument/2006/relationships/hyperlink" Target="https://www.imdb.com/title/tt19393632/" TargetMode="External"/><Relationship Id="rId1427" Type="http://schemas.openxmlformats.org/officeDocument/2006/relationships/hyperlink" Target="https://www.imdb.com/title/tt0199626/" TargetMode="External"/><Relationship Id="rId1428" Type="http://schemas.openxmlformats.org/officeDocument/2006/relationships/hyperlink" Target="https://www.imdb.com/title/tt1226232/" TargetMode="External"/><Relationship Id="rId1429" Type="http://schemas.openxmlformats.org/officeDocument/2006/relationships/hyperlink" Target="https://www.imdb.com/title/tt12726428/" TargetMode="External"/><Relationship Id="rId1430" Type="http://schemas.openxmlformats.org/officeDocument/2006/relationships/hyperlink" Target="https://www.imdb.com/title/tt13328840/" TargetMode="External"/><Relationship Id="rId1431" Type="http://schemas.openxmlformats.org/officeDocument/2006/relationships/hyperlink" Target="https://www.imdb.com/title/tt3704428/" TargetMode="External"/><Relationship Id="rId1432" Type="http://schemas.openxmlformats.org/officeDocument/2006/relationships/hyperlink" Target="https://www.imdb.com/title/tt2113659/" TargetMode="External"/><Relationship Id="rId1433" Type="http://schemas.openxmlformats.org/officeDocument/2006/relationships/hyperlink" Target="https://www.imdb.com/title/tt0279064/" TargetMode="External"/><Relationship Id="rId1434" Type="http://schemas.openxmlformats.org/officeDocument/2006/relationships/hyperlink" Target="https://www.imdb.com/title/tt3741632/" TargetMode="External"/><Relationship Id="rId1435" Type="http://schemas.openxmlformats.org/officeDocument/2006/relationships/hyperlink" Target="https://www.imdb.com/title/tt0414055/" TargetMode="External"/><Relationship Id="rId1436" Type="http://schemas.openxmlformats.org/officeDocument/2006/relationships/hyperlink" Target="https://www.imdb.com/title/tt7134908/" TargetMode="External"/><Relationship Id="rId1437" Type="http://schemas.openxmlformats.org/officeDocument/2006/relationships/hyperlink" Target="https://www.imdb.com/title/tt6704898/" TargetMode="External"/><Relationship Id="rId1438" Type="http://schemas.openxmlformats.org/officeDocument/2006/relationships/hyperlink" Target="https://www.imdb.com/title/tt26255088/" TargetMode="External"/><Relationship Id="rId1439" Type="http://schemas.openxmlformats.org/officeDocument/2006/relationships/hyperlink" Target="https://www.imdb.com/title/tt4875150/" TargetMode="External"/><Relationship Id="rId1440" Type="http://schemas.openxmlformats.org/officeDocument/2006/relationships/hyperlink" Target="https://www.imdb.com/title/tt7905466/" TargetMode="External"/><Relationship Id="rId1441" Type="http://schemas.openxmlformats.org/officeDocument/2006/relationships/hyperlink" Target="https://www.imdb.com/title/tt1549589/" TargetMode="External"/><Relationship Id="rId1442" Type="http://schemas.openxmlformats.org/officeDocument/2006/relationships/hyperlink" Target="https://www.imdb.com/title/tt0791304/" TargetMode="External"/><Relationship Id="rId1443" Type="http://schemas.openxmlformats.org/officeDocument/2006/relationships/hyperlink" Target="https://www.imdb.com/title/tt11198810/" TargetMode="External"/><Relationship Id="rId1444" Type="http://schemas.openxmlformats.org/officeDocument/2006/relationships/hyperlink" Target="https://www.imdb.com/title/tt13601540/" TargetMode="External"/><Relationship Id="rId1445" Type="http://schemas.openxmlformats.org/officeDocument/2006/relationships/hyperlink" Target="https://www.imdb.com/title/tt3854234/" TargetMode="External"/><Relationship Id="rId1446" Type="http://schemas.openxmlformats.org/officeDocument/2006/relationships/hyperlink" Target="https://www.imdb.com/title/tt3495644/" TargetMode="External"/><Relationship Id="rId1447" Type="http://schemas.openxmlformats.org/officeDocument/2006/relationships/hyperlink" Target="https://www.imdb.com/title/tt8297022/" TargetMode="External"/><Relationship Id="rId1448" Type="http://schemas.openxmlformats.org/officeDocument/2006/relationships/hyperlink" Target="https://www.imdb.com/title/tt0054847/" TargetMode="External"/><Relationship Id="rId1449" Type="http://schemas.openxmlformats.org/officeDocument/2006/relationships/hyperlink" Target="https://www.imdb.com/title/tt9243946/" TargetMode="External"/><Relationship Id="rId1450" Type="http://schemas.openxmlformats.org/officeDocument/2006/relationships/hyperlink" Target="https://www.imdb.com/title/tt5210502/" TargetMode="External"/><Relationship Id="rId1451" Type="http://schemas.openxmlformats.org/officeDocument/2006/relationships/hyperlink" Target="https://www.imdb.com/title/tt10366514/" TargetMode="External"/><Relationship Id="rId1452" Type="http://schemas.openxmlformats.org/officeDocument/2006/relationships/hyperlink" Target="https://www.imdb.com/title/tt27727074/" TargetMode="External"/><Relationship Id="rId1453" Type="http://schemas.openxmlformats.org/officeDocument/2006/relationships/hyperlink" Target="https://www.imdb.com/title/tt1605798/" TargetMode="External"/><Relationship Id="rId1454" Type="http://schemas.openxmlformats.org/officeDocument/2006/relationships/hyperlink" Target="https://www.imdb.com/title/tt8783532/" TargetMode="External"/><Relationship Id="rId1455" Type="http://schemas.openxmlformats.org/officeDocument/2006/relationships/hyperlink" Target="https://www.imdb.com/title/tt0099487/" TargetMode="External"/><Relationship Id="rId1456" Type="http://schemas.openxmlformats.org/officeDocument/2006/relationships/hyperlink" Target="https://www.imdb.com/title/tt1174732/" TargetMode="External"/><Relationship Id="rId1457" Type="http://schemas.openxmlformats.org/officeDocument/2006/relationships/hyperlink" Target="https://www.imdb.com/title/tt0333388/" TargetMode="External"/><Relationship Id="rId1458" Type="http://schemas.openxmlformats.org/officeDocument/2006/relationships/hyperlink" Target="https://www.imdb.com/title/tt31106358/" TargetMode="External"/><Relationship Id="rId1459" Type="http://schemas.openxmlformats.org/officeDocument/2006/relationships/hyperlink" Target="https://www.imdb.com/title/tt0083866/" TargetMode="External"/><Relationship Id="rId1460" Type="http://schemas.openxmlformats.org/officeDocument/2006/relationships/hyperlink" Target="https://www.imdb.com/title/tt14023192/" TargetMode="External"/><Relationship Id="rId1461" Type="http://schemas.openxmlformats.org/officeDocument/2006/relationships/hyperlink" Target="https://www.imdb.com/title/tt0245574/" TargetMode="External"/><Relationship Id="rId1462" Type="http://schemas.openxmlformats.org/officeDocument/2006/relationships/hyperlink" Target="https://www.imdb.com/title/tt10655524/" TargetMode="External"/><Relationship Id="rId1463" Type="http://schemas.openxmlformats.org/officeDocument/2006/relationships/hyperlink" Target="https://www.imdb.com/title/tt0918927/" TargetMode="External"/><Relationship Id="rId1464" Type="http://schemas.openxmlformats.org/officeDocument/2006/relationships/hyperlink" Target="https://www.imdb.com/title/tt5013056/" TargetMode="External"/><Relationship Id="rId1465" Type="http://schemas.openxmlformats.org/officeDocument/2006/relationships/hyperlink" Target="https://www.imdb.com/title/tt1160419/" TargetMode="External"/><Relationship Id="rId1466" Type="http://schemas.openxmlformats.org/officeDocument/2006/relationships/hyperlink" Target="https://www.imdb.com/title/tt4878482/" TargetMode="External"/><Relationship Id="rId1467" Type="http://schemas.openxmlformats.org/officeDocument/2006/relationships/hyperlink" Target="https://www.imdb.com/title/tt4303322/" TargetMode="External"/><Relationship Id="rId1468" Type="http://schemas.openxmlformats.org/officeDocument/2006/relationships/hyperlink" Target="https://www.imdb.com/title/tt0210945/" TargetMode="External"/><Relationship Id="rId1469" Type="http://schemas.openxmlformats.org/officeDocument/2006/relationships/hyperlink" Target="https://www.imdb.com/title/tt2328900/" TargetMode="External"/><Relationship Id="rId1470" Type="http://schemas.openxmlformats.org/officeDocument/2006/relationships/hyperlink" Target="https://www.imdb.com/title/tt10288566/" TargetMode="External"/><Relationship Id="rId1471" Type="http://schemas.openxmlformats.org/officeDocument/2006/relationships/hyperlink" Target="https://www.imdb.com/title/tt9318280/" TargetMode="External"/><Relationship Id="rId1472" Type="http://schemas.openxmlformats.org/officeDocument/2006/relationships/hyperlink" Target="https://www.imdb.com/title/tt14039582/" TargetMode="External"/><Relationship Id="rId1473" Type="http://schemas.openxmlformats.org/officeDocument/2006/relationships/hyperlink" Target="https://www.imdb.com/title/tt0780504/" TargetMode="External"/><Relationship Id="rId1474" Type="http://schemas.openxmlformats.org/officeDocument/2006/relationships/hyperlink" Target="https://www.imdb.com/title/tt0286499/" TargetMode="External"/><Relationship Id="rId1475" Type="http://schemas.openxmlformats.org/officeDocument/2006/relationships/hyperlink" Target="https://www.imdb.com/title/tt0443489/" TargetMode="External"/><Relationship Id="rId1476" Type="http://schemas.openxmlformats.org/officeDocument/2006/relationships/hyperlink" Target="https://www.imdb.com/title/tt27075857/" TargetMode="External"/><Relationship Id="rId1477" Type="http://schemas.openxmlformats.org/officeDocument/2006/relationships/hyperlink" Target="https://www.imdb.com/title/tt0057012/" TargetMode="External"/><Relationship Id="rId1478" Type="http://schemas.openxmlformats.org/officeDocument/2006/relationships/hyperlink" Target="https://www.imdb.com/title/tt9179552/" TargetMode="External"/><Relationship Id="rId1479" Type="http://schemas.openxmlformats.org/officeDocument/2006/relationships/hyperlink" Target="https://www.imdb.com/title/tt7605396/" TargetMode="External"/><Relationship Id="rId1480" Type="http://schemas.openxmlformats.org/officeDocument/2006/relationships/hyperlink" Target="https://www.imdb.com/title/tt6398184/" TargetMode="External"/><Relationship Id="rId1481" Type="http://schemas.openxmlformats.org/officeDocument/2006/relationships/hyperlink" Target="https://www.imdb.com/title/tt1606375/" TargetMode="External"/><Relationship Id="rId1482" Type="http://schemas.openxmlformats.org/officeDocument/2006/relationships/hyperlink" Target="https://www.imdb.com/title/tt0059113/" TargetMode="External"/><Relationship Id="rId1483" Type="http://schemas.openxmlformats.org/officeDocument/2006/relationships/hyperlink" Target="https://www.imdb.com/title/tt9815156/" TargetMode="External"/><Relationship Id="rId1484" Type="http://schemas.openxmlformats.org/officeDocument/2006/relationships/hyperlink" Target="https://www.imdb.com/title/tt8291806/" TargetMode="External"/><Relationship Id="rId1485" Type="http://schemas.openxmlformats.org/officeDocument/2006/relationships/hyperlink" Target="https://www.imdb.com/title/tt0246578/" TargetMode="External"/><Relationship Id="rId1486" Type="http://schemas.openxmlformats.org/officeDocument/2006/relationships/hyperlink" Target="https://www.imdb.com/title/tt0119008/" TargetMode="External"/><Relationship Id="rId1487" Type="http://schemas.openxmlformats.org/officeDocument/2006/relationships/hyperlink" Target="https://www.imdb.com/title/tt0112883/" TargetMode="External"/><Relationship Id="rId1488" Type="http://schemas.openxmlformats.org/officeDocument/2006/relationships/hyperlink" Target="https://www.imdb.com/title/tt0280491/" TargetMode="External"/><Relationship Id="rId1489" Type="http://schemas.openxmlformats.org/officeDocument/2006/relationships/hyperlink" Target="https://www.imdb.com/title/tt11694186/" TargetMode="External"/><Relationship Id="rId1490" Type="http://schemas.openxmlformats.org/officeDocument/2006/relationships/hyperlink" Target="https://www.imdb.com/title/tt0065651/" TargetMode="External"/><Relationship Id="rId1491" Type="http://schemas.openxmlformats.org/officeDocument/2006/relationships/hyperlink" Target="https://www.imdb.com/title/tt13354188/" TargetMode="External"/><Relationship Id="rId1492" Type="http://schemas.openxmlformats.org/officeDocument/2006/relationships/hyperlink" Target="https://www.imdb.com/title/tt13018574/" TargetMode="External"/><Relationship Id="rId1493" Type="http://schemas.openxmlformats.org/officeDocument/2006/relationships/hyperlink" Target="https://www.imdb.com/title/tt8404614/" TargetMode="External"/><Relationship Id="rId1494" Type="http://schemas.openxmlformats.org/officeDocument/2006/relationships/hyperlink" Target="https://www.imdb.com/title/tt0439547/" TargetMode="External"/><Relationship Id="rId1495" Type="http://schemas.openxmlformats.org/officeDocument/2006/relationships/hyperlink" Target="https://www.imdb.com/title/tt13472984/" TargetMode="External"/><Relationship Id="rId1496" Type="http://schemas.openxmlformats.org/officeDocument/2006/relationships/hyperlink" Target="https://www.imdb.com/title/tt2737050/" TargetMode="External"/><Relationship Id="rId1497" Type="http://schemas.openxmlformats.org/officeDocument/2006/relationships/hyperlink" Target="https://www.imdb.com/title/tt3799694/" TargetMode="External"/><Relationship Id="rId1498" Type="http://schemas.openxmlformats.org/officeDocument/2006/relationships/hyperlink" Target="https://www.imdb.com/title/tt5462602/" TargetMode="External"/><Relationship Id="rId1499" Type="http://schemas.openxmlformats.org/officeDocument/2006/relationships/hyperlink" Target="https://www.imdb.com/title/tt18816518/" TargetMode="External"/><Relationship Id="rId1500" Type="http://schemas.openxmlformats.org/officeDocument/2006/relationships/hyperlink" Target="https://www.imdb.com/title/tt9077540/" TargetMode="External"/><Relationship Id="rId1501" Type="http://schemas.openxmlformats.org/officeDocument/2006/relationships/hyperlink" Target="https://www.imdb.com/title/tt0230838/" TargetMode="External"/><Relationship Id="rId1502" Type="http://schemas.openxmlformats.org/officeDocument/2006/relationships/hyperlink" Target="https://www.imdb.com/title/tt22189742/" TargetMode="External"/><Relationship Id="rId1503" Type="http://schemas.openxmlformats.org/officeDocument/2006/relationships/hyperlink" Target="https://www.imdb.com/title/tt0880502/" TargetMode="External"/><Relationship Id="rId1504" Type="http://schemas.openxmlformats.org/officeDocument/2006/relationships/hyperlink" Target="https://www.imdb.com/title/tt6857166/" TargetMode="External"/><Relationship Id="rId1505" Type="http://schemas.openxmlformats.org/officeDocument/2006/relationships/hyperlink" Target="https://www.imdb.com/title/tt1853728/" TargetMode="External"/><Relationship Id="rId1506" Type="http://schemas.openxmlformats.org/officeDocument/2006/relationships/hyperlink" Target="https://www.imdb.com/title/tt2096673/" TargetMode="External"/><Relationship Id="rId1507" Type="http://schemas.openxmlformats.org/officeDocument/2006/relationships/hyperlink" Target="https://www.imdb.com/title/tt1136608/" TargetMode="External"/><Relationship Id="rId1508" Type="http://schemas.openxmlformats.org/officeDocument/2006/relationships/hyperlink" Target="https://www.imdb.com/title/tt0346094/" TargetMode="External"/><Relationship Id="rId1509" Type="http://schemas.openxmlformats.org/officeDocument/2006/relationships/hyperlink" Target="https://www.imdb.com/title/tt16294384/" TargetMode="External"/><Relationship Id="rId1510" Type="http://schemas.openxmlformats.org/officeDocument/2006/relationships/hyperlink" Target="https://www.imdb.com/title/tt32642706/" TargetMode="External"/><Relationship Id="rId1511" Type="http://schemas.openxmlformats.org/officeDocument/2006/relationships/hyperlink" Target="https://www.imdb.com/title/tt10593334/" TargetMode="External"/><Relationship Id="rId1512" Type="http://schemas.openxmlformats.org/officeDocument/2006/relationships/hyperlink" Target="https://www.imdb.com/title/tt27503384/" TargetMode="External"/><Relationship Id="rId1513" Type="http://schemas.openxmlformats.org/officeDocument/2006/relationships/hyperlink" Target="https://www.imdb.com/title/tt0444182/" TargetMode="External"/><Relationship Id="rId1514" Type="http://schemas.openxmlformats.org/officeDocument/2006/relationships/hyperlink" Target="https://www.imdb.com/title/tt0318462/" TargetMode="External"/><Relationship Id="rId1515" Type="http://schemas.openxmlformats.org/officeDocument/2006/relationships/hyperlink" Target="https://www.imdb.com/title/tt0332280/" TargetMode="External"/><Relationship Id="rId1516" Type="http://schemas.openxmlformats.org/officeDocument/2006/relationships/hyperlink" Target="https://www.imdb.com/title/tt15469192/" TargetMode="External"/><Relationship Id="rId1517" Type="http://schemas.openxmlformats.org/officeDocument/2006/relationships/hyperlink" Target="https://www.imdb.com/title/tt23872886/" TargetMode="External"/><Relationship Id="rId1518" Type="http://schemas.openxmlformats.org/officeDocument/2006/relationships/hyperlink" Target="https://www.imdb.com/title/tt8988748/" TargetMode="External"/><Relationship Id="rId1519" Type="http://schemas.openxmlformats.org/officeDocument/2006/relationships/hyperlink" Target="https://www.imdb.com/title/tt38120074/" TargetMode="External"/><Relationship Id="rId1520" Type="http://schemas.openxmlformats.org/officeDocument/2006/relationships/hyperlink" Target="https://www.imdb.com/title/tt0120684/" TargetMode="External"/><Relationship Id="rId1521" Type="http://schemas.openxmlformats.org/officeDocument/2006/relationships/hyperlink" Target="https://www.imdb.com/title/tt2528814/" TargetMode="External"/><Relationship Id="rId1522" Type="http://schemas.openxmlformats.org/officeDocument/2006/relationships/hyperlink" Target="https://www.imdb.com/title/tt4824308/" TargetMode="External"/><Relationship Id="rId1523" Type="http://schemas.openxmlformats.org/officeDocument/2006/relationships/hyperlink" Target="https://www.imdb.com/title/tt19723558/" TargetMode="External"/><Relationship Id="rId1524" Type="http://schemas.openxmlformats.org/officeDocument/2006/relationships/hyperlink" Target="https://www.imdb.com/title/tt1121977/" TargetMode="External"/><Relationship Id="rId1525" Type="http://schemas.openxmlformats.org/officeDocument/2006/relationships/hyperlink" Target="https://www.imdb.com/title/tt0156934/" TargetMode="External"/><Relationship Id="rId1526" Type="http://schemas.openxmlformats.org/officeDocument/2006/relationships/hyperlink" Target="https://www.imdb.com/title/tt2353868/" TargetMode="External"/><Relationship Id="rId1527" Type="http://schemas.openxmlformats.org/officeDocument/2006/relationships/hyperlink" Target="https://www.imdb.com/title/tt9777644/" TargetMode="External"/><Relationship Id="rId1528" Type="http://schemas.openxmlformats.org/officeDocument/2006/relationships/hyperlink" Target="https://www.imdb.com/title/tt2568862/" TargetMode="External"/><Relationship Id="rId1529" Type="http://schemas.openxmlformats.org/officeDocument/2006/relationships/hyperlink" Target="https://www.imdb.com/title/tt6108178/" TargetMode="External"/><Relationship Id="rId1530" Type="http://schemas.openxmlformats.org/officeDocument/2006/relationships/hyperlink" Target="https://www.imdb.com/title/tt5296406/" TargetMode="External"/><Relationship Id="rId1531" Type="http://schemas.openxmlformats.org/officeDocument/2006/relationships/hyperlink" Target="https://www.imdb.com/title/tt2312890/" TargetMode="External"/><Relationship Id="rId1532" Type="http://schemas.openxmlformats.org/officeDocument/2006/relationships/hyperlink" Target="https://www.imdb.com/title/tt18831118/" TargetMode="External"/><Relationship Id="rId1533" Type="http://schemas.openxmlformats.org/officeDocument/2006/relationships/hyperlink" Target="https://www.imdb.com/title/tt0783233/" TargetMode="External"/><Relationship Id="rId1534" Type="http://schemas.openxmlformats.org/officeDocument/2006/relationships/hyperlink" Target="https://www.imdb.com/title/tt0808357/" TargetMode="External"/><Relationship Id="rId1535" Type="http://schemas.openxmlformats.org/officeDocument/2006/relationships/hyperlink" Target="https://www.imdb.com/title/tt3440298/" TargetMode="External"/><Relationship Id="rId1536" Type="http://schemas.openxmlformats.org/officeDocument/2006/relationships/hyperlink" Target="https://www.imdb.com/title/tt0338188/" TargetMode="External"/><Relationship Id="rId1537" Type="http://schemas.openxmlformats.org/officeDocument/2006/relationships/hyperlink" Target="https://www.imdb.com/title/tt0349825/" TargetMode="External"/><Relationship Id="rId1538" Type="http://schemas.openxmlformats.org/officeDocument/2006/relationships/hyperlink" Target="https://www.imdb.com/title/tt0106489/" TargetMode="External"/><Relationship Id="rId1539" Type="http://schemas.openxmlformats.org/officeDocument/2006/relationships/hyperlink" Target="https://www.imdb.com/title/tt16027944/" TargetMode="External"/><Relationship Id="rId1540" Type="http://schemas.openxmlformats.org/officeDocument/2006/relationships/hyperlink" Target="https://www.imdb.com/title/tt7985692/" TargetMode="External"/><Relationship Id="rId1541" Type="http://schemas.openxmlformats.org/officeDocument/2006/relationships/hyperlink" Target="https://www.imdb.com/title/tt0457655/" TargetMode="External"/><Relationship Id="rId1542" Type="http://schemas.openxmlformats.org/officeDocument/2006/relationships/hyperlink" Target="https://www.imdb.com/title/tt0088680/" TargetMode="External"/><Relationship Id="rId1543" Type="http://schemas.openxmlformats.org/officeDocument/2006/relationships/hyperlink" Target="https://www.imdb.com/title/tt32159989/" TargetMode="External"/><Relationship Id="rId1544" Type="http://schemas.openxmlformats.org/officeDocument/2006/relationships/hyperlink" Target="https://www.imdb.com/title/tt20863760/" TargetMode="External"/><Relationship Id="rId1545" Type="http://schemas.openxmlformats.org/officeDocument/2006/relationships/hyperlink" Target="https://www.imdb.com/title/tt1964624/" TargetMode="External"/><Relationship Id="rId1546" Type="http://schemas.openxmlformats.org/officeDocument/2006/relationships/hyperlink" Target="https://www.imdb.com/title/tt1379182/" TargetMode="External"/><Relationship Id="rId1547" Type="http://schemas.openxmlformats.org/officeDocument/2006/relationships/hyperlink" Target="https://www.imdb.com/title/tt1172049/" TargetMode="External"/><Relationship Id="rId1548" Type="http://schemas.openxmlformats.org/officeDocument/2006/relationships/hyperlink" Target="https://www.imdb.com/title/tt33035373/" TargetMode="External"/><Relationship Id="rId1549" Type="http://schemas.openxmlformats.org/officeDocument/2006/relationships/hyperlink" Target="https://www.imdb.com/title/tt9340860/" TargetMode="External"/><Relationship Id="rId1550" Type="http://schemas.openxmlformats.org/officeDocument/2006/relationships/hyperlink" Target="https://www.imdb.com/title/tt1139797/" TargetMode="External"/><Relationship Id="rId1551" Type="http://schemas.openxmlformats.org/officeDocument/2006/relationships/hyperlink" Target="https://www.imdb.com/title/tt2057392/" TargetMode="External"/><Relationship Id="rId1552" Type="http://schemas.openxmlformats.org/officeDocument/2006/relationships/hyperlink" Target="https://www.imdb.com/title/tt1152758/" TargetMode="External"/><Relationship Id="rId1553" Type="http://schemas.openxmlformats.org/officeDocument/2006/relationships/hyperlink" Target="https://www.imdb.com/title/tt2911666/" TargetMode="External"/><Relationship Id="rId1554" Type="http://schemas.openxmlformats.org/officeDocument/2006/relationships/hyperlink" Target="https://www.imdb.com/title/tt15393644/" TargetMode="External"/><Relationship Id="rId1555" Type="http://schemas.openxmlformats.org/officeDocument/2006/relationships/hyperlink" Target="https://www.imdb.com/title/tt22463404/" TargetMode="External"/><Relationship Id="rId1556" Type="http://schemas.openxmlformats.org/officeDocument/2006/relationships/hyperlink" Target="https://www.imdb.com/title/tt0103030/" TargetMode="External"/><Relationship Id="rId1557" Type="http://schemas.openxmlformats.org/officeDocument/2006/relationships/hyperlink" Target="https://www.imdb.com/title/tt7401588/" TargetMode="External"/><Relationship Id="rId1558" Type="http://schemas.openxmlformats.org/officeDocument/2006/relationships/hyperlink" Target="https://www.imdb.com/title/tt16163746/" TargetMode="External"/><Relationship Id="rId1559" Type="http://schemas.openxmlformats.org/officeDocument/2006/relationships/hyperlink" Target="https://www.imdb.com/title/tt0120663/" TargetMode="External"/><Relationship Id="rId1560" Type="http://schemas.openxmlformats.org/officeDocument/2006/relationships/hyperlink" Target="https://www.imdb.com/title/tt20601386/" TargetMode="External"/><Relationship Id="rId1561" Type="http://schemas.openxmlformats.org/officeDocument/2006/relationships/hyperlink" Target="https://www.imdb.com/title/tt14308636/" TargetMode="External"/><Relationship Id="rId1562" Type="http://schemas.openxmlformats.org/officeDocument/2006/relationships/hyperlink" Target="https://www.imdb.com/title/tt10554232/" TargetMode="External"/><Relationship Id="rId1563" Type="http://schemas.openxmlformats.org/officeDocument/2006/relationships/hyperlink" Target="https://www.imdb.com/title/tt5074352/" TargetMode="External"/><Relationship Id="rId1564" Type="http://schemas.openxmlformats.org/officeDocument/2006/relationships/hyperlink" Target="https://www.imdb.com/title/tt0168629/" TargetMode="External"/><Relationship Id="rId1565" Type="http://schemas.openxmlformats.org/officeDocument/2006/relationships/hyperlink" Target="https://www.imdb.com/title/tt0358135/" TargetMode="External"/><Relationship Id="rId1566" Type="http://schemas.openxmlformats.org/officeDocument/2006/relationships/hyperlink" Target="https://www.imdb.com/title/tt0099348/" TargetMode="External"/><Relationship Id="rId1567" Type="http://schemas.openxmlformats.org/officeDocument/2006/relationships/hyperlink" Target="https://www.imdb.com/title/tt0387877/" TargetMode="External"/><Relationship Id="rId1568" Type="http://schemas.openxmlformats.org/officeDocument/2006/relationships/hyperlink" Target="https://www.imdb.com/title/tt7201846/" TargetMode="External"/><Relationship Id="rId1569" Type="http://schemas.openxmlformats.org/officeDocument/2006/relationships/hyperlink" Target="https://www.imdb.com/title/tt6002232/" TargetMode="External"/><Relationship Id="rId1570" Type="http://schemas.openxmlformats.org/officeDocument/2006/relationships/hyperlink" Target="https://www.imdb.com/title/tt9169516/" TargetMode="External"/><Relationship Id="rId1571" Type="http://schemas.openxmlformats.org/officeDocument/2006/relationships/hyperlink" Target="https://www.imdb.com/title/tt7320560/" TargetMode="External"/><Relationship Id="rId1572" Type="http://schemas.openxmlformats.org/officeDocument/2006/relationships/hyperlink" Target="https://www.imdb.com/title/tt1924245/" TargetMode="External"/><Relationship Id="rId1573" Type="http://schemas.openxmlformats.org/officeDocument/2006/relationships/hyperlink" Target="https://www.imdb.com/title/tt3228774/" TargetMode="External"/><Relationship Id="rId1574" Type="http://schemas.openxmlformats.org/officeDocument/2006/relationships/hyperlink" Target="https://www.imdb.com/title/tt3266284/" TargetMode="External"/><Relationship Id="rId1575" Type="http://schemas.openxmlformats.org/officeDocument/2006/relationships/hyperlink" Target="https://www.imdb.com/title/tt10915060/" TargetMode="External"/><Relationship Id="rId1576" Type="http://schemas.openxmlformats.org/officeDocument/2006/relationships/hyperlink" Target="https://www.imdb.com/title/tt19853270/" TargetMode="External"/><Relationship Id="rId1577" Type="http://schemas.openxmlformats.org/officeDocument/2006/relationships/hyperlink" Target="https://www.imdb.com/title/tt33100314/" TargetMode="External"/><Relationship Id="rId1578" Type="http://schemas.openxmlformats.org/officeDocument/2006/relationships/hyperlink" Target="https://www.imdb.com/title/tt0043014/" TargetMode="External"/><Relationship Id="rId1579" Type="http://schemas.openxmlformats.org/officeDocument/2006/relationships/hyperlink" Target="https://www.imdb.com/title/tt11585652/" TargetMode="External"/><Relationship Id="rId1580" Type="http://schemas.openxmlformats.org/officeDocument/2006/relationships/hyperlink" Target="https://www.imdb.com/title/tt0111149/" TargetMode="External"/><Relationship Id="rId1581" Type="http://schemas.openxmlformats.org/officeDocument/2006/relationships/hyperlink" Target="https://www.imdb.com/title/tt19465630/" TargetMode="External"/><Relationship Id="rId1582" Type="http://schemas.openxmlformats.org/officeDocument/2006/relationships/hyperlink" Target="https://www.imdb.com/title/tt0130827/" TargetMode="External"/><Relationship Id="rId1583" Type="http://schemas.openxmlformats.org/officeDocument/2006/relationships/hyperlink" Target="https://www.imdb.com/title/tt5052448/" TargetMode="External"/><Relationship Id="rId1584" Type="http://schemas.openxmlformats.org/officeDocument/2006/relationships/hyperlink" Target="https://www.imdb.com/title/tt0082089/" TargetMode="External"/><Relationship Id="rId1585" Type="http://schemas.openxmlformats.org/officeDocument/2006/relationships/hyperlink" Target="https://www.imdb.com/title/tt22073352/" TargetMode="External"/><Relationship Id="rId1586" Type="http://schemas.openxmlformats.org/officeDocument/2006/relationships/hyperlink" Target="https://www.imdb.com/title/tt5607714/" TargetMode="External"/><Relationship Id="rId1587" Type="http://schemas.openxmlformats.org/officeDocument/2006/relationships/hyperlink" Target="https://www.imdb.com/title/tt11315808/" TargetMode="External"/><Relationship Id="rId1588" Type="http://schemas.openxmlformats.org/officeDocument/2006/relationships/hyperlink" Target="https://www.imdb.com/title/tt7286456/" TargetMode="External"/><Relationship Id="rId1589" Type="http://schemas.openxmlformats.org/officeDocument/2006/relationships/hyperlink" Target="https://www.imdb.com/title/tt2713180/" TargetMode="External"/><Relationship Id="rId1590" Type="http://schemas.openxmlformats.org/officeDocument/2006/relationships/hyperlink" Target="https://www.imdb.com/title/tt0112573/" TargetMode="External"/><Relationship Id="rId1591" Type="http://schemas.openxmlformats.org/officeDocument/2006/relationships/hyperlink" Target="https://www.imdb.com/title/tt1020773/" TargetMode="External"/><Relationship Id="rId1592" Type="http://schemas.openxmlformats.org/officeDocument/2006/relationships/hyperlink" Target="https://www.imdb.com/title/tt1454910/" TargetMode="External"/><Relationship Id="rId1593" Type="http://schemas.openxmlformats.org/officeDocument/2006/relationships/hyperlink" Target="https://www.imdb.com/title/tt13269580/" TargetMode="External"/><Relationship Id="rId1594" Type="http://schemas.openxmlformats.org/officeDocument/2006/relationships/hyperlink" Target="https://www.imdb.com/title/tt0945513/" TargetMode="External"/><Relationship Id="rId1595" Type="http://schemas.openxmlformats.org/officeDocument/2006/relationships/hyperlink" Target="https://www.imdb.com/title/tt0347048/" TargetMode="External"/><Relationship Id="rId1596" Type="http://schemas.openxmlformats.org/officeDocument/2006/relationships/hyperlink" Target="https://www.imdb.com/title/tt5667278/" TargetMode="External"/><Relationship Id="rId1597" Type="http://schemas.openxmlformats.org/officeDocument/2006/relationships/hyperlink" Target="https://www.imdb.com/title/tt1220198/" TargetMode="External"/><Relationship Id="rId1598" Type="http://schemas.openxmlformats.org/officeDocument/2006/relationships/hyperlink" Target="https://www.imdb.com/title/tt0118884/" TargetMode="External"/><Relationship Id="rId1599" Type="http://schemas.openxmlformats.org/officeDocument/2006/relationships/hyperlink" Target="https://www.imdb.com/title/tt0092005/" TargetMode="External"/><Relationship Id="rId1600" Type="http://schemas.openxmlformats.org/officeDocument/2006/relationships/hyperlink" Target="https://www.imdb.com/title/tt0304941/" TargetMode="External"/><Relationship Id="rId1601" Type="http://schemas.openxmlformats.org/officeDocument/2006/relationships/hyperlink" Target="https://www.imdb.com/title/tt15019128/" TargetMode="External"/><Relationship Id="rId1602" Type="http://schemas.openxmlformats.org/officeDocument/2006/relationships/hyperlink" Target="https://www.imdb.com/title/tt0310910/" TargetMode="External"/><Relationship Id="rId1603" Type="http://schemas.openxmlformats.org/officeDocument/2006/relationships/hyperlink" Target="https://www.imdb.com/title/tt0097239/" TargetMode="External"/><Relationship Id="rId1604" Type="http://schemas.openxmlformats.org/officeDocument/2006/relationships/hyperlink" Target="https://www.imdb.com/title/tt14586118/" TargetMode="External"/><Relationship Id="rId1605" Type="http://schemas.openxmlformats.org/officeDocument/2006/relationships/hyperlink" Target="https://www.imdb.com/title/tt0465538/" TargetMode="External"/><Relationship Id="rId1606" Type="http://schemas.openxmlformats.org/officeDocument/2006/relationships/hyperlink" Target="https://www.imdb.com/title/tt20215234/" TargetMode="External"/><Relationship Id="rId1607" Type="http://schemas.openxmlformats.org/officeDocument/2006/relationships/hyperlink" Target="https://www.imdb.com/title/tt28523129/" TargetMode="External"/><Relationship Id="rId1608" Type="http://schemas.openxmlformats.org/officeDocument/2006/relationships/hyperlink" Target="https://www.imdb.com/title/tt31121364/" TargetMode="External"/><Relationship Id="rId1609" Type="http://schemas.openxmlformats.org/officeDocument/2006/relationships/hyperlink" Target="https://www.imdb.com/title/tt0343660/" TargetMode="External"/><Relationship Id="rId1610" Type="http://schemas.openxmlformats.org/officeDocument/2006/relationships/hyperlink" Target="https://www.imdb.com/title/tt5631456/" TargetMode="External"/><Relationship Id="rId1611" Type="http://schemas.openxmlformats.org/officeDocument/2006/relationships/hyperlink" Target="https://www.imdb.com/title/tt31392609/" TargetMode="External"/><Relationship Id="rId1612" Type="http://schemas.openxmlformats.org/officeDocument/2006/relationships/hyperlink" Target="https://www.imdb.com/title/tt2674426/" TargetMode="External"/><Relationship Id="rId1613" Type="http://schemas.openxmlformats.org/officeDocument/2006/relationships/hyperlink" Target="https://www.imdb.com/title/tt0986264/" TargetMode="External"/><Relationship Id="rId1614" Type="http://schemas.openxmlformats.org/officeDocument/2006/relationships/hyperlink" Target="https://www.imdb.com/title/tt0033729/" TargetMode="External"/><Relationship Id="rId1615" Type="http://schemas.openxmlformats.org/officeDocument/2006/relationships/hyperlink" Target="https://www.imdb.com/title/tt23628262/" TargetMode="External"/><Relationship Id="rId1616" Type="http://schemas.openxmlformats.org/officeDocument/2006/relationships/hyperlink" Target="https://www.imdb.com/title/tt0103994/" TargetMode="External"/><Relationship Id="rId1617" Type="http://schemas.openxmlformats.org/officeDocument/2006/relationships/hyperlink" Target="https://www.imdb.com/title/tt0879870/" TargetMode="External"/><Relationship Id="rId1618" Type="http://schemas.openxmlformats.org/officeDocument/2006/relationships/hyperlink" Target="https://www.imdb.com/title/tt15215512/" TargetMode="External"/><Relationship Id="rId1619" Type="http://schemas.openxmlformats.org/officeDocument/2006/relationships/hyperlink" Target="https://www.imdb.com/title/tt13535920/" TargetMode="External"/><Relationship Id="rId1620" Type="http://schemas.openxmlformats.org/officeDocument/2006/relationships/hyperlink" Target="https://www.imdb.com/title/tt6729080/" TargetMode="External"/><Relationship Id="rId1621" Type="http://schemas.openxmlformats.org/officeDocument/2006/relationships/hyperlink" Target="https://www.imdb.com/title/tt0159365/" TargetMode="External"/><Relationship Id="rId1622" Type="http://schemas.openxmlformats.org/officeDocument/2006/relationships/hyperlink" Target="https://www.imdb.com/title/tt0113347/" TargetMode="External"/><Relationship Id="rId1623" Type="http://schemas.openxmlformats.org/officeDocument/2006/relationships/hyperlink" Target="https://www.imdb.com/title/tt0369339/" TargetMode="External"/><Relationship Id="rId1624" Type="http://schemas.openxmlformats.org/officeDocument/2006/relationships/hyperlink" Target="https://www.imdb.com/title/tt8001788/" TargetMode="External"/><Relationship Id="rId1625" Type="http://schemas.openxmlformats.org/officeDocument/2006/relationships/hyperlink" Target="https://www.imdb.com/title/tt2866360/" TargetMode="External"/><Relationship Id="rId1626" Type="http://schemas.openxmlformats.org/officeDocument/2006/relationships/hyperlink" Target="https://www.imdb.com/title/tt0245562/" TargetMode="External"/><Relationship Id="rId1627" Type="http://schemas.openxmlformats.org/officeDocument/2006/relationships/hyperlink" Target="https://www.imdb.com/title/tt0120749/" TargetMode="External"/><Relationship Id="rId1628" Type="http://schemas.openxmlformats.org/officeDocument/2006/relationships/hyperlink" Target="https://www.imdb.com/title/tt11996924/" TargetMode="External"/><Relationship Id="rId1629" Type="http://schemas.openxmlformats.org/officeDocument/2006/relationships/hyperlink" Target="https://www.imdb.com/title/tt1035736/" TargetMode="External"/><Relationship Id="rId1630" Type="http://schemas.openxmlformats.org/officeDocument/2006/relationships/hyperlink" Target="https://www.imdb.com/title/tt0790636/" TargetMode="External"/><Relationship Id="rId1631" Type="http://schemas.openxmlformats.org/officeDocument/2006/relationships/hyperlink" Target="https://www.imdb.com/title/tt0137523/" TargetMode="External"/><Relationship Id="rId1632" Type="http://schemas.openxmlformats.org/officeDocument/2006/relationships/hyperlink" Target="https://www.imdb.com/title/tt0100234/" TargetMode="External"/><Relationship Id="rId1633" Type="http://schemas.openxmlformats.org/officeDocument/2006/relationships/hyperlink" Target="https://www.imdb.com/title/tt0376541/" TargetMode="External"/><Relationship Id="rId1634" Type="http://schemas.openxmlformats.org/officeDocument/2006/relationships/hyperlink" Target="https://www.imdb.com/title/tt22695554/" TargetMode="External"/><Relationship Id="rId1635" Type="http://schemas.openxmlformats.org/officeDocument/2006/relationships/hyperlink" Target="https://www.imdb.com/title/tt5316540/" TargetMode="External"/><Relationship Id="rId1636" Type="http://schemas.openxmlformats.org/officeDocument/2006/relationships/hyperlink" Target="https://www.imdb.com/title/tt10888878/" TargetMode="External"/><Relationship Id="rId1637" Type="http://schemas.openxmlformats.org/officeDocument/2006/relationships/hyperlink" Target="https://www.imdb.com/title/tt11481312/" TargetMode="External"/><Relationship Id="rId1638" Type="http://schemas.openxmlformats.org/officeDocument/2006/relationships/hyperlink" Target="https://www.imdb.com/title/tt0947798/" TargetMode="External"/><Relationship Id="rId1639" Type="http://schemas.openxmlformats.org/officeDocument/2006/relationships/hyperlink" Target="https://www.imdb.com/title/tt0215750/" TargetMode="External"/><Relationship Id="rId1640" Type="http://schemas.openxmlformats.org/officeDocument/2006/relationships/hyperlink" Target="https://www.imdb.com/title/tt2322441/" TargetMode="External"/><Relationship Id="rId1641" Type="http://schemas.openxmlformats.org/officeDocument/2006/relationships/hyperlink" Target="https://www.imdb.com/title/tt0095765/" TargetMode="External"/><Relationship Id="rId1642" Type="http://schemas.openxmlformats.org/officeDocument/2006/relationships/hyperlink" Target="https://www.imdb.com/title/tt3966404/" TargetMode="External"/><Relationship Id="rId1643" Type="http://schemas.openxmlformats.org/officeDocument/2006/relationships/hyperlink" Target="https://www.imdb.com/title/tt29494109/" TargetMode="External"/><Relationship Id="rId1644" Type="http://schemas.openxmlformats.org/officeDocument/2006/relationships/hyperlink" Target="https://www.imdb.com/title/tt0166924/" TargetMode="External"/><Relationship Id="rId1645" Type="http://schemas.openxmlformats.org/officeDocument/2006/relationships/hyperlink" Target="https://www.imdb.com/title/tt10525672/" TargetMode="External"/><Relationship Id="rId1646" Type="http://schemas.openxmlformats.org/officeDocument/2006/relationships/hyperlink" Target="https://www.imdb.com/title/tt0033467/" TargetMode="External"/><Relationship Id="rId1647" Type="http://schemas.openxmlformats.org/officeDocument/2006/relationships/hyperlink" Target="https://www.imdb.com/title/tt0096933/" TargetMode="External"/><Relationship Id="rId1648" Type="http://schemas.openxmlformats.org/officeDocument/2006/relationships/hyperlink" Target="https://www.imdb.com/title/tt0425112/" TargetMode="External"/><Relationship Id="rId1649" Type="http://schemas.openxmlformats.org/officeDocument/2006/relationships/hyperlink" Target="https://www.imdb.com/title/tt0241303/" TargetMode="External"/><Relationship Id="rId1650" Type="http://schemas.openxmlformats.org/officeDocument/2006/relationships/hyperlink" Target="https://www.imdb.com/title/tt4400038/" TargetMode="External"/><Relationship Id="rId1651" Type="http://schemas.openxmlformats.org/officeDocument/2006/relationships/hyperlink" Target="https://www.imdb.com/title/tt5251348/" TargetMode="External"/><Relationship Id="rId1652" Type="http://schemas.openxmlformats.org/officeDocument/2006/relationships/hyperlink" Target="https://www.imdb.com/title/tt0299658/" TargetMode="External"/><Relationship Id="rId1653" Type="http://schemas.openxmlformats.org/officeDocument/2006/relationships/hyperlink" Target="https://www.imdb.com/title/tt7366338/" TargetMode="External"/><Relationship Id="rId1654" Type="http://schemas.openxmlformats.org/officeDocument/2006/relationships/hyperlink" Target="https://www.imdb.com/title/tt0977642/" TargetMode="External"/><Relationship Id="rId1655" Type="http://schemas.openxmlformats.org/officeDocument/2006/relationships/hyperlink" Target="https://www.imdb.com/title/tt9050352/" TargetMode="External"/><Relationship Id="rId1656" Type="http://schemas.openxmlformats.org/officeDocument/2006/relationships/hyperlink" Target="https://www.imdb.com/title/tt0328107/" TargetMode="External"/><Relationship Id="rId1657" Type="http://schemas.openxmlformats.org/officeDocument/2006/relationships/hyperlink" Target="https://www.imdb.com/title/tt2177511/" TargetMode="External"/><Relationship Id="rId1658" Type="http://schemas.openxmlformats.org/officeDocument/2006/relationships/hyperlink" Target="https://www.imdb.com/title/tt0140888/" TargetMode="External"/><Relationship Id="rId1659" Type="http://schemas.openxmlformats.org/officeDocument/2006/relationships/hyperlink" Target="https://www.imdb.com/title/tt12682218/" TargetMode="External"/><Relationship Id="rId1660" Type="http://schemas.openxmlformats.org/officeDocument/2006/relationships/hyperlink" Target="https://www.imdb.com/title/tt9892936/" TargetMode="External"/><Relationship Id="rId1661" Type="http://schemas.openxmlformats.org/officeDocument/2006/relationships/hyperlink" Target="https://www.imdb.com/title/tt1568911/" TargetMode="External"/><Relationship Id="rId1662" Type="http://schemas.openxmlformats.org/officeDocument/2006/relationships/hyperlink" Target="https://www.imdb.com/title/tt7243884/" TargetMode="External"/><Relationship Id="rId1663" Type="http://schemas.openxmlformats.org/officeDocument/2006/relationships/hyperlink" Target="https://www.imdb.com/title/tt36517681/" TargetMode="External"/><Relationship Id="rId1664" Type="http://schemas.openxmlformats.org/officeDocument/2006/relationships/hyperlink" Target="https://www.imdb.com/title/tt2582576/" TargetMode="External"/><Relationship Id="rId1665" Type="http://schemas.openxmlformats.org/officeDocument/2006/relationships/hyperlink" Target="https://www.imdb.com/title/tt0795351/" TargetMode="External"/><Relationship Id="rId1666" Type="http://schemas.openxmlformats.org/officeDocument/2006/relationships/hyperlink" Target="https://www.imdb.com/title/tt0034583/" TargetMode="External"/><Relationship Id="rId1667" Type="http://schemas.openxmlformats.org/officeDocument/2006/relationships/hyperlink" Target="https://www.imdb.com/title/tt0423866/" TargetMode="External"/><Relationship Id="rId1668" Type="http://schemas.openxmlformats.org/officeDocument/2006/relationships/hyperlink" Target="https://www.imdb.com/title/tt11214590/" TargetMode="External"/><Relationship Id="rId1669" Type="http://schemas.openxmlformats.org/officeDocument/2006/relationships/hyperlink" Target="https://www.imdb.com/title/tt0315983/" TargetMode="External"/><Relationship Id="rId1670" Type="http://schemas.openxmlformats.org/officeDocument/2006/relationships/hyperlink" Target="https://www.imdb.com/title/tt0373747/" TargetMode="External"/><Relationship Id="rId1671" Type="http://schemas.openxmlformats.org/officeDocument/2006/relationships/hyperlink" Target="https://www.imdb.com/title/tt1216492/" TargetMode="External"/><Relationship Id="rId1672" Type="http://schemas.openxmlformats.org/officeDocument/2006/relationships/hyperlink" Target="https://www.imdb.com/title/tt0498380/" TargetMode="External"/><Relationship Id="rId1673" Type="http://schemas.openxmlformats.org/officeDocument/2006/relationships/hyperlink" Target="https://www.imdb.com/title/tt2402927/" TargetMode="External"/><Relationship Id="rId1674" Type="http://schemas.openxmlformats.org/officeDocument/2006/relationships/hyperlink" Target="https://www.imdb.com/title/tt0118819/" TargetMode="External"/><Relationship Id="rId1675" Type="http://schemas.openxmlformats.org/officeDocument/2006/relationships/hyperlink" Target="https://www.imdb.com/title/tt0119448/" TargetMode="External"/><Relationship Id="rId1676" Type="http://schemas.openxmlformats.org/officeDocument/2006/relationships/hyperlink" Target="https://www.imdb.com/title/tt0379725/" TargetMode="External"/><Relationship Id="rId1677" Type="http://schemas.openxmlformats.org/officeDocument/2006/relationships/hyperlink" Target="https://www.imdb.com/title/tt1535109/" TargetMode="External"/><Relationship Id="rId1678" Type="http://schemas.openxmlformats.org/officeDocument/2006/relationships/hyperlink" Target="https://www.imdb.com/title/tt1068899/" TargetMode="External"/><Relationship Id="rId1679" Type="http://schemas.openxmlformats.org/officeDocument/2006/relationships/hyperlink" Target="https://www.imdb.com/title/tt0045152/" TargetMode="External"/><Relationship Id="rId1680" Type="http://schemas.openxmlformats.org/officeDocument/2006/relationships/hyperlink" Target="https://www.imdb.com/title/tt7264116/" TargetMode="External"/><Relationship Id="rId1681" Type="http://schemas.openxmlformats.org/officeDocument/2006/relationships/hyperlink" Target="https://www.imdb.com/title/tt0056424/" TargetMode="External"/><Relationship Id="rId1682" Type="http://schemas.openxmlformats.org/officeDocument/2006/relationships/hyperlink" Target="https://www.imdb.com/title/tt35661576/" TargetMode="External"/><Relationship Id="rId1683" Type="http://schemas.openxmlformats.org/officeDocument/2006/relationships/hyperlink" Target="https://www.imdb.com/title/tt0366627/" TargetMode="External"/><Relationship Id="rId1684" Type="http://schemas.openxmlformats.org/officeDocument/2006/relationships/hyperlink" Target="https://www.imdb.com/title/tt1023114/" TargetMode="External"/><Relationship Id="rId1685" Type="http://schemas.openxmlformats.org/officeDocument/2006/relationships/hyperlink" Target="https://www.imdb.com/title/tt6476140/" TargetMode="External"/><Relationship Id="rId1686" Type="http://schemas.openxmlformats.org/officeDocument/2006/relationships/hyperlink" Target="https://www.imdb.com/title/tt11398870/" TargetMode="External"/><Relationship Id="rId1687" Type="http://schemas.openxmlformats.org/officeDocument/2006/relationships/hyperlink" Target="https://www.imdb.com/title/tt10341034/" TargetMode="External"/><Relationship Id="rId1688" Type="http://schemas.openxmlformats.org/officeDocument/2006/relationships/hyperlink" Target="https://www.imdb.com/title/tt14471346/" TargetMode="External"/><Relationship Id="rId1689" Type="http://schemas.openxmlformats.org/officeDocument/2006/relationships/hyperlink" Target="https://www.imdb.com/title/tt8267604/" TargetMode="External"/><Relationship Id="rId1690" Type="http://schemas.openxmlformats.org/officeDocument/2006/relationships/hyperlink" Target="https://www.imdb.com/title/tt0105236/" TargetMode="External"/><Relationship Id="rId1691" Type="http://schemas.openxmlformats.org/officeDocument/2006/relationships/hyperlink" Target="https://www.imdb.com/title/tt2365580/" TargetMode="External"/><Relationship Id="rId1692" Type="http://schemas.openxmlformats.org/officeDocument/2006/relationships/hyperlink" Target="https://www.imdb.com/title/tt2058673/" TargetMode="External"/><Relationship Id="rId1693" Type="http://schemas.openxmlformats.org/officeDocument/2006/relationships/hyperlink" Target="https://www.imdb.com/title/tt14351082/" TargetMode="External"/><Relationship Id="rId1694" Type="http://schemas.openxmlformats.org/officeDocument/2006/relationships/hyperlink" Target="https://www.imdb.com/title/tt0112609/" TargetMode="External"/><Relationship Id="rId1695" Type="http://schemas.openxmlformats.org/officeDocument/2006/relationships/hyperlink" Target="https://www.imdb.com/title/tt0401085/" TargetMode="External"/><Relationship Id="rId1696" Type="http://schemas.openxmlformats.org/officeDocument/2006/relationships/hyperlink" Target="https://www.imdb.com/title/tt0064115/" TargetMode="External"/><Relationship Id="rId1697" Type="http://schemas.openxmlformats.org/officeDocument/2006/relationships/hyperlink" Target="https://www.imdb.com/title/tt7668870/" TargetMode="External"/><Relationship Id="rId1698" Type="http://schemas.openxmlformats.org/officeDocument/2006/relationships/hyperlink" Target="https://www.imdb.com/title/tt0186508/" TargetMode="External"/><Relationship Id="rId1699" Type="http://schemas.openxmlformats.org/officeDocument/2006/relationships/hyperlink" Target="https://www.imdb.com/title/tt0385887/" TargetMode="External"/><Relationship Id="rId1700" Type="http://schemas.openxmlformats.org/officeDocument/2006/relationships/hyperlink" Target="https://www.imdb.com/title/tt10127684/" TargetMode="External"/><Relationship Id="rId1701" Type="http://schemas.openxmlformats.org/officeDocument/2006/relationships/hyperlink" Target="https://www.imdb.com/title/tt0338013/" TargetMode="External"/><Relationship Id="rId1702" Type="http://schemas.openxmlformats.org/officeDocument/2006/relationships/hyperlink" Target="https://www.imdb.com/title/tt8740790/" TargetMode="External"/><Relationship Id="rId1703" Type="http://schemas.openxmlformats.org/officeDocument/2006/relationships/hyperlink" Target="https://www.imdb.com/title/tt0903747/" TargetMode="External"/><Relationship Id="rId1704" Type="http://schemas.openxmlformats.org/officeDocument/2006/relationships/hyperlink" Target="https://www.imdb.com/title/tt1403865/" TargetMode="External"/><Relationship Id="rId1705" Type="http://schemas.openxmlformats.org/officeDocument/2006/relationships/hyperlink" Target="https://www.imdb.com/title/tt1065073/" TargetMode="External"/><Relationship Id="rId1706" Type="http://schemas.openxmlformats.org/officeDocument/2006/relationships/hyperlink" Target="https://www.imdb.com/title/tt1736341/" TargetMode="External"/><Relationship Id="rId1707" Type="http://schemas.openxmlformats.org/officeDocument/2006/relationships/hyperlink" Target="https://www.imdb.com/title/tt1526318/" TargetMode="External"/><Relationship Id="rId1708" Type="http://schemas.openxmlformats.org/officeDocument/2006/relationships/hyperlink" Target="https://www.imdb.com/title/tt33053440/" TargetMode="External"/><Relationship Id="rId1709" Type="http://schemas.openxmlformats.org/officeDocument/2006/relationships/hyperlink" Target="https://www.imdb.com/title/tt14485734/" TargetMode="External"/><Relationship Id="rId1710" Type="http://schemas.openxmlformats.org/officeDocument/2006/relationships/hyperlink" Target="https://www.imdb.com/title/tt0443453/" TargetMode="External"/><Relationship Id="rId1711" Type="http://schemas.openxmlformats.org/officeDocument/2006/relationships/hyperlink" Target="https://www.imdb.com/title/tt27987047/" TargetMode="External"/><Relationship Id="rId1712" Type="http://schemas.openxmlformats.org/officeDocument/2006/relationships/hyperlink" Target="https://www.imdb.com/title/tt0118749/" TargetMode="External"/><Relationship Id="rId1713" Type="http://schemas.openxmlformats.org/officeDocument/2006/relationships/hyperlink" Target="https://www.imdb.com/title/tt0061418/" TargetMode="External"/><Relationship Id="rId1714" Type="http://schemas.openxmlformats.org/officeDocument/2006/relationships/hyperlink" Target="https://www.imdb.com/title/tt12987918/" TargetMode="External"/><Relationship Id="rId1715" Type="http://schemas.openxmlformats.org/officeDocument/2006/relationships/hyperlink" Target="https://www.imdb.com/title/tt9327242/" TargetMode="External"/><Relationship Id="rId1716" Type="http://schemas.openxmlformats.org/officeDocument/2006/relationships/hyperlink" Target="https://www.imdb.com/title/tt1727824/" TargetMode="External"/><Relationship Id="rId1717" Type="http://schemas.openxmlformats.org/officeDocument/2006/relationships/hyperlink" Target="https://www.imdb.com/title/tt13352968/" TargetMode="External"/><Relationship Id="rId1718" Type="http://schemas.openxmlformats.org/officeDocument/2006/relationships/hyperlink" Target="https://www.imdb.com/title/tt9000184/" TargetMode="External"/><Relationship Id="rId1719" Type="http://schemas.openxmlformats.org/officeDocument/2006/relationships/hyperlink" Target="https://www.imdb.com/title/tt0433383/" TargetMode="External"/><Relationship Id="rId1720" Type="http://schemas.openxmlformats.org/officeDocument/2006/relationships/hyperlink" Target="https://www.imdb.com/title/tt3242480/" TargetMode="External"/><Relationship Id="rId1721" Type="http://schemas.openxmlformats.org/officeDocument/2006/relationships/hyperlink" Target="https://www.imdb.com/title/tt5912454/" TargetMode="External"/><Relationship Id="rId1722" Type="http://schemas.openxmlformats.org/officeDocument/2006/relationships/hyperlink" Target="https://www.imdb.com/title/tt2334873/" TargetMode="External"/><Relationship Id="rId1723" Type="http://schemas.openxmlformats.org/officeDocument/2006/relationships/hyperlink" Target="https://www.imdb.com/title/tt1655389/" TargetMode="External"/><Relationship Id="rId1724" Type="http://schemas.openxmlformats.org/officeDocument/2006/relationships/hyperlink" Target="https://www.imdb.com/title/tt0442632/" TargetMode="External"/><Relationship Id="rId1725" Type="http://schemas.openxmlformats.org/officeDocument/2006/relationships/hyperlink" Target="https://www.imdb.com/title/tt21994228/" TargetMode="External"/><Relationship Id="rId1726" Type="http://schemas.openxmlformats.org/officeDocument/2006/relationships/hyperlink" Target="https://www.imdb.com/title/tt23055142/" TargetMode="External"/><Relationship Id="rId1727" Type="http://schemas.openxmlformats.org/officeDocument/2006/relationships/hyperlink" Target="https://www.imdb.com/title/tt27995113/" TargetMode="External"/><Relationship Id="rId1728" Type="http://schemas.openxmlformats.org/officeDocument/2006/relationships/hyperlink" Target="https://www.imdb.com/title/tt4301160/" TargetMode="External"/><Relationship Id="rId1729" Type="http://schemas.openxmlformats.org/officeDocument/2006/relationships/hyperlink" Target="https://www.imdb.com/title/tt2197849/" TargetMode="External"/><Relationship Id="rId1730" Type="http://schemas.openxmlformats.org/officeDocument/2006/relationships/hyperlink" Target="https://www.imdb.com/title/tt2562232/" TargetMode="External"/><Relationship Id="rId1731" Type="http://schemas.openxmlformats.org/officeDocument/2006/relationships/hyperlink" Target="https://www.imdb.com/title/tt2737304/" TargetMode="External"/><Relationship Id="rId1732" Type="http://schemas.openxmlformats.org/officeDocument/2006/relationships/hyperlink" Target="https://www.imdb.com/title/tt0249462/" TargetMode="External"/><Relationship Id="rId1733" Type="http://schemas.openxmlformats.org/officeDocument/2006/relationships/hyperlink" Target="https://www.imdb.com/title/tt3920596/" TargetMode="External"/><Relationship Id="rId1734" Type="http://schemas.openxmlformats.org/officeDocument/2006/relationships/hyperlink" Target="https://www.imdb.com/title/tt0263124/" TargetMode="External"/><Relationship Id="rId1735" Type="http://schemas.openxmlformats.org/officeDocument/2006/relationships/hyperlink" Target="https://www.imdb.com/title/tt3032476/" TargetMode="External"/><Relationship Id="rId1736" Type="http://schemas.openxmlformats.org/officeDocument/2006/relationships/hyperlink" Target="https://www.imdb.com/title/tt34692051/" TargetMode="External"/><Relationship Id="rId1737" Type="http://schemas.openxmlformats.org/officeDocument/2006/relationships/hyperlink" Target="https://www.imdb.com/title/tt5707048/" TargetMode="External"/><Relationship Id="rId1738" Type="http://schemas.openxmlformats.org/officeDocument/2006/relationships/hyperlink" Target="https://www.imdb.com/title/tt0052618/" TargetMode="External"/><Relationship Id="rId1739" Type="http://schemas.openxmlformats.org/officeDocument/2006/relationships/hyperlink" Target="https://www.imdb.com/title/tt5555502/" TargetMode="External"/><Relationship Id="rId1740" Type="http://schemas.openxmlformats.org/officeDocument/2006/relationships/hyperlink" Target="https://www.imdb.com/title/tt9642982/" TargetMode="External"/><Relationship Id="rId1741" Type="http://schemas.openxmlformats.org/officeDocument/2006/relationships/hyperlink" Target="https://www.imdb.com/title/tt12789558/" TargetMode="External"/><Relationship Id="rId1742" Type="http://schemas.openxmlformats.org/officeDocument/2006/relationships/hyperlink" Target="https://www.imdb.com/title/tt4682786/" TargetMode="External"/><Relationship Id="rId1743" Type="http://schemas.openxmlformats.org/officeDocument/2006/relationships/hyperlink" Target="https://www.imdb.com/title/tt0169547/" TargetMode="External"/><Relationship Id="rId1744" Type="http://schemas.openxmlformats.org/officeDocument/2006/relationships/hyperlink" Target="https://www.imdb.com/title/tt37531036/" TargetMode="External"/><Relationship Id="rId1745" Type="http://schemas.openxmlformats.org/officeDocument/2006/relationships/hyperlink" Target="https://www.imdb.com/title/tt9620292/" TargetMode="External"/><Relationship Id="rId1746" Type="http://schemas.openxmlformats.org/officeDocument/2006/relationships/hyperlink" Target="https://www.imdb.com/title/tt4669264/" TargetMode="External"/><Relationship Id="rId1747" Type="http://schemas.openxmlformats.org/officeDocument/2006/relationships/hyperlink" Target="https://www.imdb.com/title/tt10230994/" TargetMode="External"/><Relationship Id="rId1748" Type="http://schemas.openxmlformats.org/officeDocument/2006/relationships/hyperlink" Target="https://www.imdb.com/title/tt13649112/" TargetMode="External"/><Relationship Id="rId1749" Type="http://schemas.openxmlformats.org/officeDocument/2006/relationships/hyperlink" Target="https://www.imdb.com/title/tt0758732/" TargetMode="External"/><Relationship Id="rId1750" Type="http://schemas.openxmlformats.org/officeDocument/2006/relationships/hyperlink" Target="https://www.imdb.com/title/tt1345836/" TargetMode="External"/><Relationship Id="rId1751" Type="http://schemas.openxmlformats.org/officeDocument/2006/relationships/hyperlink" Target="https://www.imdb.com/title/tt0468569/" TargetMode="External"/><Relationship Id="rId1752" Type="http://schemas.openxmlformats.org/officeDocument/2006/relationships/hyperlink" Target="https://www.imdb.com/title/tt0372784/" TargetMode="External"/><Relationship Id="rId1753" Type="http://schemas.openxmlformats.org/officeDocument/2006/relationships/hyperlink" Target="https://www.imdb.com/title/tt24458622/" TargetMode="External"/><Relationship Id="rId1754" Type="http://schemas.openxmlformats.org/officeDocument/2006/relationships/hyperlink" Target="https://www.imdb.com/title/tt0361748/" TargetMode="External"/><Relationship Id="rId1755" Type="http://schemas.openxmlformats.org/officeDocument/2006/relationships/hyperlink" Target="https://www.imdb.com/title/tt0072684/" TargetMode="External"/><Relationship Id="rId1756" Type="http://schemas.openxmlformats.org/officeDocument/2006/relationships/hyperlink" Target="https://www.imdb.com/title/tt3108894/" TargetMode="External"/><Relationship Id="rId1757" Type="http://schemas.openxmlformats.org/officeDocument/2006/relationships/hyperlink" Target="https://www.imdb.com/title/tt0185906/" TargetMode="External"/><Relationship Id="rId1758" Type="http://schemas.openxmlformats.org/officeDocument/2006/relationships/hyperlink" Target="https://www.imdb.com/title/tt0291032/" TargetMode="External"/><Relationship Id="rId1759" Type="http://schemas.openxmlformats.org/officeDocument/2006/relationships/hyperlink" Target="https://www.imdb.com/title/tt10456740/" TargetMode="External"/><Relationship Id="rId1760" Type="http://schemas.openxmlformats.org/officeDocument/2006/relationships/hyperlink" Target="https://www.imdb.com/title/tt0095801/" TargetMode="External"/><Relationship Id="rId1761" Type="http://schemas.openxmlformats.org/officeDocument/2006/relationships/hyperlink" Target="https://www.imdb.com/title/tt21382296/" TargetMode="External"/><Relationship Id="rId1762" Type="http://schemas.openxmlformats.org/officeDocument/2006/relationships/hyperlink" Target="https://www.imdb.com/title/tt2762506/" TargetMode="External"/><Relationship Id="rId1763" Type="http://schemas.openxmlformats.org/officeDocument/2006/relationships/hyperlink" Target="https://www.imdb.com/title/tt30057084/" TargetMode="External"/><Relationship Id="rId1764" Type="http://schemas.openxmlformats.org/officeDocument/2006/relationships/hyperlink" Target="https://www.imdb.com/title/tt0449467/" TargetMode="External"/><Relationship Id="rId1765" Type="http://schemas.openxmlformats.org/officeDocument/2006/relationships/hyperlink" Target="https://www.imdb.com/title/tt1081935/" TargetMode="External"/><Relationship Id="rId1766" Type="http://schemas.openxmlformats.org/officeDocument/2006/relationships/hyperlink" Target="https://www.imdb.com/title/tt4849438/" TargetMode="External"/><Relationship Id="rId1767" Type="http://schemas.openxmlformats.org/officeDocument/2006/relationships/hyperlink" Target="https://www.imdb.com/title/tt2278871/" TargetMode="External"/><Relationship Id="rId1768" Type="http://schemas.openxmlformats.org/officeDocument/2006/relationships/hyperlink" Target="https://www.imdb.com/title/tt0499549/" TargetMode="External"/><Relationship Id="rId1769" Type="http://schemas.openxmlformats.org/officeDocument/2006/relationships/hyperlink" Target="https://www.imdb.com/title/tt0455824/" TargetMode="External"/><Relationship Id="rId1770" Type="http://schemas.openxmlformats.org/officeDocument/2006/relationships/hyperlink" Target="https://www.imdb.com/title/tt6315640/" TargetMode="External"/><Relationship Id="rId1771" Type="http://schemas.openxmlformats.org/officeDocument/2006/relationships/hyperlink" Target="https://www.imdb.com/title/tt14463484/" TargetMode="External"/><Relationship Id="rId1772" Type="http://schemas.openxmlformats.org/officeDocument/2006/relationships/hyperlink" Target="https://www.imdb.com/title/tt11905462/" TargetMode="External"/><Relationship Id="rId1773" Type="http://schemas.openxmlformats.org/officeDocument/2006/relationships/hyperlink" Target="https://www.imdb.com/title/tt5461944/" TargetMode="External"/><Relationship Id="rId1774" Type="http://schemas.openxmlformats.org/officeDocument/2006/relationships/hyperlink" Target="https://www.imdb.com/title/tt2119532/" TargetMode="External"/><Relationship Id="rId1775" Type="http://schemas.openxmlformats.org/officeDocument/2006/relationships/hyperlink" Target="https://www.imdb.com/title/tt32550101/" TargetMode="External"/><Relationship Id="rId1776" Type="http://schemas.openxmlformats.org/officeDocument/2006/relationships/hyperlink" Target="https://www.imdb.com/title/tt10293406/" TargetMode="External"/><Relationship Id="rId1777" Type="http://schemas.openxmlformats.org/officeDocument/2006/relationships/hyperlink" Target="https://www.imdb.com/title/tt0101026/" TargetMode="External"/><Relationship Id="rId1778" Type="http://schemas.openxmlformats.org/officeDocument/2006/relationships/hyperlink" Target="https://www.imdb.com/title/tt8075192/" TargetMode="External"/><Relationship Id="rId1779" Type="http://schemas.openxmlformats.org/officeDocument/2006/relationships/hyperlink" Target="https://www.imdb.com/title/tt5537002/" TargetMode="External"/><Relationship Id="rId1780" Type="http://schemas.openxmlformats.org/officeDocument/2006/relationships/hyperlink" Target="https://www.imdb.com/title/tt11827628/" TargetMode="External"/><Relationship Id="rId1781" Type="http://schemas.openxmlformats.org/officeDocument/2006/relationships/hyperlink" Target="https://www.imdb.com/title/tt20215968/" TargetMode="External"/><Relationship Id="rId1782" Type="http://schemas.openxmlformats.org/officeDocument/2006/relationships/hyperlink" Target="https://www.imdb.com/title/tt8108198/" TargetMode="External"/><Relationship Id="rId1783" Type="http://schemas.openxmlformats.org/officeDocument/2006/relationships/hyperlink" Target="https://www.imdb.com/title/tt32245158/" TargetMode="External"/><Relationship Id="rId1784" Type="http://schemas.openxmlformats.org/officeDocument/2006/relationships/hyperlink" Target="https://www.imdb.com/title/tt4479380/" TargetMode="External"/><Relationship Id="rId1785" Type="http://schemas.openxmlformats.org/officeDocument/2006/relationships/hyperlink" Target="https://www.imdb.com/title/tt4218572/" TargetMode="External"/><Relationship Id="rId1786" Type="http://schemas.openxmlformats.org/officeDocument/2006/relationships/hyperlink" Target="https://www.imdb.com/title/tt1659337/" TargetMode="External"/><Relationship Id="rId1787" Type="http://schemas.openxmlformats.org/officeDocument/2006/relationships/hyperlink" Target="https://www.imdb.com/title/tt28491891/" TargetMode="External"/><Relationship Id="rId1788" Type="http://schemas.openxmlformats.org/officeDocument/2006/relationships/hyperlink" Target="https://www.imdb.com/title/tt5674718/" TargetMode="External"/><Relationship Id="rId1789" Type="http://schemas.openxmlformats.org/officeDocument/2006/relationships/hyperlink" Target="https://www.imdb.com/title/tt3077214/" TargetMode="External"/><Relationship Id="rId1790" Type="http://schemas.openxmlformats.org/officeDocument/2006/relationships/hyperlink" Target="https://www.imdb.com/title/tt0240510/" TargetMode="External"/><Relationship Id="rId1791" Type="http://schemas.openxmlformats.org/officeDocument/2006/relationships/hyperlink" Target="https://www.imdb.com/title/tt7534150/" TargetMode="External"/><Relationship Id="rId1792" Type="http://schemas.openxmlformats.org/officeDocument/2006/relationships/hyperlink" Target="https://www.imdb.com/title/tt0112579/" TargetMode="External"/><Relationship Id="rId1793" Type="http://schemas.openxmlformats.org/officeDocument/2006/relationships/hyperlink" Target="https://www.imdb.com/title/tt1840417/" TargetMode="External"/><Relationship Id="rId1794" Type="http://schemas.openxmlformats.org/officeDocument/2006/relationships/hyperlink" Target="https://www.imdb.com/title/tt32565993/" TargetMode="External"/><Relationship Id="rId1795" Type="http://schemas.openxmlformats.org/officeDocument/2006/relationships/hyperlink" Target="https://www.imdb.com/title/tt0045162/" TargetMode="External"/><Relationship Id="rId1796" Type="http://schemas.openxmlformats.org/officeDocument/2006/relationships/hyperlink" Target="https://www.imdb.com/title/tt1852006/" TargetMode="External"/><Relationship Id="rId1797" Type="http://schemas.openxmlformats.org/officeDocument/2006/relationships/hyperlink" Target="https://www.imdb.com/title/tt8745676/" TargetMode="External"/><Relationship Id="rId1798" Type="http://schemas.openxmlformats.org/officeDocument/2006/relationships/hyperlink" Target="https://www.imdb.com/title/tt1805297/" TargetMode="External"/><Relationship Id="rId1799" Type="http://schemas.openxmlformats.org/officeDocument/2006/relationships/hyperlink" Target="https://www.imdb.com/title/tt2296853/" TargetMode="External"/><Relationship Id="rId1800" Type="http://schemas.openxmlformats.org/officeDocument/2006/relationships/hyperlink" Target="https://www.imdb.com/title/tt13229894/" TargetMode="External"/><Relationship Id="rId1801" Type="http://schemas.openxmlformats.org/officeDocument/2006/relationships/hyperlink" Target="https://www.imdb.com/title/tt15441160/" TargetMode="External"/><Relationship Id="rId1802" Type="http://schemas.openxmlformats.org/officeDocument/2006/relationships/hyperlink" Target="https://www.imdb.com/title/tt0338135/" TargetMode="External"/><Relationship Id="rId1803" Type="http://schemas.openxmlformats.org/officeDocument/2006/relationships/hyperlink" Target="https://www.imdb.com/title/tt1712187/" TargetMode="External"/><Relationship Id="rId1804" Type="http://schemas.openxmlformats.org/officeDocument/2006/relationships/hyperlink" Target="https://www.imdb.com/title/tt0274558/" TargetMode="External"/><Relationship Id="rId1805" Type="http://schemas.openxmlformats.org/officeDocument/2006/relationships/hyperlink" Target="https://www.imdb.com/title/tt9174718/" TargetMode="External"/><Relationship Id="rId1806" Type="http://schemas.openxmlformats.org/officeDocument/2006/relationships/hyperlink" Target="https://www.imdb.com/title/tt5925968/" TargetMode="External"/><Relationship Id="rId1807" Type="http://schemas.openxmlformats.org/officeDocument/2006/relationships/hyperlink" Target="https://www.imdb.com/title/tt7698468/" TargetMode="External"/><Relationship Id="rId1808" Type="http://schemas.openxmlformats.org/officeDocument/2006/relationships/hyperlink" Target="https://www.imdb.com/title/tt0117381/" TargetMode="External"/><Relationship Id="rId1809" Type="http://schemas.openxmlformats.org/officeDocument/2006/relationships/hyperlink" Target="https://www.imdb.com/title/tt1976000/" TargetMode="External"/><Relationship Id="rId1810" Type="http://schemas.openxmlformats.org/officeDocument/2006/relationships/hyperlink" Target="https://www.imdb.com/title/tt0398883/" TargetMode="External"/><Relationship Id="rId1811" Type="http://schemas.openxmlformats.org/officeDocument/2006/relationships/hyperlink" Target="https://www.imdb.com/title/tt0257360/" TargetMode="External"/><Relationship Id="rId1812" Type="http://schemas.openxmlformats.org/officeDocument/2006/relationships/hyperlink" Target="https://www.imdb.com/title/tt0244316/" TargetMode="External"/><Relationship Id="rId1813" Type="http://schemas.openxmlformats.org/officeDocument/2006/relationships/hyperlink" Target="https://www.imdb.com/title/tt0454876/" TargetMode="External"/><Relationship Id="rId1814" Type="http://schemas.openxmlformats.org/officeDocument/2006/relationships/hyperlink" Target="https://www.imdb.com/title/tt9856336/" TargetMode="External"/><Relationship Id="rId1815" Type="http://schemas.openxmlformats.org/officeDocument/2006/relationships/hyperlink" Target="https://www.imdb.com/title/tt8009428/" TargetMode="External"/><Relationship Id="rId1816" Type="http://schemas.openxmlformats.org/officeDocument/2006/relationships/hyperlink" Target="https://www.imdb.com/title/tt1130981/" TargetMode="External"/><Relationship Id="rId1817" Type="http://schemas.openxmlformats.org/officeDocument/2006/relationships/hyperlink" Target="https://www.imdb.com/title/tt13589392/" TargetMode="External"/><Relationship Id="rId1818" Type="http://schemas.openxmlformats.org/officeDocument/2006/relationships/hyperlink" Target="https://www.imdb.com/title/tt4540710/" TargetMode="External"/><Relationship Id="rId1819" Type="http://schemas.openxmlformats.org/officeDocument/2006/relationships/hyperlink" Target="https://www.imdb.com/title/tt1024648/" TargetMode="External"/><Relationship Id="rId1820" Type="http://schemas.openxmlformats.org/officeDocument/2006/relationships/hyperlink" Target="https://www.imdb.com/title/tt15301048/" TargetMode="External"/><Relationship Id="rId1821" Type="http://schemas.openxmlformats.org/officeDocument/2006/relationships/hyperlink" Target="https://www.imdb.com/title/tt23725134/" TargetMode="External"/><Relationship Id="rId1822" Type="http://schemas.openxmlformats.org/officeDocument/2006/relationships/hyperlink" Target="https://www.imdb.com/title/tt7340738/" TargetMode="External"/><Relationship Id="rId1823" Type="http://schemas.openxmlformats.org/officeDocument/2006/relationships/hyperlink" Target="https://www.imdb.com/title/tt5221584/" TargetMode="External"/><Relationship Id="rId1824" Type="http://schemas.openxmlformats.org/officeDocument/2006/relationships/hyperlink" Target="https://www.imdb.com/title/tt4995540/" TargetMode="External"/><Relationship Id="rId1825" Type="http://schemas.openxmlformats.org/officeDocument/2006/relationships/hyperlink" Target="https://www.imdb.com/title/tt0472043/" TargetMode="External"/><Relationship Id="rId1826" Type="http://schemas.openxmlformats.org/officeDocument/2006/relationships/hyperlink" Target="https://www.imdb.com/title/tt0078788/" TargetMode="External"/><Relationship Id="rId1827" Type="http://schemas.openxmlformats.org/officeDocument/2006/relationships/hyperlink" Target="https://www.imdb.com/title/tt2474932/" TargetMode="External"/><Relationship Id="rId1828" Type="http://schemas.openxmlformats.org/officeDocument/2006/relationships/hyperlink" Target="https://www.imdb.com/title/tt1294688/" TargetMode="External"/><Relationship Id="rId1829" Type="http://schemas.openxmlformats.org/officeDocument/2006/relationships/hyperlink" Target="https://www.imdb.com/title/tt30876484/" TargetMode="External"/><Relationship Id="rId1830" Type="http://schemas.openxmlformats.org/officeDocument/2006/relationships/hyperlink" Target="https://www.imdb.com/title/tt0460890/" TargetMode="External"/><Relationship Id="rId1831" Type="http://schemas.openxmlformats.org/officeDocument/2006/relationships/hyperlink" Target="https://www.imdb.com/title/tt6932818/" TargetMode="External"/><Relationship Id="rId1832" Type="http://schemas.openxmlformats.org/officeDocument/2006/relationships/hyperlink" Target="https://www.imdb.com/title/tt1465474/" TargetMode="External"/><Relationship Id="rId1833" Type="http://schemas.openxmlformats.org/officeDocument/2006/relationships/hyperlink" Target="https://www.imdb.com/title/tt6544318/" TargetMode="External"/><Relationship Id="rId1834" Type="http://schemas.openxmlformats.org/officeDocument/2006/relationships/hyperlink" Target="https://www.imdb.com/title/tt0381681/" TargetMode="External"/><Relationship Id="rId1835" Type="http://schemas.openxmlformats.org/officeDocument/2006/relationships/hyperlink" Target="https://www.imdb.com/title/tt0112471/" TargetMode="External"/><Relationship Id="rId1836" Type="http://schemas.openxmlformats.org/officeDocument/2006/relationships/hyperlink" Target="https://www.imdb.com/title/tt0825232/" TargetMode="External"/><Relationship Id="rId1837" Type="http://schemas.openxmlformats.org/officeDocument/2006/relationships/hyperlink" Target="https://www.imdb.com/title/tt2209418/" TargetMode="External"/><Relationship Id="rId1838" Type="http://schemas.openxmlformats.org/officeDocument/2006/relationships/hyperlink" Target="https://www.imdb.com/title/tt0110882/" TargetMode="External"/><Relationship Id="rId1839" Type="http://schemas.openxmlformats.org/officeDocument/2006/relationships/hyperlink" Target="https://www.imdb.com/title/tt28607951/" TargetMode="External"/><Relationship Id="rId1840" Type="http://schemas.openxmlformats.org/officeDocument/2006/relationships/hyperlink" Target="https://www.imdb.com/title/tt7888964/" TargetMode="External"/><Relationship Id="rId1841" Type="http://schemas.openxmlformats.org/officeDocument/2006/relationships/hyperlink" Target="https://www.imdb.com/title/tt9850370/" TargetMode="External"/><Relationship Id="rId1842" Type="http://schemas.openxmlformats.org/officeDocument/2006/relationships/hyperlink" Target="https://www.imdb.com/title/tt10360772/" TargetMode="External"/><Relationship Id="rId1843" Type="http://schemas.openxmlformats.org/officeDocument/2006/relationships/hyperlink" Target="https://www.imdb.com/title/tt5421602/" TargetMode="External"/><Relationship Id="rId1844" Type="http://schemas.openxmlformats.org/officeDocument/2006/relationships/hyperlink" Target="https://www.imdb.com/title/tt4550098/" TargetMode="External"/><Relationship Id="rId1845" Type="http://schemas.openxmlformats.org/officeDocument/2006/relationships/hyperlink" Target="https://www.imdb.com/title/tt31632254/" TargetMode="External"/><Relationship Id="rId1846" Type="http://schemas.openxmlformats.org/officeDocument/2006/relationships/hyperlink" Target="https://www.imdb.com/title/tt28118695/" TargetMode="External"/><Relationship Id="rId1847" Type="http://schemas.openxmlformats.org/officeDocument/2006/relationships/hyperlink" Target="https://www.imdb.com/title/tt17009710/" TargetMode="External"/><Relationship Id="rId1848" Type="http://schemas.openxmlformats.org/officeDocument/2006/relationships/hyperlink" Target="https://www.imdb.com/title/tt12748084/" TargetMode="External"/><Relationship Id="rId1849" Type="http://schemas.openxmlformats.org/officeDocument/2006/relationships/hyperlink" Target="https://www.imdb.com/title/tt13406036/" TargetMode="External"/><Relationship Id="rId1850" Type="http://schemas.openxmlformats.org/officeDocument/2006/relationships/hyperlink" Target="https://www.imdb.com/title/tt1602620/" TargetMode="External"/><Relationship Id="rId1851" Type="http://schemas.openxmlformats.org/officeDocument/2006/relationships/hyperlink" Target="https://www.imdb.com/title/tt20194882/" TargetMode="External"/><Relationship Id="rId1852" Type="http://schemas.openxmlformats.org/officeDocument/2006/relationships/hyperlink" Target="https://www.imdb.com/title/tt0245712/" TargetMode="External"/><Relationship Id="rId1853" Type="http://schemas.openxmlformats.org/officeDocument/2006/relationships/hyperlink" Target="https://www.imdb.com/title/tt3581652/" TargetMode="External"/><Relationship Id="rId1854" Type="http://schemas.openxmlformats.org/officeDocument/2006/relationships/hyperlink" Target="https://www.imdb.com/title/tt0294357/" TargetMode="External"/><Relationship Id="rId1855" Type="http://schemas.openxmlformats.org/officeDocument/2006/relationships/hyperlink" Target="https://www.imdb.com/title/tt1193138/" TargetMode="External"/><Relationship Id="rId1856" Type="http://schemas.openxmlformats.org/officeDocument/2006/relationships/hyperlink" Target="https://www.imdb.com/title/tt1595656/" TargetMode="External"/><Relationship Id="rId1857" Type="http://schemas.openxmlformats.org/officeDocument/2006/relationships/hyperlink" Target="https://www.imdb.com/title/tt8543390/" TargetMode="External"/><Relationship Id="rId1858" Type="http://schemas.openxmlformats.org/officeDocument/2006/relationships/hyperlink" Target="https://www.imdb.com/title/tt11100856/" TargetMode="External"/><Relationship Id="rId1859" Type="http://schemas.openxmlformats.org/officeDocument/2006/relationships/hyperlink" Target="https://www.imdb.com/title/tt0819714/" TargetMode="External"/><Relationship Id="rId1860" Type="http://schemas.openxmlformats.org/officeDocument/2006/relationships/hyperlink" Target="https://www.imdb.com/title/tt26596953/" TargetMode="External"/><Relationship Id="rId1861" Type="http://schemas.openxmlformats.org/officeDocument/2006/relationships/hyperlink" Target="https://www.imdb.com/title/tt9860728/" TargetMode="External"/><Relationship Id="rId1862" Type="http://schemas.openxmlformats.org/officeDocument/2006/relationships/hyperlink" Target="https://www.imdb.com/title/tt14586350/" TargetMode="External"/><Relationship Id="rId1863" Type="http://schemas.openxmlformats.org/officeDocument/2006/relationships/hyperlink" Target="https://www.imdb.com/title/tt11365186/" TargetMode="External"/><Relationship Id="rId1864" Type="http://schemas.openxmlformats.org/officeDocument/2006/relationships/hyperlink" Target="https://www.imdb.com/title/tt4058218/" TargetMode="External"/><Relationship Id="rId1865" Type="http://schemas.openxmlformats.org/officeDocument/2006/relationships/hyperlink" Target="https://www.imdb.com/title/tt14463514/" TargetMode="External"/><Relationship Id="rId1866" Type="http://schemas.openxmlformats.org/officeDocument/2006/relationships/hyperlink" Target="https://www.imdb.com/title/tt1570728/" TargetMode="External"/><Relationship Id="rId1867" Type="http://schemas.openxmlformats.org/officeDocument/2006/relationships/hyperlink" Target="https://www.imdb.com/title/tt0313737/" TargetMode="External"/><Relationship Id="rId1868" Type="http://schemas.openxmlformats.org/officeDocument/2006/relationships/hyperlink" Target="https://www.imdb.com/title/tt0118694/" TargetMode="External"/><Relationship Id="rId1869" Type="http://schemas.openxmlformats.org/officeDocument/2006/relationships/hyperlink" Target="https://www.imdb.com/title/tt0491203/" TargetMode="External"/><Relationship Id="rId1870" Type="http://schemas.openxmlformats.org/officeDocument/2006/relationships/hyperlink" Target="https://www.imdb.com/title/tt1602620/" TargetMode="External"/><Relationship Id="rId1871" Type="http://schemas.openxmlformats.org/officeDocument/2006/relationships/hyperlink" Target="https://www.imdb.com/title/tt7983894/" TargetMode="External"/><Relationship Id="rId1872" Type="http://schemas.openxmlformats.org/officeDocument/2006/relationships/hyperlink" Target="https://www.imdb.com/title/tt2452386/" TargetMode="External"/><Relationship Id="rId1873" Type="http://schemas.openxmlformats.org/officeDocument/2006/relationships/hyperlink" Target="https://www.imdb.com/title/tt0118607/" TargetMode="External"/><Relationship Id="rId1874" Type="http://schemas.openxmlformats.org/officeDocument/2006/relationships/hyperlink" Target="https://www.imdb.com/title/tt5968748/" TargetMode="External"/><Relationship Id="rId1875" Type="http://schemas.openxmlformats.org/officeDocument/2006/relationships/hyperlink" Target="https://www.imdb.com/title/tt23561236/" TargetMode="External"/><Relationship Id="rId1876" Type="http://schemas.openxmlformats.org/officeDocument/2006/relationships/hyperlink" Target="https://www.imdb.com/title/tt3395584/" TargetMode="External"/><Relationship Id="rId1877" Type="http://schemas.openxmlformats.org/officeDocument/2006/relationships/hyperlink" Target="https://www.imdb.com/title/tt10091828/" TargetMode="External"/><Relationship Id="rId1878" Type="http://schemas.openxmlformats.org/officeDocument/2006/relationships/hyperlink" Target="https://www.imdb.com/title/tt0081344/" TargetMode="External"/><Relationship Id="rId1879" Type="http://schemas.openxmlformats.org/officeDocument/2006/relationships/hyperlink" Target="https://www.imdb.com/title/tt0071129/" TargetMode="External"/><Relationship Id="rId1880" Type="http://schemas.openxmlformats.org/officeDocument/2006/relationships/hyperlink" Target="https://www.imdb.com/title/tt1103275/" TargetMode="External"/><Relationship Id="rId1881" Type="http://schemas.openxmlformats.org/officeDocument/2006/relationships/hyperlink" Target="https://www.imdb.com/title/tt2258345/" TargetMode="External"/><Relationship Id="rId1882" Type="http://schemas.openxmlformats.org/officeDocument/2006/relationships/hyperlink" Target="https://www.imdb.com/title/tt13161356/" TargetMode="External"/><Relationship Id="rId1883" Type="http://schemas.openxmlformats.org/officeDocument/2006/relationships/hyperlink" Target="https://www.imdb.com/title/tt0086879/" TargetMode="External"/><Relationship Id="rId1884" Type="http://schemas.openxmlformats.org/officeDocument/2006/relationships/hyperlink" Target="https://www.imdb.com/title/tt0064418/" TargetMode="External"/><Relationship Id="rId1885" Type="http://schemas.openxmlformats.org/officeDocument/2006/relationships/hyperlink" Target="https://www.imdb.com/title/tt13990468/" TargetMode="External"/><Relationship Id="rId1886" Type="http://schemas.openxmlformats.org/officeDocument/2006/relationships/hyperlink" Target="https://www.imdb.com/title/tt31314751/" TargetMode="External"/><Relationship Id="rId1887" Type="http://schemas.openxmlformats.org/officeDocument/2006/relationships/hyperlink" Target="https://www.imdb.com/title/tt1034007/" TargetMode="External"/><Relationship Id="rId1888" Type="http://schemas.openxmlformats.org/officeDocument/2006/relationships/hyperlink" Target="https://www.imdb.com/title/tt3640424/" TargetMode="External"/><Relationship Id="rId1889" Type="http://schemas.openxmlformats.org/officeDocument/2006/relationships/hyperlink" Target="https://www.imdb.com/title/tt9848668/" TargetMode="External"/><Relationship Id="rId1890" Type="http://schemas.openxmlformats.org/officeDocument/2006/relationships/hyperlink" Target="https://www.imdb.com/title/tt2258281/" TargetMode="External"/><Relationship Id="rId1891" Type="http://schemas.openxmlformats.org/officeDocument/2006/relationships/hyperlink" Target="https://www.imdb.com/title/tt0120863/" TargetMode="External"/><Relationship Id="rId1892" Type="http://schemas.openxmlformats.org/officeDocument/2006/relationships/hyperlink" Target="https://www.imdb.com/title/tt1602098/" TargetMode="External"/><Relationship Id="rId1893" Type="http://schemas.openxmlformats.org/officeDocument/2006/relationships/hyperlink" Target="https://www.imdb.com/title/tt12446242/" TargetMode="External"/><Relationship Id="rId1894" Type="http://schemas.openxmlformats.org/officeDocument/2006/relationships/hyperlink" Target="https://www.imdb.com/title/tt2024519/" TargetMode="External"/><Relationship Id="rId1895" Type="http://schemas.openxmlformats.org/officeDocument/2006/relationships/hyperlink" Target="https://www.imdb.com/title/tt7035576/" TargetMode="External"/><Relationship Id="rId1896" Type="http://schemas.openxmlformats.org/officeDocument/2006/relationships/hyperlink" Target="https://www.imdb.com/title/tt19264600/" TargetMode="External"/><Relationship Id="rId1897" Type="http://schemas.openxmlformats.org/officeDocument/2006/relationships/hyperlink" Target="https://www.imdb.com/title/tt1077262/" TargetMode="External"/><Relationship Id="rId1898" Type="http://schemas.openxmlformats.org/officeDocument/2006/relationships/hyperlink" Target="https://www.imdb.com/title/tt16419074/" TargetMode="External"/><Relationship Id="rId1899" Type="http://schemas.openxmlformats.org/officeDocument/2006/relationships/hyperlink" Target="https://www.imdb.com/title/tt21800162/" TargetMode="External"/><Relationship Id="rId1900" Type="http://schemas.openxmlformats.org/officeDocument/2006/relationships/hyperlink" Target="https://www.imdb.com/title/tt14961016/" TargetMode="External"/><Relationship Id="rId1901" Type="http://schemas.openxmlformats.org/officeDocument/2006/relationships/hyperlink" Target="https://www.imdb.com/title/tt9032310/" TargetMode="External"/><Relationship Id="rId1902" Type="http://schemas.openxmlformats.org/officeDocument/2006/relationships/hyperlink" Target="https://www.imdb.com/title/tt4370784/" TargetMode="External"/><Relationship Id="rId1903" Type="http://schemas.openxmlformats.org/officeDocument/2006/relationships/hyperlink" Target="https://www.imdb.com/title/tt11394298/" TargetMode="External"/><Relationship Id="rId1904" Type="http://schemas.openxmlformats.org/officeDocument/2006/relationships/hyperlink" Target="https://www.imdb.com/title/tt19770238/" TargetMode="External"/><Relationship Id="rId1905" Type="http://schemas.openxmlformats.org/officeDocument/2006/relationships/hyperlink" Target="https://www.imdb.com/title/tt8398600/" TargetMode="External"/><Relationship Id="rId1906" Type="http://schemas.openxmlformats.org/officeDocument/2006/relationships/hyperlink" Target="https://www.imdb.com/title/tt26440619/" TargetMode="External"/><Relationship Id="rId1907" Type="http://schemas.openxmlformats.org/officeDocument/2006/relationships/hyperlink" Target="https://www.imdb.com/title/tt9616700/" TargetMode="External"/><Relationship Id="rId1908" Type="http://schemas.openxmlformats.org/officeDocument/2006/relationships/hyperlink" Target="https://www.imdb.com/title/tt3281548/" TargetMode="External"/><Relationship Id="rId1909" Type="http://schemas.openxmlformats.org/officeDocument/2006/relationships/hyperlink" Target="https://www.imdb.com/title/tt0110367/" TargetMode="External"/><Relationship Id="rId1910" Type="http://schemas.openxmlformats.org/officeDocument/2006/relationships/hyperlink" Target="https://www.imdb.com/title/tt31806037/" TargetMode="External"/><Relationship Id="rId1911" Type="http://schemas.openxmlformats.org/officeDocument/2006/relationships/hyperlink" Target="https://www.imdb.com/title/tt0092593/" TargetMode="External"/><Relationship Id="rId1912" Type="http://schemas.openxmlformats.org/officeDocument/2006/relationships/hyperlink" Target="https://www.imdb.com/title/tt0301357/" TargetMode="External"/><Relationship Id="rId1913" Type="http://schemas.openxmlformats.org/officeDocument/2006/relationships/hyperlink" Target="https://www.imdb.com/title/tt35766629/" TargetMode="External"/><Relationship Id="rId1914" Type="http://schemas.openxmlformats.org/officeDocument/2006/relationships/hyperlink" Target="https://www.imdb.com/title/tt0268126/" TargetMode="External"/><Relationship Id="rId1915" Type="http://schemas.openxmlformats.org/officeDocument/2006/relationships/hyperlink" Target="https://www.imdb.com/title/tt1185836/" TargetMode="External"/><Relationship Id="rId1916" Type="http://schemas.openxmlformats.org/officeDocument/2006/relationships/hyperlink" Target="https://www.imdb.com/title/tt0445922/" TargetMode="External"/><Relationship Id="rId1917" Type="http://schemas.openxmlformats.org/officeDocument/2006/relationships/hyperlink" Target="https://www.imdb.com/title/tt6063050/" TargetMode="External"/><Relationship Id="rId1918" Type="http://schemas.openxmlformats.org/officeDocument/2006/relationships/hyperlink" Target="https://www.imdb.com/title/tt9072202/" TargetMode="External"/><Relationship Id="rId1919" Type="http://schemas.openxmlformats.org/officeDocument/2006/relationships/hyperlink" Target="https://www.imdb.com/title/tt17677860/" TargetMode="External"/><Relationship Id="rId1920" Type="http://schemas.openxmlformats.org/officeDocument/2006/relationships/hyperlink" Target="https://www.imdb.com/title/tt6794990/" TargetMode="External"/><Relationship Id="rId1921" Type="http://schemas.openxmlformats.org/officeDocument/2006/relationships/hyperlink" Target="https://www.imdb.com/title/tt0291003/" TargetMode="External"/><Relationship Id="rId1922" Type="http://schemas.openxmlformats.org/officeDocument/2006/relationships/hyperlink" Target="https://www.imdb.com/title/tt9845564/" TargetMode="External"/><Relationship Id="rId1923" Type="http://schemas.openxmlformats.org/officeDocument/2006/relationships/hyperlink" Target="https://www.imdb.com/title/tt1280558/" TargetMode="External"/><Relationship Id="rId1924" Type="http://schemas.openxmlformats.org/officeDocument/2006/relationships/hyperlink" Target="https://www.imdb.com/title/tt10514222/" TargetMode="External"/><Relationship Id="rId1925" Type="http://schemas.openxmlformats.org/officeDocument/2006/relationships/hyperlink" Target="https://www.imdb.com/title/tt10083340/" TargetMode="External"/><Relationship Id="rId1926" Type="http://schemas.openxmlformats.org/officeDocument/2006/relationships/hyperlink" Target="https://www.imdb.com/title/tt0372824/" TargetMode="External"/><Relationship Id="rId1927" Type="http://schemas.openxmlformats.org/officeDocument/2006/relationships/hyperlink" Target="https://www.imdb.com/title/tt36943034/" TargetMode="External"/><Relationship Id="rId1928" Type="http://schemas.openxmlformats.org/officeDocument/2006/relationships/hyperlink" Target="https://www.imdb.com/title/tt9174578/" TargetMode="External"/><Relationship Id="rId1929" Type="http://schemas.openxmlformats.org/officeDocument/2006/relationships/hyperlink" Target="https://www.imdb.com/title/tt34962891/" TargetMode="External"/><Relationship Id="rId1930" Type="http://schemas.openxmlformats.org/officeDocument/2006/relationships/hyperlink" Target="https://www.imdb.com/title/tt3234122/" TargetMode="External"/><Relationship Id="rId1931" Type="http://schemas.openxmlformats.org/officeDocument/2006/relationships/hyperlink" Target="https://www.imdb.com/title/tt27599713/" TargetMode="External"/><Relationship Id="rId1932" Type="http://schemas.openxmlformats.org/officeDocument/2006/relationships/hyperlink" Target="https://www.imdb.com/title/tt0052369/" TargetMode="External"/><Relationship Id="rId1933" Type="http://schemas.openxmlformats.org/officeDocument/2006/relationships/hyperlink" Target="https://www.imdb.com/title/tt2910904/" TargetMode="External"/><Relationship Id="rId1934" Type="http://schemas.openxmlformats.org/officeDocument/2006/relationships/hyperlink" Target="https://www.imdb.com/title/tt12546872/" TargetMode="External"/><Relationship Id="rId1935" Type="http://schemas.openxmlformats.org/officeDocument/2006/relationships/hyperlink" Target="https://www.imdb.com/title/tt0382330/" TargetMode="External"/><Relationship Id="rId1936" Type="http://schemas.openxmlformats.org/officeDocument/2006/relationships/hyperlink" Target="https://www.imdb.com/title/tt5989218/" TargetMode="External"/><Relationship Id="rId1937" Type="http://schemas.openxmlformats.org/officeDocument/2006/relationships/hyperlink" Target="https://www.imdb.com/title/tt0118799/" TargetMode="External"/><Relationship Id="rId1938" Type="http://schemas.openxmlformats.org/officeDocument/2006/relationships/hyperlink" Target="https://www.imdb.com/title/tt10944596/" TargetMode="External"/><Relationship Id="rId1939" Type="http://schemas.openxmlformats.org/officeDocument/2006/relationships/hyperlink" Target="https://www.imdb.com/title/tt8771910/" TargetMode="External"/><Relationship Id="rId1940" Type="http://schemas.openxmlformats.org/officeDocument/2006/relationships/hyperlink" Target="https://www.imdb.com/title/tt0405094/" TargetMode="External"/><Relationship Id="rId1941" Type="http://schemas.openxmlformats.org/officeDocument/2006/relationships/hyperlink" Target="https://www.imdb.com/title/tt5078134/" TargetMode="External"/><Relationship Id="rId1942" Type="http://schemas.openxmlformats.org/officeDocument/2006/relationships/hyperlink" Target="https://www.imdb.com/title/tt0289992/" TargetMode="External"/><Relationship Id="rId1943" Type="http://schemas.openxmlformats.org/officeDocument/2006/relationships/hyperlink" Target="https://www.imdb.com/title/tt21823606/" TargetMode="External"/><Relationship Id="rId1944" Type="http://schemas.openxmlformats.org/officeDocument/2006/relationships/hyperlink" Target="https://www.imdb.com/title/tt1527793/" TargetMode="External"/><Relationship Id="rId1945" Type="http://schemas.openxmlformats.org/officeDocument/2006/relationships/hyperlink" Target="https://www.imdb.com/title/tt20420628/" TargetMode="External"/><Relationship Id="rId1946" Type="http://schemas.openxmlformats.org/officeDocument/2006/relationships/hyperlink" Target="https://www.imdb.com/title/tt7090140/" TargetMode="External"/><Relationship Id="rId1947" Type="http://schemas.openxmlformats.org/officeDocument/2006/relationships/hyperlink" Target="https://www.imdb.com/title/tt0307901/" TargetMode="External"/><Relationship Id="rId1948" Type="http://schemas.openxmlformats.org/officeDocument/2006/relationships/hyperlink" Target="https://www.imdb.com/title/tt0070290/" TargetMode="External"/><Relationship Id="rId1949" Type="http://schemas.openxmlformats.org/officeDocument/2006/relationships/hyperlink" Target="https://www.imdb.com/title/tt6961808/" TargetMode="External"/><Relationship Id="rId1950" Type="http://schemas.openxmlformats.org/officeDocument/2006/relationships/hyperlink" Target="https://www.imdb.com/title/tt3286560/" TargetMode="External"/><Relationship Id="rId1951" Type="http://schemas.openxmlformats.org/officeDocument/2006/relationships/hyperlink" Target="https://www.imdb.com/title/tt0824758/" TargetMode="External"/><Relationship Id="rId1952" Type="http://schemas.openxmlformats.org/officeDocument/2006/relationships/hyperlink" Target="https://www.imdb.com/title/tt0285742/" TargetMode="External"/><Relationship Id="rId1953" Type="http://schemas.openxmlformats.org/officeDocument/2006/relationships/hyperlink" Target="https://www.imdb.com/title/tt1893273/" TargetMode="External"/><Relationship Id="rId1954" Type="http://schemas.openxmlformats.org/officeDocument/2006/relationships/hyperlink" Target="https://www.imdb.com/title/tt0824747/" TargetMode="External"/><Relationship Id="rId1955" Type="http://schemas.openxmlformats.org/officeDocument/2006/relationships/hyperlink" Target="https://www.imdb.com/title/tt0971209/" TargetMode="External"/><Relationship Id="rId1956" Type="http://schemas.openxmlformats.org/officeDocument/2006/relationships/hyperlink" Target="https://www.imdb.com/title/tt3488710/" TargetMode="External"/><Relationship Id="rId1957" Type="http://schemas.openxmlformats.org/officeDocument/2006/relationships/hyperlink" Target="https://www.imdb.com/title/tt1206488/" TargetMode="External"/><Relationship Id="rId1958" Type="http://schemas.openxmlformats.org/officeDocument/2006/relationships/hyperlink" Target="https://www.imdb.com/title/tt2980516/" TargetMode="External"/><Relationship Id="rId1959" Type="http://schemas.openxmlformats.org/officeDocument/2006/relationships/hyperlink" Target="https://www.imdb.com/title/tt17526714/" TargetMode="External"/><Relationship Id="rId1960" Type="http://schemas.openxmlformats.org/officeDocument/2006/relationships/hyperlink" Target="https://www.imdb.com/title/tt1289403/" TargetMode="External"/><Relationship Id="rId1961" Type="http://schemas.openxmlformats.org/officeDocument/2006/relationships/hyperlink" Target="https://www.imdb.com/title/tt16277242/" TargetMode="External"/><Relationship Id="rId1962" Type="http://schemas.openxmlformats.org/officeDocument/2006/relationships/hyperlink" Target="https://www.imdb.com/title/tt1832382/" TargetMode="External"/><Relationship Id="rId1963" Type="http://schemas.openxmlformats.org/officeDocument/2006/relationships/hyperlink" Target="https://www.imdb.com/title/tt3722070/" TargetMode="External"/><Relationship Id="rId1964" Type="http://schemas.openxmlformats.org/officeDocument/2006/relationships/hyperlink" Target="https://www.imdb.com/title/tt32178949/" TargetMode="External"/><Relationship Id="rId1965" Type="http://schemas.openxmlformats.org/officeDocument/2006/relationships/hyperlink" Target="https://www.imdb.com/title/tt8231668/" TargetMode="External"/><Relationship Id="rId1966" Type="http://schemas.openxmlformats.org/officeDocument/2006/relationships/hyperlink" Target="https://www.imdb.com/title/tt26612950/" TargetMode="External"/><Relationship Id="rId1967" Type="http://schemas.openxmlformats.org/officeDocument/2006/relationships/hyperlink" Target="https://www.imdb.com/title/tt0260615/" TargetMode="External"/><Relationship Id="rId1968" Type="http://schemas.openxmlformats.org/officeDocument/2006/relationships/hyperlink" Target="https://www.imdb.com/title/tt0089853/" TargetMode="External"/><Relationship Id="rId1969" Type="http://schemas.openxmlformats.org/officeDocument/2006/relationships/hyperlink" Target="https://www.imdb.com/title/tt1231587/" TargetMode="External"/><Relationship Id="rId1970" Type="http://schemas.openxmlformats.org/officeDocument/2006/relationships/hyperlink" Target="https://www.imdb.com/title/tt33496221/" TargetMode="External"/><Relationship Id="rId1971" Type="http://schemas.openxmlformats.org/officeDocument/2006/relationships/hyperlink" Target="https://www.imdb.com/title/tt1285016/" TargetMode="External"/><Relationship Id="rId1972" Type="http://schemas.openxmlformats.org/officeDocument/2006/relationships/hyperlink" Target="https://www.imdb.com/title/tt0436697/" TargetMode="External"/><Relationship Id="rId1973" Type="http://schemas.openxmlformats.org/officeDocument/2006/relationships/hyperlink" Target="https://www.imdb.com/title/tt0363163/" TargetMode="External"/><Relationship Id="rId1974" Type="http://schemas.openxmlformats.org/officeDocument/2006/relationships/hyperlink" Target="https://www.imdb.com/title/tt15325794/" TargetMode="External"/><Relationship Id="rId1975" Type="http://schemas.openxmlformats.org/officeDocument/2006/relationships/hyperlink" Target="https://www.imdb.com/title/tt2582782/" TargetMode="External"/><Relationship Id="rId1976" Type="http://schemas.openxmlformats.org/officeDocument/2006/relationships/hyperlink" Target="https://www.imdb.com/title/tt4776998/" TargetMode="External"/><Relationship Id="rId1977" Type="http://schemas.openxmlformats.org/officeDocument/2006/relationships/hyperlink" Target="https://www.imdb.com/title/tt0254686/" TargetMode="External"/><Relationship Id="rId1978" Type="http://schemas.openxmlformats.org/officeDocument/2006/relationships/hyperlink" Target="https://www.imdb.com/title/tt1242545/" TargetMode="External"/><Relationship Id="rId1979" Type="http://schemas.openxmlformats.org/officeDocument/2006/relationships/hyperlink" Target="https://www.imdb.com/title/tt0454921/" TargetMode="External"/><Relationship Id="rId1980" Type="http://schemas.openxmlformats.org/officeDocument/2006/relationships/hyperlink" Target="https://www.imdb.com/title/tt2326612/" TargetMode="External"/><Relationship Id="rId1981" Type="http://schemas.openxmlformats.org/officeDocument/2006/relationships/hyperlink" Target="https://www.imdb.com/title/tt0093779/" TargetMode="External"/><Relationship Id="rId1982" Type="http://schemas.openxmlformats.org/officeDocument/2006/relationships/hyperlink" Target="https://www.imdb.com/title/tt0061722/" TargetMode="External"/><Relationship Id="rId1983" Type="http://schemas.openxmlformats.org/officeDocument/2006/relationships/hyperlink" Target="https://www.imdb.com/title/tt0050212/" TargetMode="External"/><Relationship Id="rId1984" Type="http://schemas.openxmlformats.org/officeDocument/2006/relationships/hyperlink" Target="https://www.imdb.com/title/tt10370710/" TargetMode="External"/><Relationship Id="rId1985" Type="http://schemas.openxmlformats.org/officeDocument/2006/relationships/hyperlink" Target="https://www.imdb.com/title/tt5971474/" TargetMode="External"/><Relationship Id="rId1986" Type="http://schemas.openxmlformats.org/officeDocument/2006/relationships/hyperlink" Target="https://www.imdb.com/title/tt1189073/" TargetMode="External"/><Relationship Id="rId1987" Type="http://schemas.openxmlformats.org/officeDocument/2006/relationships/hyperlink" Target="https://www.imdb.com/title/tt8740320/" TargetMode="External"/><Relationship Id="rId1988" Type="http://schemas.openxmlformats.org/officeDocument/2006/relationships/hyperlink" Target="https://www.imdb.com/title/tt1069238/" TargetMode="External"/><Relationship Id="rId1989" Type="http://schemas.openxmlformats.org/officeDocument/2006/relationships/hyperlink" Target="https://www.imdb.com/title/tt4392438/" TargetMode="External"/><Relationship Id="rId1990" Type="http://schemas.openxmlformats.org/officeDocument/2006/relationships/hyperlink" Target="https://www.imdb.com/title/tt0120586/" TargetMode="External"/><Relationship Id="rId1991" Type="http://schemas.openxmlformats.org/officeDocument/2006/relationships/hyperlink" Target="https://www.imdb.com/title/tt0467200/" TargetMode="External"/><Relationship Id="rId1992" Type="http://schemas.openxmlformats.org/officeDocument/2006/relationships/hyperlink" Target="https://www.imdb.com/title/tt10551904/" TargetMode="External"/><Relationship Id="rId1993" Type="http://schemas.openxmlformats.org/officeDocument/2006/relationships/hyperlink" Target="https://www.imdb.com/title/tt1375666/" TargetMode="External"/><Relationship Id="rId1994" Type="http://schemas.openxmlformats.org/officeDocument/2006/relationships/hyperlink" Target="https://www.imdb.com/title/tt0144542/" TargetMode="External"/><Relationship Id="rId1995" Type="http://schemas.openxmlformats.org/officeDocument/2006/relationships/hyperlink" Target="https://www.imdb.com/title/tt1063669/" TargetMode="External"/><Relationship Id="rId1996" Type="http://schemas.openxmlformats.org/officeDocument/2006/relationships/hyperlink" Target="https://www.imdb.com/title/tt10384744/" TargetMode="External"/><Relationship Id="rId1997" Type="http://schemas.openxmlformats.org/officeDocument/2006/relationships/hyperlink" Target="https://www.imdb.com/title/tt33764258/" TargetMode="External"/><Relationship Id="rId1998" Type="http://schemas.openxmlformats.org/officeDocument/2006/relationships/hyperlink" Target="https://www.imdb.com/title/tt0059742/" TargetMode="External"/><Relationship Id="rId1999" Type="http://schemas.openxmlformats.org/officeDocument/2006/relationships/hyperlink" Target="https://www.imdb.com/title/tt0038104/" TargetMode="External"/><Relationship Id="rId2000" Type="http://schemas.openxmlformats.org/officeDocument/2006/relationships/hyperlink" Target="https://www.imdb.com/title/tt10366574/" TargetMode="External"/><Relationship Id="rId2001" Type="http://schemas.openxmlformats.org/officeDocument/2006/relationships/hyperlink" Target="https://www.imdb.com/title/tt1764183/" TargetMode="External"/><Relationship Id="rId2002" Type="http://schemas.openxmlformats.org/officeDocument/2006/relationships/hyperlink" Target="https://www.imdb.com/title/tt6111574/" TargetMode="External"/><Relationship Id="rId2003" Type="http://schemas.openxmlformats.org/officeDocument/2006/relationships/hyperlink" Target="https://www.imdb.com/title/tt0082416/" TargetMode="External"/><Relationship Id="rId2004" Type="http://schemas.openxmlformats.org/officeDocument/2006/relationships/hyperlink" Target="https://www.imdb.com/title/tt27698095/" TargetMode="External"/><Relationship Id="rId2005" Type="http://schemas.openxmlformats.org/officeDocument/2006/relationships/hyperlink" Target="https://www.imdb.com/title/tt7959026/" TargetMode="External"/><Relationship Id="rId2006" Type="http://schemas.openxmlformats.org/officeDocument/2006/relationships/hyperlink" Target="https://www.imdb.com/title/tt0091064/" TargetMode="External"/><Relationship Id="rId2007" Type="http://schemas.openxmlformats.org/officeDocument/2006/relationships/hyperlink" Target="https://www.imdb.com/title/tt15109082/" TargetMode="External"/><Relationship Id="rId2008" Type="http://schemas.openxmlformats.org/officeDocument/2006/relationships/hyperlink" Target="https://www.imdb.com/title/tt0816442/" TargetMode="External"/><Relationship Id="rId2009" Type="http://schemas.openxmlformats.org/officeDocument/2006/relationships/hyperlink" Target="https://www.imdb.com/title/tt10605812/" TargetMode="External"/><Relationship Id="rId2010" Type="http://schemas.openxmlformats.org/officeDocument/2006/relationships/hyperlink" Target="https://www.imdb.com/title/tt24082488/" TargetMode="External"/><Relationship Id="rId2011" Type="http://schemas.openxmlformats.org/officeDocument/2006/relationships/hyperlink" Target="https://www.imdb.com/title/tt32260680/" TargetMode="External"/><Relationship Id="rId2012" Type="http://schemas.openxmlformats.org/officeDocument/2006/relationships/hyperlink" Target="https://www.imdb.com/title/tt28075881/" TargetMode="External"/><Relationship Id="rId2013" Type="http://schemas.openxmlformats.org/officeDocument/2006/relationships/hyperlink" Target="https://www.imdb.com/title/tt30225700/" TargetMode="External"/><Relationship Id="rId2014" Type="http://schemas.openxmlformats.org/officeDocument/2006/relationships/hyperlink" Target="https://www.imdb.com/title/tt0428803/" TargetMode="External"/><Relationship Id="rId2015" Type="http://schemas.openxmlformats.org/officeDocument/2006/relationships/hyperlink" Target="https://www.imdb.com/title/tt12680684/" TargetMode="External"/><Relationship Id="rId2016" Type="http://schemas.openxmlformats.org/officeDocument/2006/relationships/hyperlink" Target="https://www.imdb.com/title/tt0042192/" TargetMode="External"/><Relationship Id="rId2017" Type="http://schemas.openxmlformats.org/officeDocument/2006/relationships/hyperlink" Target="https://www.imdb.com/title/tt2547584/" TargetMode="External"/><Relationship Id="rId2018" Type="http://schemas.openxmlformats.org/officeDocument/2006/relationships/hyperlink" Target="https://www.imdb.com/title/tt0352248/" TargetMode="External"/><Relationship Id="rId2019" Type="http://schemas.openxmlformats.org/officeDocument/2006/relationships/hyperlink" Target="https://www.imdb.com/title/tt9242528/" TargetMode="External"/><Relationship Id="rId2020" Type="http://schemas.openxmlformats.org/officeDocument/2006/relationships/hyperlink" Target="https://www.imdb.com/title/tt0367089/" TargetMode="External"/><Relationship Id="rId2021" Type="http://schemas.openxmlformats.org/officeDocument/2006/relationships/hyperlink" Target="https://www.imdb.com/title/tt0109417/" TargetMode="External"/><Relationship Id="rId2022" Type="http://schemas.openxmlformats.org/officeDocument/2006/relationships/hyperlink" Target="https://www.imdb.com/title/tt3127022/" TargetMode="External"/><Relationship Id="rId2023" Type="http://schemas.openxmlformats.org/officeDocument/2006/relationships/hyperlink" Target="https://www.imdb.com/title/tt0108052/" TargetMode="External"/><Relationship Id="rId2024" Type="http://schemas.openxmlformats.org/officeDocument/2006/relationships/hyperlink" Target="https://www.imdb.com/title/tt2172954/" TargetMode="External"/><Relationship Id="rId2025" Type="http://schemas.openxmlformats.org/officeDocument/2006/relationships/hyperlink" Target="https://www.imdb.com/title/tt1575694/" TargetMode="External"/><Relationship Id="rId2026" Type="http://schemas.openxmlformats.org/officeDocument/2006/relationships/hyperlink" Target="https://www.imdb.com/title/tt5271772/" TargetMode="External"/><Relationship Id="rId2027" Type="http://schemas.openxmlformats.org/officeDocument/2006/relationships/hyperlink" Target="https://www.imdb.com/title/tt3958072/" TargetMode="External"/><Relationship Id="rId2028" Type="http://schemas.openxmlformats.org/officeDocument/2006/relationships/hyperlink" Target="https://www.imdb.com/title/tt0108394/" TargetMode="External"/><Relationship Id="rId2029" Type="http://schemas.openxmlformats.org/officeDocument/2006/relationships/hyperlink" Target="https://www.imdb.com/title/tt5865326/" TargetMode="External"/><Relationship Id="rId2030" Type="http://schemas.openxmlformats.org/officeDocument/2006/relationships/hyperlink" Target="https://www.imdb.com/title/tt2350496/" TargetMode="External"/><Relationship Id="rId2031" Type="http://schemas.openxmlformats.org/officeDocument/2006/relationships/hyperlink" Target="https://www.imdb.com/title/tt0116731/" TargetMode="External"/><Relationship Id="rId2032" Type="http://schemas.openxmlformats.org/officeDocument/2006/relationships/hyperlink" Target="https://www.imdb.com/title/tt7689964/" TargetMode="External"/><Relationship Id="rId2033" Type="http://schemas.openxmlformats.org/officeDocument/2006/relationships/hyperlink" Target="https://www.imdb.com/title/tt0962736/" TargetMode="External"/><Relationship Id="rId2034" Type="http://schemas.openxmlformats.org/officeDocument/2006/relationships/hyperlink" Target="https://www.imdb.com/title/tt1254322/" TargetMode="External"/><Relationship Id="rId2035" Type="http://schemas.openxmlformats.org/officeDocument/2006/relationships/hyperlink" Target="https://www.imdb.com/title/tt5177114/" TargetMode="External"/><Relationship Id="rId2036" Type="http://schemas.openxmlformats.org/officeDocument/2006/relationships/hyperlink" Target="https://www.imdb.com/title/tt0211938/" TargetMode="External"/><Relationship Id="rId2037" Type="http://schemas.openxmlformats.org/officeDocument/2006/relationships/hyperlink" Target="https://www.imdb.com/title/tt0386064/" TargetMode="External"/><Relationship Id="rId2038" Type="http://schemas.openxmlformats.org/officeDocument/2006/relationships/hyperlink" Target="https://www.imdb.com/title/tt15189534/" TargetMode="External"/><Relationship Id="rId2039" Type="http://schemas.openxmlformats.org/officeDocument/2006/relationships/hyperlink" Target="https://www.imdb.com/title/tt0970179/" TargetMode="External"/><Relationship Id="rId2040" Type="http://schemas.openxmlformats.org/officeDocument/2006/relationships/hyperlink" Target="https://www.imdb.com/title/tt4501454/" TargetMode="External"/><Relationship Id="rId2041" Type="http://schemas.openxmlformats.org/officeDocument/2006/relationships/hyperlink" Target="https://www.imdb.com/title/tt0373926/" TargetMode="External"/><Relationship Id="rId2042" Type="http://schemas.openxmlformats.org/officeDocument/2006/relationships/hyperlink" Target="https://www.imdb.com/title/tt1655441/" TargetMode="External"/><Relationship Id="rId2043" Type="http://schemas.openxmlformats.org/officeDocument/2006/relationships/hyperlink" Target="https://www.imdb.com/title/tt10287954/" TargetMode="External"/><Relationship Id="rId2044" Type="http://schemas.openxmlformats.org/officeDocument/2006/relationships/hyperlink" Target="https://www.imdb.com/title/tt13720112/" TargetMode="External"/><Relationship Id="rId2045" Type="http://schemas.openxmlformats.org/officeDocument/2006/relationships/hyperlink" Target="https://www.imdb.com/title/tt0399201/" TargetMode="External"/><Relationship Id="rId2046" Type="http://schemas.openxmlformats.org/officeDocument/2006/relationships/hyperlink" Target="https://www.imdb.com/title/tt4406178/" TargetMode="External"/><Relationship Id="rId2047" Type="http://schemas.openxmlformats.org/officeDocument/2006/relationships/hyperlink" Target="https://www.imdb.com/title/tt1790885/" TargetMode="External"/><Relationship Id="rId2048" Type="http://schemas.openxmlformats.org/officeDocument/2006/relationships/hyperlink" Target="https://www.imdb.com/title/tt2273657/" TargetMode="External"/><Relationship Id="rId2049" Type="http://schemas.openxmlformats.org/officeDocument/2006/relationships/hyperlink" Target="https://www.imdb.com/title/tt0089276/" TargetMode="External"/><Relationship Id="rId2050" Type="http://schemas.openxmlformats.org/officeDocument/2006/relationships/hyperlink" Target="https://www.imdb.com/title/tt15799524/" TargetMode="External"/><Relationship Id="rId2051" Type="http://schemas.openxmlformats.org/officeDocument/2006/relationships/hyperlink" Target="https://www.imdb.com/title/tt0443533/" TargetMode="External"/><Relationship Id="rId2052" Type="http://schemas.openxmlformats.org/officeDocument/2006/relationships/hyperlink" Target="https://www.imdb.com/title/tt0088146/" TargetMode="External"/><Relationship Id="rId2053" Type="http://schemas.openxmlformats.org/officeDocument/2006/relationships/hyperlink" Target="https://www.imdb.com/title/tt0473389/" TargetMode="External"/><Relationship Id="rId2054" Type="http://schemas.openxmlformats.org/officeDocument/2006/relationships/hyperlink" Target="https://www.imdb.com/title/tt1226753/" TargetMode="External"/><Relationship Id="rId2055" Type="http://schemas.openxmlformats.org/officeDocument/2006/relationships/hyperlink" Target="https://www.imdb.com/title/tt10426916/" TargetMode="External"/><Relationship Id="rId2056" Type="http://schemas.openxmlformats.org/officeDocument/2006/relationships/hyperlink" Target="https://www.imdb.com/title/tt4209788/" TargetMode="External"/><Relationship Id="rId2057" Type="http://schemas.openxmlformats.org/officeDocument/2006/relationships/hyperlink" Target="https://www.imdb.com/title/tt0405676/" TargetMode="External"/><Relationship Id="rId2058" Type="http://schemas.openxmlformats.org/officeDocument/2006/relationships/hyperlink" Target="https://www.imdb.com/title/tt5611024/" TargetMode="External"/><Relationship Id="rId2059" Type="http://schemas.openxmlformats.org/officeDocument/2006/relationships/hyperlink" Target="https://www.imdb.com/title/tt14124080/" TargetMode="External"/><Relationship Id="rId2060" Type="http://schemas.openxmlformats.org/officeDocument/2006/relationships/hyperlink" Target="https://www.imdb.com/title/tt23221806/" TargetMode="External"/><Relationship Id="rId2061" Type="http://schemas.openxmlformats.org/officeDocument/2006/relationships/hyperlink" Target="https://www.imdb.com/title/tt2358891/" TargetMode="External"/><Relationship Id="rId2062" Type="http://schemas.openxmlformats.org/officeDocument/2006/relationships/hyperlink" Target="https://www.imdb.com/title/tt1596363/" TargetMode="External"/><Relationship Id="rId2063" Type="http://schemas.openxmlformats.org/officeDocument/2006/relationships/hyperlink" Target="https://www.imdb.com/title/tt15006754/" TargetMode="External"/><Relationship Id="rId2064" Type="http://schemas.openxmlformats.org/officeDocument/2006/relationships/hyperlink" Target="https://www.imdb.com/title/tt3631112/" TargetMode="External"/><Relationship Id="rId2065" Type="http://schemas.openxmlformats.org/officeDocument/2006/relationships/hyperlink" Target="https://www.imdb.com/title/tt15787870/" TargetMode="External"/><Relationship Id="rId2066" Type="http://schemas.openxmlformats.org/officeDocument/2006/relationships/hyperlink" Target="https://www.imdb.com/title/tt23319892/" TargetMode="External"/><Relationship Id="rId2067" Type="http://schemas.openxmlformats.org/officeDocument/2006/relationships/hyperlink" Target="https://www.imdb.com/title/tt0076095/" TargetMode="External"/><Relationship Id="rId2068" Type="http://schemas.openxmlformats.org/officeDocument/2006/relationships/hyperlink" Target="https://www.imdb.com/title/tt0810819/" TargetMode="External"/><Relationship Id="rId2069" Type="http://schemas.openxmlformats.org/officeDocument/2006/relationships/hyperlink" Target="https://www.imdb.com/title/tt13968792/" TargetMode="External"/><Relationship Id="rId2070" Type="http://schemas.openxmlformats.org/officeDocument/2006/relationships/hyperlink" Target="https://www.imdb.com/title/tt21059520/" TargetMode="External"/><Relationship Id="rId2071" Type="http://schemas.openxmlformats.org/officeDocument/2006/relationships/hyperlink" Target="https://www.imdb.com/title/tt10236164/" TargetMode="External"/><Relationship Id="rId2072" Type="http://schemas.openxmlformats.org/officeDocument/2006/relationships/hyperlink" Target="https://www.imdb.com/title/tt27722618/" TargetMode="External"/><Relationship Id="rId2073" Type="http://schemas.openxmlformats.org/officeDocument/2006/relationships/hyperlink" Target="https://www.imdb.com/title/tt13321730/" TargetMode="External"/><Relationship Id="rId2074" Type="http://schemas.openxmlformats.org/officeDocument/2006/relationships/hyperlink" Target="https://www.imdb.com/title/tt0111495/" TargetMode="External"/><Relationship Id="rId2075" Type="http://schemas.openxmlformats.org/officeDocument/2006/relationships/hyperlink" Target="https://www.imdb.com/title/tt5580390/" TargetMode="External"/><Relationship Id="rId2076" Type="http://schemas.openxmlformats.org/officeDocument/2006/relationships/hyperlink" Target="https://www.imdb.com/title/tt0084434/" TargetMode="External"/><Relationship Id="rId2077" Type="http://schemas.openxmlformats.org/officeDocument/2006/relationships/hyperlink" Target="https://www.imdb.com/title/tt0113083/" TargetMode="External"/><Relationship Id="rId2078" Type="http://schemas.openxmlformats.org/officeDocument/2006/relationships/hyperlink" Target="https://www.imdb.com/title/tt1149362/" TargetMode="External"/><Relationship Id="rId2079" Type="http://schemas.openxmlformats.org/officeDocument/2006/relationships/hyperlink" Target="https://www.imdb.com/title/tt9100054/" TargetMode="External"/><Relationship Id="rId2080" Type="http://schemas.openxmlformats.org/officeDocument/2006/relationships/hyperlink" Target="https://www.imdb.com/title/tt0144214/" TargetMode="External"/><Relationship Id="rId2081" Type="http://schemas.openxmlformats.org/officeDocument/2006/relationships/hyperlink" Target="https://www.imdb.com/title/tt0038650/" TargetMode="External"/><Relationship Id="rId2082" Type="http://schemas.openxmlformats.org/officeDocument/2006/relationships/hyperlink" Target="https://www.imdb.com/title/tt1820488/" TargetMode="External"/><Relationship Id="rId2083" Type="http://schemas.openxmlformats.org/officeDocument/2006/relationships/hyperlink" Target="https://www.imdb.com/title/tt5083738/" TargetMode="External"/><Relationship Id="rId2084" Type="http://schemas.openxmlformats.org/officeDocument/2006/relationships/hyperlink" Target="https://www.imdb.com/title/tt0367594/" TargetMode="External"/><Relationship Id="rId2085" Type="http://schemas.openxmlformats.org/officeDocument/2006/relationships/hyperlink" Target="https://www.imdb.com/title/tt11924738/" TargetMode="External"/><Relationship Id="rId2086" Type="http://schemas.openxmlformats.org/officeDocument/2006/relationships/hyperlink" Target="https://www.imdb.com/title/tt3547740/" TargetMode="External"/><Relationship Id="rId2087" Type="http://schemas.openxmlformats.org/officeDocument/2006/relationships/hyperlink" Target="https://www.imdb.com/title/tt1226766/" TargetMode="External"/><Relationship Id="rId2088" Type="http://schemas.openxmlformats.org/officeDocument/2006/relationships/hyperlink" Target="https://www.imdb.com/title/tt19811010/" TargetMode="External"/><Relationship Id="rId2089" Type="http://schemas.openxmlformats.org/officeDocument/2006/relationships/hyperlink" Target="https://www.imdb.com/title/tt0457433/" TargetMode="External"/><Relationship Id="rId2090" Type="http://schemas.openxmlformats.org/officeDocument/2006/relationships/hyperlink" Target="https://www.imdb.com/title/tt2027140/" TargetMode="External"/><Relationship Id="rId2091" Type="http://schemas.openxmlformats.org/officeDocument/2006/relationships/hyperlink" Target="https://www.imdb.com/title/tt17538510/" TargetMode="External"/><Relationship Id="rId2092" Type="http://schemas.openxmlformats.org/officeDocument/2006/relationships/hyperlink" Target="https://www.imdb.com/title/tt3750872/" TargetMode="External"/><Relationship Id="rId2093" Type="http://schemas.openxmlformats.org/officeDocument/2006/relationships/hyperlink" Target="https://www.imdb.com/title/tt8435308/" TargetMode="External"/><Relationship Id="rId2094" Type="http://schemas.openxmlformats.org/officeDocument/2006/relationships/hyperlink" Target="https://www.imdb.com/title/tt0120689/" TargetMode="External"/><Relationship Id="rId2095" Type="http://schemas.openxmlformats.org/officeDocument/2006/relationships/hyperlink" Target="https://www.imdb.com/title/tt0084707/" TargetMode="External"/><Relationship Id="rId2096" Type="http://schemas.openxmlformats.org/officeDocument/2006/relationships/hyperlink" Target="https://www.imdb.com/title/tt3661210/" TargetMode="External"/><Relationship Id="rId2097" Type="http://schemas.openxmlformats.org/officeDocument/2006/relationships/hyperlink" Target="https://www.imdb.com/title/tt11324406/" TargetMode="External"/><Relationship Id="rId2098" Type="http://schemas.openxmlformats.org/officeDocument/2006/relationships/hyperlink" Target="https://www.imdb.com/title/tt0438097/" TargetMode="External"/><Relationship Id="rId2099" Type="http://schemas.openxmlformats.org/officeDocument/2006/relationships/hyperlink" Target="https://www.imdb.com/title/tt27543632/" TargetMode="External"/><Relationship Id="rId2100" Type="http://schemas.openxmlformats.org/officeDocument/2006/relationships/hyperlink" Target="https://www.imdb.com/title/tt10438500/" TargetMode="External"/><Relationship Id="rId2101" Type="http://schemas.openxmlformats.org/officeDocument/2006/relationships/hyperlink" Target="https://www.imdb.com/title/tt8637428/" TargetMode="External"/><Relationship Id="rId2102" Type="http://schemas.openxmlformats.org/officeDocument/2006/relationships/hyperlink" Target="https://www.imdb.com/title/tt9731242/" TargetMode="External"/><Relationship Id="rId2103" Type="http://schemas.openxmlformats.org/officeDocument/2006/relationships/hyperlink" Target="https://www.imdb.com/title/tt7197544/" TargetMode="External"/><Relationship Id="rId2104" Type="http://schemas.openxmlformats.org/officeDocument/2006/relationships/hyperlink" Target="https://www.imdb.com/title/tt1828995/" TargetMode="External"/><Relationship Id="rId2105" Type="http://schemas.openxmlformats.org/officeDocument/2006/relationships/hyperlink" Target="https://www.imdb.com/title/tt0120643/" TargetMode="External"/><Relationship Id="rId2106" Type="http://schemas.openxmlformats.org/officeDocument/2006/relationships/hyperlink" Target="https://www.imdb.com/title/tt2404425/" TargetMode="External"/><Relationship Id="rId2107" Type="http://schemas.openxmlformats.org/officeDocument/2006/relationships/hyperlink" Target="https://www.imdb.com/title/tt0088414/" TargetMode="External"/><Relationship Id="rId2108" Type="http://schemas.openxmlformats.org/officeDocument/2006/relationships/hyperlink" Target="https://www.imdb.com/title/tt2582846/" TargetMode="External"/><Relationship Id="rId2109" Type="http://schemas.openxmlformats.org/officeDocument/2006/relationships/hyperlink" Target="https://www.imdb.com/title/tt1187044/" TargetMode="External"/><Relationship Id="rId2110" Type="http://schemas.openxmlformats.org/officeDocument/2006/relationships/hyperlink" Target="https://www.imdb.com/title/tt4016934/" TargetMode="External"/><Relationship Id="rId2111" Type="http://schemas.openxmlformats.org/officeDocument/2006/relationships/hyperlink" Target="https://www.imdb.com/title/tt12626014/" TargetMode="External"/><Relationship Id="rId2112" Type="http://schemas.openxmlformats.org/officeDocument/2006/relationships/hyperlink" Target="https://www.imdb.com/title/tt0088939/" TargetMode="External"/><Relationship Id="rId2113" Type="http://schemas.openxmlformats.org/officeDocument/2006/relationships/hyperlink" Target="https://www.imdb.com/title/tt0071360/" TargetMode="External"/><Relationship Id="rId2114" Type="http://schemas.openxmlformats.org/officeDocument/2006/relationships/hyperlink" Target="https://www.imdb.com/title/tt0418689/" TargetMode="External"/><Relationship Id="rId2115" Type="http://schemas.openxmlformats.org/officeDocument/2006/relationships/hyperlink" Target="https://www.imdb.com/title/tt28793125/" TargetMode="External"/><Relationship Id="rId2116" Type="http://schemas.openxmlformats.org/officeDocument/2006/relationships/hyperlink" Target="https://www.imdb.com/title/tt2543164/" TargetMode="External"/><Relationship Id="rId2117" Type="http://schemas.openxmlformats.org/officeDocument/2006/relationships/hyperlink" Target="https://www.imdb.com/title/tt1668200/" TargetMode="External"/><Relationship Id="rId2118" Type="http://schemas.openxmlformats.org/officeDocument/2006/relationships/hyperlink" Target="https://www.imdb.com/title/tt4430212/" TargetMode="External"/><Relationship Id="rId2119" Type="http://schemas.openxmlformats.org/officeDocument/2006/relationships/hyperlink" Target="https://www.imdb.com/title/tt4693588/" TargetMode="External"/><Relationship Id="rId2120" Type="http://schemas.openxmlformats.org/officeDocument/2006/relationships/hyperlink" Target="https://www.imdb.com/title/tt4944694/" TargetMode="External"/><Relationship Id="rId2121" Type="http://schemas.openxmlformats.org/officeDocument/2006/relationships/hyperlink" Target="https://www.imdb.com/title/tt0385880/" TargetMode="External"/><Relationship Id="rId2122" Type="http://schemas.openxmlformats.org/officeDocument/2006/relationships/hyperlink" Target="https://www.imdb.com/title/tt0107151/" TargetMode="External"/><Relationship Id="rId2123" Type="http://schemas.openxmlformats.org/officeDocument/2006/relationships/hyperlink" Target="https://www.imdb.com/title/tt8387348/" TargetMode="External"/><Relationship Id="rId2124" Type="http://schemas.openxmlformats.org/officeDocument/2006/relationships/hyperlink" Target="https://www.imdb.com/title/tt2106476/" TargetMode="External"/><Relationship Id="rId2125" Type="http://schemas.openxmlformats.org/officeDocument/2006/relationships/hyperlink" Target="https://www.imdb.com/title/tt2872518/" TargetMode="External"/><Relationship Id="rId2126" Type="http://schemas.openxmlformats.org/officeDocument/2006/relationships/hyperlink" Target="https://www.imdb.com/title/tt0425094/" TargetMode="External"/><Relationship Id="rId2127" Type="http://schemas.openxmlformats.org/officeDocument/2006/relationships/hyperlink" Target="https://www.imdb.com/title/tt23856194/" TargetMode="External"/><Relationship Id="rId2128" Type="http://schemas.openxmlformats.org/officeDocument/2006/relationships/hyperlink" Target="https://www.imdb.com/title/tt10441958/" TargetMode="External"/><Relationship Id="rId2129" Type="http://schemas.openxmlformats.org/officeDocument/2006/relationships/hyperlink" Target="https://www.imdb.com/title/tt29692617/" TargetMode="External"/><Relationship Id="rId2130" Type="http://schemas.openxmlformats.org/officeDocument/2006/relationships/hyperlink" Target="https://www.imdb.com/title/tt1263778/" TargetMode="External"/><Relationship Id="rId2131" Type="http://schemas.openxmlformats.org/officeDocument/2006/relationships/hyperlink" Target="https://www.imdb.com/title/tt0061395/" TargetMode="External"/><Relationship Id="rId2132" Type="http://schemas.openxmlformats.org/officeDocument/2006/relationships/hyperlink" Target="https://www.imdb.com/title/tt10521092/" TargetMode="External"/><Relationship Id="rId2133" Type="http://schemas.openxmlformats.org/officeDocument/2006/relationships/hyperlink" Target="https://www.imdb.com/title/tt13833688/" TargetMode="External"/><Relationship Id="rId2134" Type="http://schemas.openxmlformats.org/officeDocument/2006/relationships/hyperlink" Target="https://www.imdb.com/title/tt6412452/" TargetMode="External"/><Relationship Id="rId2135" Type="http://schemas.openxmlformats.org/officeDocument/2006/relationships/hyperlink" Target="https://www.imdb.com/title/tt0478304/" TargetMode="External"/><Relationship Id="rId2136" Type="http://schemas.openxmlformats.org/officeDocument/2006/relationships/hyperlink" Target="https://www.imdb.com/title/tt6559390/" TargetMode="External"/><Relationship Id="rId2137" Type="http://schemas.openxmlformats.org/officeDocument/2006/relationships/hyperlink" Target="https://www.imdb.com/title/tt7278862/" TargetMode="External"/><Relationship Id="rId2138" Type="http://schemas.openxmlformats.org/officeDocument/2006/relationships/hyperlink" Target="https://www.imdb.com/title/tt33293130/" TargetMode="External"/><Relationship Id="rId2139" Type="http://schemas.openxmlformats.org/officeDocument/2006/relationships/hyperlink" Target="https://www.imdb.com/title/tt39631179/" TargetMode="External"/><Relationship Id="rId2140" Type="http://schemas.openxmlformats.org/officeDocument/2006/relationships/hyperlink" Target="https://www.imdb.com/title/tt13285394/" TargetMode="External"/><Relationship Id="rId2141" Type="http://schemas.openxmlformats.org/officeDocument/2006/relationships/hyperlink" Target="https://www.imdb.com/title/tt3793788/" TargetMode="External"/><Relationship Id="rId2142" Type="http://schemas.openxmlformats.org/officeDocument/2006/relationships/hyperlink" Target="https://www.imdb.com/title/tt12246266/" TargetMode="External"/><Relationship Id="rId2143" Type="http://schemas.openxmlformats.org/officeDocument/2006/relationships/hyperlink" Target="https://www.imdb.com/title/tt5895028/" TargetMode="External"/><Relationship Id="rId2144" Type="http://schemas.openxmlformats.org/officeDocument/2006/relationships/hyperlink" Target="https://www.imdb.com/title/tt2891174/" TargetMode="External"/><Relationship Id="rId2145" Type="http://schemas.openxmlformats.org/officeDocument/2006/relationships/hyperlink" Target="https://www.imdb.com/title/tt5305246/" TargetMode="External"/><Relationship Id="rId2146" Type="http://schemas.openxmlformats.org/officeDocument/2006/relationships/hyperlink" Target="https://www.imdb.com/title/tt4337690/" TargetMode="External"/><Relationship Id="rId2147" Type="http://schemas.openxmlformats.org/officeDocument/2006/relationships/hyperlink" Target="https://www.imdb.com/title/tt0411061/" TargetMode="External"/><Relationship Id="rId2148" Type="http://schemas.openxmlformats.org/officeDocument/2006/relationships/hyperlink" Target="https://www.imdb.com/title/tt11301642/" TargetMode="External"/><Relationship Id="rId2149" Type="http://schemas.openxmlformats.org/officeDocument/2006/relationships/hyperlink" Target="https://www.imdb.com/title/tt1458175/" TargetMode="External"/><Relationship Id="rId2150" Type="http://schemas.openxmlformats.org/officeDocument/2006/relationships/hyperlink" Target="https://www.imdb.com/title/tt14168118/" TargetMode="External"/><Relationship Id="rId2151" Type="http://schemas.openxmlformats.org/officeDocument/2006/relationships/hyperlink" Target="https://www.imdb.com/title/tt15206378/" TargetMode="External"/><Relationship Id="rId2152" Type="http://schemas.openxmlformats.org/officeDocument/2006/relationships/hyperlink" Target="https://www.imdb.com/title/tt1646956/" TargetMode="External"/><Relationship Id="rId2153" Type="http://schemas.openxmlformats.org/officeDocument/2006/relationships/hyperlink" Target="https://www.imdb.com/title/tt1306980/" TargetMode="External"/><Relationship Id="rId2154" Type="http://schemas.openxmlformats.org/officeDocument/2006/relationships/hyperlink" Target="https://www.imdb.com/title/tt8646254/" TargetMode="External"/><Relationship Id="rId2155" Type="http://schemas.openxmlformats.org/officeDocument/2006/relationships/hyperlink" Target="https://www.imdb.com/title/tt1032846/" TargetMode="External"/><Relationship Id="rId2156" Type="http://schemas.openxmlformats.org/officeDocument/2006/relationships/hyperlink" Target="https://www.imdb.com/title/tt6156138/" TargetMode="External"/><Relationship Id="rId2157" Type="http://schemas.openxmlformats.org/officeDocument/2006/relationships/hyperlink" Target="https://www.imdb.com/title/tt10886166/" TargetMode="External"/><Relationship Id="rId2158" Type="http://schemas.openxmlformats.org/officeDocument/2006/relationships/hyperlink" Target="https://www.imdb.com/title/tt1233381/" TargetMode="External"/><Relationship Id="rId2159" Type="http://schemas.openxmlformats.org/officeDocument/2006/relationships/hyperlink" Target="https://www.imdb.com/title/tt0160620/" TargetMode="External"/><Relationship Id="rId2160" Type="http://schemas.openxmlformats.org/officeDocument/2006/relationships/hyperlink" Target="https://www.imdb.com/title/tt7280898/" TargetMode="External"/><Relationship Id="rId2161" Type="http://schemas.openxmlformats.org/officeDocument/2006/relationships/hyperlink" Target="https://www.imdb.com/title/tt0315733/" TargetMode="External"/><Relationship Id="rId2162" Type="http://schemas.openxmlformats.org/officeDocument/2006/relationships/hyperlink" Target="https://www.imdb.com/title/tt0212712/" TargetMode="External"/><Relationship Id="rId2163" Type="http://schemas.openxmlformats.org/officeDocument/2006/relationships/hyperlink" Target="https://www.imdb.com/title/tt0062622/" TargetMode="External"/><Relationship Id="rId2164" Type="http://schemas.openxmlformats.org/officeDocument/2006/relationships/hyperlink" Target="https://www.imdb.com/title/tt24082438/" TargetMode="External"/><Relationship Id="rId2165" Type="http://schemas.openxmlformats.org/officeDocument/2006/relationships/hyperlink" Target="https://www.imdb.com/title/tt0439547/" TargetMode="External"/><Relationship Id="rId2166" Type="http://schemas.openxmlformats.org/officeDocument/2006/relationships/hyperlink" Target="https://www.imdb.com/title/tt5616176/" TargetMode="External"/><Relationship Id="rId2167" Type="http://schemas.openxmlformats.org/officeDocument/2006/relationships/hyperlink" Target="https://www.imdb.com/title/tt19758012/" TargetMode="External"/><Relationship Id="rId2168" Type="http://schemas.openxmlformats.org/officeDocument/2006/relationships/hyperlink" Target="https://www.imdb.com/title/tt18335752/" TargetMode="External"/><Relationship Id="rId2169" Type="http://schemas.openxmlformats.org/officeDocument/2006/relationships/hyperlink" Target="https://www.imdb.com/title/tt8579674/" TargetMode="External"/><Relationship Id="rId2170" Type="http://schemas.openxmlformats.org/officeDocument/2006/relationships/hyperlink" Target="https://www.imdb.com/title/tt13991232/" TargetMode="External"/><Relationship Id="rId2171" Type="http://schemas.openxmlformats.org/officeDocument/2006/relationships/hyperlink" Target="https://www.imdb.com/title/tt10816484/" TargetMode="External"/><Relationship Id="rId2172" Type="http://schemas.openxmlformats.org/officeDocument/2006/relationships/hyperlink" Target="https://www.imdb.com/title/tt1542344/" TargetMode="External"/><Relationship Id="rId2173" Type="http://schemas.openxmlformats.org/officeDocument/2006/relationships/hyperlink" Target="https://www.imdb.com/title/tt1838544/" TargetMode="External"/><Relationship Id="rId2174" Type="http://schemas.openxmlformats.org/officeDocument/2006/relationships/hyperlink" Target="https://www.imdb.com/title/tt0118528/" TargetMode="External"/><Relationship Id="rId2175" Type="http://schemas.openxmlformats.org/officeDocument/2006/relationships/hyperlink" Target="https://www.imdb.com/title/tt1413492/" TargetMode="External"/><Relationship Id="rId2176" Type="http://schemas.openxmlformats.org/officeDocument/2006/relationships/hyperlink" Target="https://www.imdb.com/title/tt2024544/" TargetMode="External"/><Relationship Id="rId2177" Type="http://schemas.openxmlformats.org/officeDocument/2006/relationships/hyperlink" Target="https://www.imdb.com/title/tt5089786/" TargetMode="External"/><Relationship Id="rId2178" Type="http://schemas.openxmlformats.org/officeDocument/2006/relationships/hyperlink" Target="https://www.imdb.com/title/tt0381061/" TargetMode="External"/><Relationship Id="rId2179" Type="http://schemas.openxmlformats.org/officeDocument/2006/relationships/hyperlink" Target="https://www.imdb.com/title/tt0031381/" TargetMode="External"/><Relationship Id="rId2180" Type="http://schemas.openxmlformats.org/officeDocument/2006/relationships/hyperlink" Target="https://www.imdb.com/title/tt10226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380"/>
  <sheetViews>
    <sheetView workbookViewId="0" zoomScale="100" zoomScaleNormal="100">
      <pane ySplit="1" topLeftCell="A200" activePane="bottomLeft" state="frozen"/>
      <selection pane="bottomLeft" activeCell="C209" sqref="C209"/>
    </sheetView>
  </sheetViews>
  <sheetFormatPr defaultRowHeight="18.75" outlineLevelRow="0" outlineLevelCol="0" x14ac:dyDescent="0.25" defaultColWidth="23.7109375" customHeight="1"/>
  <cols>
    <col min="1" max="1" width="7.7109375" style="1" customWidth="1"/>
    <col min="2" max="2" width="47.85546875" style="2" customWidth="1"/>
    <col min="3" max="3" width="4.140625" style="3" customWidth="1"/>
    <col min="4" max="4" width="8.42578125" style="4" customWidth="1"/>
    <col min="5" max="5" width="6.7109375" style="4" hidden="1" customWidth="1"/>
    <col min="6" max="6" width="5.5703125" style="5" customWidth="1"/>
    <col min="7" max="7" width="6.28515625" style="5" customWidth="1"/>
    <col min="8" max="8" width="6" style="5" customWidth="1"/>
    <col min="9" max="9" width="5.42578125" style="5" customWidth="1"/>
    <col min="10" max="10" width="5" style="5" customWidth="1"/>
    <col min="11" max="11" width="6" style="5" customWidth="1"/>
    <col min="12" max="12" width="5.28515625" style="5" customWidth="1"/>
    <col min="13" max="13" width="5.5703125" style="5" customWidth="1"/>
    <col min="14" max="14" width="5.28515625" style="5" customWidth="1"/>
    <col min="15" max="15" width="5.5703125" style="5" customWidth="1"/>
    <col min="16" max="16" width="5.42578125" style="5" customWidth="1"/>
    <col min="17" max="17" width="6" style="5" customWidth="1"/>
    <col min="18" max="18" width="5.140625" style="5" customWidth="1"/>
    <col min="19" max="19" width="8.5703125" style="6" customWidth="1"/>
    <col min="20" max="20" width="7.28515625" style="6" customWidth="1"/>
    <col min="21" max="21" width="12.85546875" style="6" customWidth="1"/>
    <col min="22" max="23" width="7.28515625" style="7" customWidth="1"/>
    <col min="24" max="24" width="8.85546875" style="6" customWidth="1"/>
    <col min="25" max="25" width="10.7109375" style="6" customWidth="1"/>
    <col min="26" max="26" width="23.7109375" style="6" customWidth="1"/>
    <col min="27" max="29" width="10" style="6" customWidth="1"/>
    <col min="30" max="16384" width="23.7109375" style="6" customWidth="1"/>
  </cols>
  <sheetData>
    <row r="1" ht="223.5" customHeight="1" spans="1:26" s="8" customFormat="1" x14ac:dyDescent="0.25">
      <c r="A1" s="9" t="s">
        <v>0</v>
      </c>
      <c r="B1" s="10" t="str">
        <f>"Filmes ("&amp;MAX(A:A)&amp;")"</f>
        <v>Filmes (2514)</v>
      </c>
      <c r="C1" s="11" t="s">
        <v>1</v>
      </c>
      <c r="D1" s="12" t="s">
        <v>2</v>
      </c>
      <c r="E1" s="13" t="s">
        <v>3</v>
      </c>
      <c r="F1" s="13" t="s">
        <v>4</v>
      </c>
      <c r="G1" s="14" t="s">
        <v>5</v>
      </c>
      <c r="H1" s="15" t="s">
        <v>6</v>
      </c>
      <c r="I1" s="16" t="s">
        <v>7</v>
      </c>
      <c r="J1" s="17" t="s">
        <v>8</v>
      </c>
      <c r="K1" s="18" t="s">
        <v>9</v>
      </c>
      <c r="L1" s="19" t="s">
        <v>10</v>
      </c>
      <c r="M1" s="20" t="s">
        <v>11</v>
      </c>
      <c r="N1" s="21" t="s">
        <v>12</v>
      </c>
      <c r="O1" s="22" t="s">
        <v>13</v>
      </c>
      <c r="P1" s="23" t="s">
        <v>14</v>
      </c>
      <c r="Q1" s="24" t="s">
        <v>15</v>
      </c>
      <c r="R1" s="25" t="s">
        <v>16</v>
      </c>
      <c r="S1" s="26" t="s">
        <v>17</v>
      </c>
      <c r="T1" s="26" t="s">
        <v>18</v>
      </c>
      <c r="U1" s="27" t="s">
        <v>19</v>
      </c>
      <c r="V1" s="28" t="s">
        <v>20</v>
      </c>
      <c r="W1" s="29" t="s">
        <v>21</v>
      </c>
      <c r="X1" t="s">
        <v>22</v>
      </c>
      <c r="Y1" s="30">
        <f>SUM(S2:S2992)/SUM(T2:T2992)</f>
        <v>8.085451505016723</v>
      </c>
      <c r="Z1" s="8">
        <v>2</v>
      </c>
    </row>
    <row r="2" ht="24" customHeight="1" spans="1:26" x14ac:dyDescent="0.25">
      <c r="A2" s="31">
        <v>144</v>
      </c>
      <c r="B2" s="32" t="s">
        <v>23</v>
      </c>
      <c r="C2" s="33" t="s">
        <v>24</v>
      </c>
      <c r="D2" s="34">
        <v>1964</v>
      </c>
      <c r="E2" s="34" t="s">
        <v>25</v>
      </c>
      <c r="F2" s="6">
        <v>10</v>
      </c>
      <c r="G2" s="6">
        <v>8</v>
      </c>
      <c r="H2" s="6">
        <v>7</v>
      </c>
      <c r="I2" s="6">
        <v>10</v>
      </c>
      <c r="J2" s="6">
        <v>10</v>
      </c>
      <c r="K2" s="6">
        <v>10</v>
      </c>
      <c r="L2" s="6"/>
      <c r="M2" s="6">
        <v>8</v>
      </c>
      <c r="N2" s="6">
        <v>8</v>
      </c>
      <c r="O2" s="6">
        <v>8</v>
      </c>
      <c r="P2" s="6">
        <v>8</v>
      </c>
      <c r="Q2" s="6">
        <v>10</v>
      </c>
      <c r="R2" s="6"/>
      <c r="S2" s="35">
        <f>SUM(F2:R2)</f>
        <v>97</v>
      </c>
      <c r="T2" s="35">
        <f>COUNT(F2:R2)</f>
        <v>11</v>
      </c>
      <c r="U2" s="36">
        <f>IF(T2&gt;=2,ROUND((IF(T2=2,0.55,IF(T2&lt;=4,0.7,IF(T2&lt;=6,0.8,IF(T2&lt;=9,0.9,1))))*(S2/T2)+(1-(IF(T2=2,0.55,IF(T2&lt;=4,0.7,IF(T2&lt;=6,0.8,IF(T2&lt;=9,0.9,1))))))*$Y$1),1),"")</f>
        <v>8.8</v>
      </c>
      <c r="V2" s="37">
        <v>7.6</v>
      </c>
      <c r="W2" s="38"/>
      <c r="Z2" s="6">
        <v>2</v>
      </c>
    </row>
    <row r="3" ht="24" customHeight="1" spans="1:23" s="39" customFormat="1" x14ac:dyDescent="0.25">
      <c r="A3" s="31">
        <v>569</v>
      </c>
      <c r="B3" s="32" t="s">
        <v>26</v>
      </c>
      <c r="C3" s="33" t="s">
        <v>24</v>
      </c>
      <c r="D3" s="34">
        <v>2016</v>
      </c>
      <c r="E3" s="34" t="s">
        <v>27</v>
      </c>
      <c r="F3" s="6"/>
      <c r="G3" s="6">
        <v>8</v>
      </c>
      <c r="H3" s="6"/>
      <c r="I3" s="6"/>
      <c r="J3" s="6">
        <v>8</v>
      </c>
      <c r="K3" s="6"/>
      <c r="L3" s="6"/>
      <c r="M3" s="6"/>
      <c r="N3" s="6"/>
      <c r="O3" s="6"/>
      <c r="P3" s="6">
        <v>8</v>
      </c>
      <c r="Q3" s="6"/>
      <c r="R3" s="6"/>
      <c r="S3" s="35">
        <f>SUM(F3:R3)</f>
        <v>24</v>
      </c>
      <c r="T3" s="35">
        <f>COUNT(F3:R3)</f>
        <v>3</v>
      </c>
      <c r="U3" s="36">
        <f>IF(T3&gt;=2,ROUND((IF(T3=2,0.55,IF(T3&lt;=4,0.7,IF(T3&lt;=6,0.8,IF(T3&lt;=9,0.9,1))))*(S3/T3)+(1-(IF(T3=2,0.55,IF(T3&lt;=4,0.7,IF(T3&lt;=6,0.8,IF(T3&lt;=9,0.9,1))))))*$Y$1),1),"")</f>
        <v>8</v>
      </c>
      <c r="V3" s="37">
        <v>8</v>
      </c>
      <c r="W3" s="38"/>
    </row>
    <row r="4" ht="24" customHeight="1" spans="1:23" x14ac:dyDescent="0.25">
      <c r="A4" s="31">
        <v>832</v>
      </c>
      <c r="B4" s="32" t="s">
        <v>28</v>
      </c>
      <c r="C4" s="33" t="s">
        <v>29</v>
      </c>
      <c r="D4" s="34">
        <v>2020</v>
      </c>
      <c r="E4" s="34" t="s">
        <v>30</v>
      </c>
      <c r="F4" s="6"/>
      <c r="G4" s="6"/>
      <c r="H4" s="6"/>
      <c r="I4" s="6"/>
      <c r="J4" s="6"/>
      <c r="K4" s="6"/>
      <c r="L4" s="6">
        <v>6</v>
      </c>
      <c r="M4" s="6"/>
      <c r="N4" s="6">
        <v>8</v>
      </c>
      <c r="O4" s="6"/>
      <c r="P4" s="6"/>
      <c r="Q4" s="6"/>
      <c r="R4" s="6"/>
      <c r="S4" s="35">
        <f>SUM(F4:R4)</f>
        <v>14</v>
      </c>
      <c r="T4" s="35">
        <f>COUNT(F4:R4)</f>
        <v>2</v>
      </c>
      <c r="U4" s="36">
        <f>IF(T4&gt;=2,ROUND((IF(T4=2,0.55,IF(T4&lt;=4,0.7,IF(T4&lt;=6,0.8,IF(T4&lt;=9,0.9,1))))*(S4/T4)+(1-(IF(T4=2,0.55,IF(T4&lt;=4,0.7,IF(T4&lt;=6,0.8,IF(T4&lt;=9,0.9,1))))))*$Y$1),1),"")</f>
        <v>7.5</v>
      </c>
      <c r="V4" s="37">
        <v>6.8</v>
      </c>
      <c r="W4" s="38"/>
    </row>
    <row r="5" ht="24" customHeight="1" spans="1:23" x14ac:dyDescent="0.25">
      <c r="A5" s="31">
        <v>1759</v>
      </c>
      <c r="B5" s="32" t="s">
        <v>31</v>
      </c>
      <c r="C5" s="33" t="s">
        <v>24</v>
      </c>
      <c r="D5" s="34">
        <v>2023</v>
      </c>
      <c r="E5" s="34" t="s">
        <v>25</v>
      </c>
      <c r="F5" s="6"/>
      <c r="G5" s="6">
        <v>8</v>
      </c>
      <c r="H5" s="6"/>
      <c r="I5" s="6"/>
      <c r="J5" s="6"/>
      <c r="K5" s="6"/>
      <c r="L5" s="6">
        <v>7</v>
      </c>
      <c r="M5" s="6"/>
      <c r="N5" s="6">
        <v>7</v>
      </c>
      <c r="O5" s="6"/>
      <c r="P5" s="6">
        <v>8</v>
      </c>
      <c r="Q5" s="6"/>
      <c r="R5" s="6"/>
      <c r="S5" s="35">
        <f>SUM(F5:R5)</f>
        <v>30</v>
      </c>
      <c r="T5" s="35">
        <f>COUNT(F5:R5)</f>
        <v>4</v>
      </c>
      <c r="U5" s="36">
        <f>IF(T5&gt;=2,ROUND((IF(T5=2,0.55,IF(T5&lt;=4,0.7,IF(T5&lt;=6,0.8,IF(T5&lt;=9,0.9,1))))*(S5/T5)+(1-(IF(T5=2,0.55,IF(T5&lt;=4,0.7,IF(T5&lt;=6,0.8,IF(T5&lt;=9,0.9,1))))))*$Y$1),1),"")</f>
        <v>7.7</v>
      </c>
      <c r="V5" s="37">
        <v>7.3</v>
      </c>
      <c r="W5" s="38"/>
    </row>
    <row r="6" ht="24" customHeight="1" spans="1:23" x14ac:dyDescent="0.25">
      <c r="A6" s="31">
        <v>1186</v>
      </c>
      <c r="B6" s="32" t="s">
        <v>32</v>
      </c>
      <c r="C6" s="33" t="s">
        <v>24</v>
      </c>
      <c r="D6" s="34">
        <v>2007</v>
      </c>
      <c r="E6" s="34" t="s">
        <v>33</v>
      </c>
      <c r="F6" s="6"/>
      <c r="G6" s="6">
        <v>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35">
        <f>SUM(F6:R6)</f>
        <v>7</v>
      </c>
      <c r="T6" s="35">
        <f>COUNT(F6:R6)</f>
        <v>1</v>
      </c>
      <c r="U6" s="36">
        <f>IF(T6&gt;=2,ROUND((IF(T6=2,0.55,IF(T6&lt;=4,0.7,IF(T6&lt;=6,0.8,IF(T6&lt;=9,0.9,1))))*(S6/T6)+(1-(IF(T6=2,0.55,IF(T6&lt;=4,0.7,IF(T6&lt;=6,0.8,IF(T6&lt;=9,0.9,1))))))*$Y$1),1),"")</f>
      </c>
      <c r="V6" s="37">
        <v>7.7</v>
      </c>
      <c r="W6" s="38"/>
    </row>
    <row r="7" ht="24" customHeight="1" spans="1:23" x14ac:dyDescent="0.25">
      <c r="A7" s="31">
        <v>1485</v>
      </c>
      <c r="B7" s="32" t="s">
        <v>34</v>
      </c>
      <c r="C7" s="33" t="s">
        <v>29</v>
      </c>
      <c r="D7" s="34">
        <v>2015</v>
      </c>
      <c r="E7" s="34" t="s">
        <v>27</v>
      </c>
      <c r="F7" s="6"/>
      <c r="G7" s="6"/>
      <c r="H7" s="6"/>
      <c r="I7" s="6"/>
      <c r="J7" s="6"/>
      <c r="K7" s="6">
        <v>6</v>
      </c>
      <c r="L7" s="6"/>
      <c r="M7" s="6"/>
      <c r="N7" s="6"/>
      <c r="O7" s="6"/>
      <c r="P7" s="6"/>
      <c r="Q7" s="6">
        <v>6</v>
      </c>
      <c r="R7" s="6"/>
      <c r="S7" s="35">
        <f>SUM(F7:R7)</f>
        <v>12</v>
      </c>
      <c r="T7" s="35">
        <f>COUNT(F7:R7)</f>
        <v>2</v>
      </c>
      <c r="U7" s="36">
        <f>IF(T7&gt;=2,ROUND((IF(T7=2,0.55,IF(T7&lt;=4,0.7,IF(T7&lt;=6,0.8,IF(T7&lt;=9,0.9,1))))*(S7/T7)+(1-(IF(T7=2,0.55,IF(T7&lt;=4,0.7,IF(T7&lt;=6,0.8,IF(T7&lt;=9,0.9,1))))))*$Y$1),1),"")</f>
        <v>6.9</v>
      </c>
      <c r="V7" s="37">
        <v>7</v>
      </c>
      <c r="W7" s="38"/>
    </row>
    <row r="8" ht="24" customHeight="1" spans="1:23" x14ac:dyDescent="0.25">
      <c r="A8" s="40">
        <v>2150</v>
      </c>
      <c r="B8" s="32" t="s">
        <v>35</v>
      </c>
      <c r="C8" s="33" t="s">
        <v>24</v>
      </c>
      <c r="D8" s="34">
        <v>2004</v>
      </c>
      <c r="E8" s="41"/>
      <c r="F8" s="6"/>
      <c r="G8" s="6">
        <v>8</v>
      </c>
      <c r="H8" s="6"/>
      <c r="I8" s="6"/>
      <c r="J8" s="6"/>
      <c r="K8" s="6"/>
      <c r="L8" s="6">
        <v>8</v>
      </c>
      <c r="M8" s="6"/>
      <c r="N8" s="6"/>
      <c r="O8" s="6"/>
      <c r="P8" s="6"/>
      <c r="Q8" s="6"/>
      <c r="R8" s="6"/>
      <c r="S8" s="35">
        <f>SUM(F8:R8)</f>
        <v>16</v>
      </c>
      <c r="T8" s="35">
        <f>COUNT(F8:R8)</f>
        <v>2</v>
      </c>
      <c r="U8" s="36">
        <f>IF(T8&gt;=2,ROUND((IF(T8=2,0.55,IF(T8&lt;=4,0.7,IF(T8&lt;=6,0.8,IF(T8&lt;=9,0.9,1))))*(S8/T8)+(1-(IF(T8=2,0.55,IF(T8&lt;=4,0.7,IF(T8&lt;=6,0.8,IF(T8&lt;=9,0.9,1))))))*$Y$1),1),"")</f>
        <v>8</v>
      </c>
      <c r="V8" s="37">
        <v>7.5</v>
      </c>
      <c r="W8" s="38"/>
    </row>
    <row r="9" ht="24" customHeight="1" spans="1:23" x14ac:dyDescent="0.25">
      <c r="A9" s="31">
        <v>149</v>
      </c>
      <c r="B9" s="32" t="s">
        <v>35</v>
      </c>
      <c r="C9" s="33" t="s">
        <v>24</v>
      </c>
      <c r="D9" s="34">
        <v>2019</v>
      </c>
      <c r="E9" s="34" t="s">
        <v>30</v>
      </c>
      <c r="F9" s="6">
        <v>8</v>
      </c>
      <c r="G9" s="6">
        <v>8</v>
      </c>
      <c r="H9" s="6"/>
      <c r="I9" s="6">
        <v>10</v>
      </c>
      <c r="J9" s="6"/>
      <c r="K9" s="6">
        <v>10</v>
      </c>
      <c r="L9" s="6">
        <v>6</v>
      </c>
      <c r="M9" s="6">
        <v>8</v>
      </c>
      <c r="N9" s="6">
        <v>8</v>
      </c>
      <c r="O9" s="6"/>
      <c r="P9" s="6">
        <v>8</v>
      </c>
      <c r="Q9" s="6">
        <v>10</v>
      </c>
      <c r="R9" s="6"/>
      <c r="S9" s="35">
        <f>SUM(F9:R9)</f>
        <v>76</v>
      </c>
      <c r="T9" s="35">
        <f>COUNT(F9:R9)</f>
        <v>9</v>
      </c>
      <c r="U9" s="36">
        <f>IF(T9&gt;=2,ROUND((IF(T9=2,0.55,IF(T9&lt;=4,0.7,IF(T9&lt;=6,0.8,IF(T9&lt;=9,0.9,1))))*(S9/T9)+(1-(IF(T9=2,0.55,IF(T9&lt;=4,0.7,IF(T9&lt;=6,0.8,IF(T9&lt;=9,0.9,1))))))*$Y$1),1),"")</f>
        <v>8.4</v>
      </c>
      <c r="V9" s="37">
        <v>6.8</v>
      </c>
      <c r="W9" s="38"/>
    </row>
    <row r="10" ht="47.25" customHeight="1" spans="1:23" x14ac:dyDescent="0.25">
      <c r="A10" s="31">
        <v>789</v>
      </c>
      <c r="B10" s="32" t="s">
        <v>36</v>
      </c>
      <c r="C10" s="33" t="s">
        <v>24</v>
      </c>
      <c r="D10" s="34">
        <v>1983</v>
      </c>
      <c r="E10" s="34" t="s">
        <v>27</v>
      </c>
      <c r="F10" s="6"/>
      <c r="G10" s="6"/>
      <c r="H10" s="6"/>
      <c r="I10" s="6"/>
      <c r="J10" s="6"/>
      <c r="K10" s="6">
        <v>8</v>
      </c>
      <c r="L10" s="6"/>
      <c r="M10" s="6"/>
      <c r="N10" s="6"/>
      <c r="O10" s="6"/>
      <c r="P10" s="6"/>
      <c r="Q10" s="6">
        <v>8</v>
      </c>
      <c r="R10" s="6"/>
      <c r="S10" s="35">
        <f>SUM(F10:R10)</f>
        <v>16</v>
      </c>
      <c r="T10" s="35">
        <f>COUNT(F10:R10)</f>
        <v>2</v>
      </c>
      <c r="U10" s="36">
        <f>IF(T10&gt;=2,ROUND((IF(T10=2,0.55,IF(T10&lt;=4,0.7,IF(T10&lt;=6,0.8,IF(T10&lt;=9,0.9,1))))*(S10/T10)+(1-(IF(T10=2,0.55,IF(T10&lt;=4,0.7,IF(T10&lt;=6,0.8,IF(T10&lt;=9,0.9,1))))))*$Y$1),1),"")</f>
        <v>8</v>
      </c>
      <c r="V10" s="37">
        <v>6.6</v>
      </c>
      <c r="W10" s="38"/>
    </row>
    <row r="11" ht="24" customHeight="1" spans="1:23" x14ac:dyDescent="0.25">
      <c r="A11" s="31">
        <v>2036</v>
      </c>
      <c r="B11" s="32" t="s">
        <v>37</v>
      </c>
      <c r="C11" s="33" t="s">
        <v>29</v>
      </c>
      <c r="D11" s="34">
        <v>2018</v>
      </c>
      <c r="E11" s="41"/>
      <c r="F11" s="6"/>
      <c r="G11" s="6"/>
      <c r="H11" s="6"/>
      <c r="I11" s="6"/>
      <c r="J11" s="6"/>
      <c r="K11" s="6"/>
      <c r="L11" s="6">
        <v>10</v>
      </c>
      <c r="M11" s="6"/>
      <c r="N11" s="6"/>
      <c r="O11" s="6"/>
      <c r="P11" s="6"/>
      <c r="Q11" s="6"/>
      <c r="R11" s="6"/>
      <c r="S11" s="35">
        <f>SUM(F11:R11)</f>
        <v>10</v>
      </c>
      <c r="T11" s="35">
        <f>COUNT(F11:R11)</f>
        <v>1</v>
      </c>
      <c r="U11" s="36">
        <f>IF(T11&gt;=2,ROUND((IF(T11=2,0.55,IF(T11&lt;=4,0.7,IF(T11&lt;=6,0.8,IF(T11&lt;=9,0.9,1))))*(S11/T11)+(1-(IF(T11=2,0.55,IF(T11&lt;=4,0.7,IF(T11&lt;=6,0.8,IF(T11&lt;=9,0.9,1))))))*$Y$1),1),"")</f>
      </c>
      <c r="V11" s="37">
        <v>8.6</v>
      </c>
      <c r="W11" s="38"/>
    </row>
    <row r="12" ht="47.25" customHeight="1" spans="1:23" x14ac:dyDescent="0.25">
      <c r="A12" s="31">
        <v>1231</v>
      </c>
      <c r="B12" s="32" t="s">
        <v>38</v>
      </c>
      <c r="C12" s="33" t="s">
        <v>24</v>
      </c>
      <c r="D12" s="34">
        <v>2021</v>
      </c>
      <c r="E12" s="34" t="s">
        <v>30</v>
      </c>
      <c r="F12" s="6"/>
      <c r="G12" s="6"/>
      <c r="H12" s="6"/>
      <c r="I12" s="6"/>
      <c r="J12" s="6"/>
      <c r="K12" s="6"/>
      <c r="L12" s="6">
        <v>6</v>
      </c>
      <c r="M12" s="6"/>
      <c r="N12" s="6">
        <v>8</v>
      </c>
      <c r="O12" s="6"/>
      <c r="P12" s="6"/>
      <c r="Q12" s="6"/>
      <c r="R12" s="6"/>
      <c r="S12" s="35">
        <f>SUM(F12:R12)</f>
        <v>14</v>
      </c>
      <c r="T12" s="35">
        <f>COUNT(F12:R12)</f>
        <v>2</v>
      </c>
      <c r="U12" s="36">
        <f>IF(T12&gt;=2,ROUND((IF(T12=2,0.55,IF(T12&lt;=4,0.7,IF(T12&lt;=6,0.8,IF(T12&lt;=9,0.9,1))))*(S12/T12)+(1-(IF(T12=2,0.55,IF(T12&lt;=4,0.7,IF(T12&lt;=6,0.8,IF(T12&lt;=9,0.9,1))))))*$Y$1),1),"")</f>
        <v>7.5</v>
      </c>
      <c r="V12" s="37">
        <v>6.3</v>
      </c>
      <c r="W12" s="38"/>
    </row>
    <row r="13" ht="24" customHeight="1" spans="1:23" x14ac:dyDescent="0.25">
      <c r="A13" s="40">
        <v>2187</v>
      </c>
      <c r="B13" s="32" t="s">
        <v>39</v>
      </c>
      <c r="C13" s="33" t="s">
        <v>24</v>
      </c>
      <c r="D13" s="34">
        <v>2006</v>
      </c>
      <c r="E13" s="41"/>
      <c r="F13" s="6"/>
      <c r="G13" s="6">
        <v>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35">
        <f>SUM(F13:R13)</f>
        <v>7</v>
      </c>
      <c r="T13" s="35">
        <f>COUNT(F13:R13)</f>
        <v>1</v>
      </c>
      <c r="U13" s="36">
        <f>IF(T13&gt;=2,ROUND((IF(T13=2,0.55,IF(T13&lt;=4,0.7,IF(T13&lt;=6,0.8,IF(T13&lt;=9,0.9,1))))*(S13/T13)+(1-(IF(T13=2,0.55,IF(T13&lt;=4,0.7,IF(T13&lt;=6,0.8,IF(T13&lt;=9,0.9,1))))))*$Y$1),1),"")</f>
      </c>
      <c r="V13" s="37">
        <v>7.7</v>
      </c>
      <c r="W13" s="38"/>
    </row>
    <row r="14" ht="24" customHeight="1" spans="1:23" x14ac:dyDescent="0.25">
      <c r="A14" s="31">
        <v>1870</v>
      </c>
      <c r="B14" s="32" t="s">
        <v>40</v>
      </c>
      <c r="C14" s="33" t="s">
        <v>29</v>
      </c>
      <c r="D14" s="34">
        <v>2024</v>
      </c>
      <c r="E14" s="34" t="s">
        <v>30</v>
      </c>
      <c r="F14" s="6">
        <v>8</v>
      </c>
      <c r="G14" s="6"/>
      <c r="H14" s="6"/>
      <c r="I14" s="6"/>
      <c r="J14" s="6">
        <v>8</v>
      </c>
      <c r="K14" s="6">
        <v>8</v>
      </c>
      <c r="L14" s="6"/>
      <c r="M14" s="6"/>
      <c r="N14" s="6">
        <v>8</v>
      </c>
      <c r="O14" s="6"/>
      <c r="P14" s="6"/>
      <c r="Q14" s="6">
        <v>8</v>
      </c>
      <c r="R14" s="6"/>
      <c r="S14" s="35">
        <f>SUM(F14:R14)</f>
        <v>40</v>
      </c>
      <c r="T14" s="35">
        <f>COUNT(F14:R14)</f>
        <v>5</v>
      </c>
      <c r="U14" s="36">
        <f>IF(T14&gt;=2,ROUND((IF(T14=2,0.55,IF(T14&lt;=4,0.7,IF(T14&lt;=6,0.8,IF(T14&lt;=9,0.9,1))))*(S14/T14)+(1-(IF(T14=2,0.55,IF(T14&lt;=4,0.7,IF(T14&lt;=6,0.8,IF(T14&lt;=9,0.9,1))))))*$Y$1),1),"")</f>
        <v>8</v>
      </c>
      <c r="V14" s="37">
        <v>7.7</v>
      </c>
      <c r="W14" s="38"/>
    </row>
    <row r="15" ht="24" customHeight="1" spans="1:23" x14ac:dyDescent="0.25">
      <c r="A15" s="40">
        <v>2306</v>
      </c>
      <c r="B15" s="32" t="s">
        <v>41</v>
      </c>
      <c r="C15" s="33" t="s">
        <v>24</v>
      </c>
      <c r="D15" s="34">
        <v>2015</v>
      </c>
      <c r="E15" s="41"/>
      <c r="F15" s="6"/>
      <c r="G15" s="6">
        <v>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35">
        <f>SUM(F15:R15)</f>
        <v>8</v>
      </c>
      <c r="T15" s="35">
        <f>COUNT(F15:R15)</f>
        <v>1</v>
      </c>
      <c r="U15" s="36">
        <f>IF(T15&gt;=2,ROUND((IF(T15=2,0.55,IF(T15&lt;=4,0.7,IF(T15&lt;=6,0.8,IF(T15&lt;=9,0.9,1))))*(S15/T15)+(1-(IF(T15=2,0.55,IF(T15&lt;=4,0.7,IF(T15&lt;=6,0.8,IF(T15&lt;=9,0.9,1))))))*$Y$1),1),"")</f>
      </c>
      <c r="V15" s="37">
        <v>8.3</v>
      </c>
      <c r="W15" s="38"/>
    </row>
    <row r="16" ht="24" customHeight="1" spans="1:23" x14ac:dyDescent="0.25">
      <c r="A16" s="42">
        <v>567</v>
      </c>
      <c r="B16" s="32" t="s">
        <v>42</v>
      </c>
      <c r="C16" s="43" t="s">
        <v>24</v>
      </c>
      <c r="D16" s="44">
        <v>2014</v>
      </c>
      <c r="E16" s="44" t="s">
        <v>43</v>
      </c>
      <c r="F16" s="6">
        <v>8</v>
      </c>
      <c r="G16" s="6">
        <v>9</v>
      </c>
      <c r="H16" s="6"/>
      <c r="I16" s="6">
        <v>7</v>
      </c>
      <c r="J16" s="6">
        <v>10</v>
      </c>
      <c r="K16" s="6">
        <v>8</v>
      </c>
      <c r="L16" s="6">
        <v>8</v>
      </c>
      <c r="M16" s="6">
        <v>7</v>
      </c>
      <c r="N16" s="6">
        <v>7</v>
      </c>
      <c r="O16" s="6">
        <v>8</v>
      </c>
      <c r="P16" s="6">
        <v>8</v>
      </c>
      <c r="Q16" s="6">
        <v>8</v>
      </c>
      <c r="R16" s="6">
        <v>8</v>
      </c>
      <c r="S16" s="45">
        <f>SUM(F16:R16)</f>
        <v>96</v>
      </c>
      <c r="T16" s="45">
        <f>COUNT(F16:R16)</f>
        <v>12</v>
      </c>
      <c r="U16" s="36">
        <f>IF(T16&gt;=2,ROUND((IF(T16=2,0.55,IF(T16&lt;=4,0.7,IF(T16&lt;=6,0.8,IF(T16&lt;=9,0.9,1))))*(S16/T16)+(1-(IF(T16=2,0.55,IF(T16&lt;=4,0.7,IF(T16&lt;=6,0.8,IF(T16&lt;=9,0.9,1))))))*$Y$1),1),"")</f>
        <v>8</v>
      </c>
      <c r="V16" s="37">
        <v>8.5</v>
      </c>
      <c r="W16" s="38" t="s">
        <v>44</v>
      </c>
    </row>
    <row r="17" ht="24" customHeight="1" spans="1:23" x14ac:dyDescent="0.25">
      <c r="A17" s="31">
        <v>692</v>
      </c>
      <c r="B17" s="32" t="s">
        <v>45</v>
      </c>
      <c r="C17" s="33" t="s">
        <v>24</v>
      </c>
      <c r="D17" s="34">
        <v>2014</v>
      </c>
      <c r="E17" s="34" t="s">
        <v>27</v>
      </c>
      <c r="F17" s="6"/>
      <c r="G17" s="6"/>
      <c r="H17" s="6"/>
      <c r="I17" s="6"/>
      <c r="J17" s="6"/>
      <c r="K17" s="6">
        <v>6</v>
      </c>
      <c r="L17" s="6"/>
      <c r="M17" s="6"/>
      <c r="N17" s="6"/>
      <c r="O17" s="6"/>
      <c r="P17" s="6"/>
      <c r="Q17" s="6">
        <v>6</v>
      </c>
      <c r="R17" s="6"/>
      <c r="S17" s="35">
        <f>SUM(F17:R17)</f>
        <v>12</v>
      </c>
      <c r="T17" s="35">
        <f>COUNT(F17:R17)</f>
        <v>2</v>
      </c>
      <c r="U17" s="36">
        <f>IF(T17&gt;=2,ROUND((IF(T17=2,0.55,IF(T17&lt;=4,0.7,IF(T17&lt;=6,0.8,IF(T17&lt;=9,0.9,1))))*(S17/T17)+(1-(IF(T17=2,0.55,IF(T17&lt;=4,0.7,IF(T17&lt;=6,0.8,IF(T17&lt;=9,0.9,1))))))*$Y$1),1),"")</f>
        <v>6.9</v>
      </c>
      <c r="V17" s="37">
        <v>6.2</v>
      </c>
      <c r="W17" s="38"/>
    </row>
    <row r="18" ht="24" customHeight="1" spans="1:23" x14ac:dyDescent="0.25">
      <c r="A18" s="31">
        <v>1114</v>
      </c>
      <c r="B18" s="32" t="s">
        <v>46</v>
      </c>
      <c r="C18" s="33" t="s">
        <v>24</v>
      </c>
      <c r="D18" s="34">
        <v>2015</v>
      </c>
      <c r="E18" s="34" t="s">
        <v>30</v>
      </c>
      <c r="F18" s="6"/>
      <c r="G18" s="6"/>
      <c r="H18" s="6"/>
      <c r="I18" s="6"/>
      <c r="J18" s="6"/>
      <c r="K18" s="6">
        <v>8</v>
      </c>
      <c r="L18" s="6">
        <v>8</v>
      </c>
      <c r="M18" s="6"/>
      <c r="N18" s="6">
        <v>8</v>
      </c>
      <c r="O18" s="6">
        <v>8</v>
      </c>
      <c r="P18" s="6"/>
      <c r="Q18" s="6">
        <v>8</v>
      </c>
      <c r="R18" s="6"/>
      <c r="S18" s="35">
        <f>SUM(F18:R18)</f>
        <v>40</v>
      </c>
      <c r="T18" s="35">
        <f>COUNT(F18:R18)</f>
        <v>5</v>
      </c>
      <c r="U18" s="36">
        <f>IF(T18&gt;=2,ROUND((IF(T18=2,0.55,IF(T18&lt;=4,0.7,IF(T18&lt;=6,0.8,IF(T18&lt;=9,0.9,1))))*(S18/T18)+(1-(IF(T18=2,0.55,IF(T18&lt;=4,0.7,IF(T18&lt;=6,0.8,IF(T18&lt;=9,0.9,1))))))*$Y$1),1),"")</f>
        <v>8</v>
      </c>
      <c r="V18" s="37">
        <v>7.6</v>
      </c>
      <c r="W18" s="38"/>
    </row>
    <row r="19" ht="24" customHeight="1" spans="1:23" x14ac:dyDescent="0.25">
      <c r="A19" s="31">
        <v>1890</v>
      </c>
      <c r="B19" s="32" t="s">
        <v>47</v>
      </c>
      <c r="C19" s="33" t="s">
        <v>24</v>
      </c>
      <c r="D19" s="34">
        <v>2008</v>
      </c>
      <c r="E19" s="34" t="s">
        <v>48</v>
      </c>
      <c r="F19" s="6"/>
      <c r="G19" s="6"/>
      <c r="H19" s="6"/>
      <c r="I19" s="6"/>
      <c r="J19" s="6">
        <v>7</v>
      </c>
      <c r="K19" s="6"/>
      <c r="L19" s="6"/>
      <c r="M19" s="6"/>
      <c r="N19" s="6"/>
      <c r="O19" s="6"/>
      <c r="P19" s="6"/>
      <c r="Q19" s="6"/>
      <c r="R19" s="6"/>
      <c r="S19" s="35">
        <f>SUM(F19:R19)</f>
        <v>7</v>
      </c>
      <c r="T19" s="35">
        <f>COUNT(F19:R19)</f>
        <v>1</v>
      </c>
      <c r="U19" s="36">
        <f>IF(T19&gt;=2,ROUND((IF(T19=2,0.55,IF(T19&lt;=4,0.7,IF(T19&lt;=6,0.8,IF(T19&lt;=9,0.9,1))))*(S19/T19)+(1-(IF(T19=2,0.55,IF(T19&lt;=4,0.7,IF(T19&lt;=6,0.8,IF(T19&lt;=9,0.9,1))))))*$Y$1),1),"")</f>
      </c>
      <c r="V19" s="37">
        <v>7.1</v>
      </c>
      <c r="W19" s="38"/>
    </row>
    <row r="20" ht="24" customHeight="1" spans="1:23" x14ac:dyDescent="0.25">
      <c r="A20" s="31">
        <v>1807</v>
      </c>
      <c r="B20" s="32" t="s">
        <v>49</v>
      </c>
      <c r="C20" s="33" t="s">
        <v>24</v>
      </c>
      <c r="D20" s="34">
        <v>2011</v>
      </c>
      <c r="E20" s="34" t="s">
        <v>25</v>
      </c>
      <c r="F20" s="6"/>
      <c r="G20" s="6"/>
      <c r="H20" s="6"/>
      <c r="I20" s="6"/>
      <c r="J20" s="6">
        <v>8</v>
      </c>
      <c r="K20" s="6"/>
      <c r="L20" s="6"/>
      <c r="M20" s="6"/>
      <c r="N20" s="6"/>
      <c r="O20" s="6"/>
      <c r="P20" s="6"/>
      <c r="Q20" s="6"/>
      <c r="R20" s="6"/>
      <c r="S20" s="35">
        <f>SUM(F20:R20)</f>
        <v>8</v>
      </c>
      <c r="T20" s="35">
        <f>COUNT(F20:R20)</f>
        <v>1</v>
      </c>
      <c r="U20" s="36">
        <f>IF(T20&gt;=2,ROUND((IF(T20=2,0.55,IF(T20&lt;=4,0.7,IF(T20&lt;=6,0.8,IF(T20&lt;=9,0.9,1))))*(S20/T20)+(1-(IF(T20=2,0.55,IF(T20&lt;=4,0.7,IF(T20&lt;=6,0.8,IF(T20&lt;=9,0.9,1))))))*$Y$1),1),"")</f>
      </c>
      <c r="V20" s="37">
        <v>7.6</v>
      </c>
      <c r="W20" s="38"/>
    </row>
    <row r="21" ht="24" customHeight="1" spans="1:23" x14ac:dyDescent="0.25">
      <c r="A21" s="31">
        <v>365</v>
      </c>
      <c r="B21" s="32" t="s">
        <v>50</v>
      </c>
      <c r="C21" s="33" t="s">
        <v>24</v>
      </c>
      <c r="D21" s="34">
        <v>2019</v>
      </c>
      <c r="E21" s="34" t="s">
        <v>30</v>
      </c>
      <c r="F21" s="6"/>
      <c r="G21" s="6"/>
      <c r="H21" s="6"/>
      <c r="I21" s="6"/>
      <c r="J21" s="6"/>
      <c r="K21" s="6">
        <v>8</v>
      </c>
      <c r="L21" s="6"/>
      <c r="M21" s="6"/>
      <c r="N21" s="6">
        <v>6</v>
      </c>
      <c r="O21" s="6"/>
      <c r="P21" s="6"/>
      <c r="Q21" s="6">
        <v>8</v>
      </c>
      <c r="R21" s="6"/>
      <c r="S21" s="35">
        <f>SUM(F21:R21)</f>
        <v>22</v>
      </c>
      <c r="T21" s="35">
        <f>COUNT(F21:R21)</f>
        <v>3</v>
      </c>
      <c r="U21" s="36">
        <f>IF(T21&gt;=2,ROUND((IF(T21=2,0.55,IF(T21&lt;=4,0.7,IF(T21&lt;=6,0.8,IF(T21&lt;=9,0.9,1))))*(S21/T21)+(1-(IF(T21=2,0.55,IF(T21&lt;=4,0.7,IF(T21&lt;=6,0.8,IF(T21&lt;=9,0.9,1))))))*$Y$1),1),"")</f>
        <v>7.6</v>
      </c>
      <c r="V21" s="37">
        <v>5.9</v>
      </c>
      <c r="W21" s="38"/>
    </row>
    <row r="22" ht="24" customHeight="1" spans="1:23" x14ac:dyDescent="0.25">
      <c r="A22" s="31">
        <v>566</v>
      </c>
      <c r="B22" s="32" t="s">
        <v>51</v>
      </c>
      <c r="C22" s="33" t="s">
        <v>24</v>
      </c>
      <c r="D22" s="34">
        <v>2008</v>
      </c>
      <c r="E22" s="34" t="s">
        <v>52</v>
      </c>
      <c r="F22" s="6"/>
      <c r="G22" s="6">
        <v>8</v>
      </c>
      <c r="H22" s="6"/>
      <c r="I22" s="6"/>
      <c r="J22" s="6"/>
      <c r="K22" s="6"/>
      <c r="L22" s="6"/>
      <c r="M22" s="6"/>
      <c r="N22" s="6"/>
      <c r="O22" s="6"/>
      <c r="P22" s="6">
        <v>8</v>
      </c>
      <c r="Q22" s="6"/>
      <c r="R22" s="6"/>
      <c r="S22" s="35">
        <f>SUM(F22:R22)</f>
        <v>16</v>
      </c>
      <c r="T22" s="35">
        <f>COUNT(F22:R22)</f>
        <v>2</v>
      </c>
      <c r="U22" s="36">
        <f>IF(T22&gt;=2,ROUND((IF(T22=2,0.55,IF(T22&lt;=4,0.7,IF(T22&lt;=6,0.8,IF(T22&lt;=9,0.9,1))))*(S22/T22)+(1-(IF(T22=2,0.55,IF(T22&lt;=4,0.7,IF(T22&lt;=6,0.8,IF(T22&lt;=9,0.9,1))))))*$Y$1),1),"")</f>
        <v>8</v>
      </c>
      <c r="V22" s="37">
        <v>8.4</v>
      </c>
      <c r="W22" s="38"/>
    </row>
    <row r="23" ht="24" customHeight="1" spans="1:23" x14ac:dyDescent="0.25">
      <c r="A23" s="40">
        <v>2264</v>
      </c>
      <c r="B23" s="32" t="s">
        <v>53</v>
      </c>
      <c r="C23" s="33" t="s">
        <v>24</v>
      </c>
      <c r="D23" s="34">
        <v>2010</v>
      </c>
      <c r="E23" s="41"/>
      <c r="F23" s="6"/>
      <c r="G23" s="6">
        <v>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35">
        <f>SUM(F23:R23)</f>
        <v>7</v>
      </c>
      <c r="T23" s="35">
        <f>COUNT(F23:R23)</f>
        <v>1</v>
      </c>
      <c r="U23" s="36">
        <f>IF(T23&gt;=2,ROUND((IF(T23=2,0.55,IF(T23&lt;=4,0.7,IF(T23&lt;=6,0.8,IF(T23&lt;=9,0.9,1))))*(S23/T23)+(1-(IF(T23=2,0.55,IF(T23&lt;=4,0.7,IF(T23&lt;=6,0.8,IF(T23&lt;=9,0.9,1))))))*$Y$1),1),"")</f>
      </c>
      <c r="V23" s="37">
        <v>6.2</v>
      </c>
      <c r="W23" s="38"/>
    </row>
    <row r="24" ht="47.25" customHeight="1" spans="1:23" x14ac:dyDescent="0.25">
      <c r="A24" s="31">
        <v>1321</v>
      </c>
      <c r="B24" s="32" t="s">
        <v>54</v>
      </c>
      <c r="C24" s="33" t="s">
        <v>24</v>
      </c>
      <c r="D24" s="34">
        <v>2019</v>
      </c>
      <c r="E24" s="34" t="s">
        <v>30</v>
      </c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35">
        <f>SUM(F24:R24)</f>
        <v>8</v>
      </c>
      <c r="T24" s="35">
        <f>COUNT(F24:R24)</f>
        <v>1</v>
      </c>
      <c r="U24" s="36">
        <f>IF(T24&gt;=2,ROUND((IF(T24=2,0.55,IF(T24&lt;=4,0.7,IF(T24&lt;=6,0.8,IF(T24&lt;=9,0.9,1))))*(S24/T24)+(1-(IF(T24=2,0.55,IF(T24&lt;=4,0.7,IF(T24&lt;=6,0.8,IF(T24&lt;=9,0.9,1))))))*$Y$1),1),"")</f>
      </c>
      <c r="V24" s="37">
        <v>6.4</v>
      </c>
      <c r="W24" s="38"/>
    </row>
    <row r="25" ht="24" customHeight="1" spans="1:23" x14ac:dyDescent="0.25">
      <c r="A25" s="46">
        <v>1250</v>
      </c>
      <c r="B25" s="32" t="s">
        <v>55</v>
      </c>
      <c r="C25" s="33" t="s">
        <v>24</v>
      </c>
      <c r="D25" s="34">
        <v>2004</v>
      </c>
      <c r="E25" s="34" t="s">
        <v>27</v>
      </c>
      <c r="F25" s="6"/>
      <c r="G25" s="6"/>
      <c r="H25" s="6"/>
      <c r="I25" s="6"/>
      <c r="J25" s="6">
        <v>8</v>
      </c>
      <c r="K25" s="6"/>
      <c r="L25" s="6"/>
      <c r="M25" s="6"/>
      <c r="N25" s="6"/>
      <c r="O25" s="6"/>
      <c r="P25" s="6"/>
      <c r="Q25" s="6"/>
      <c r="R25" s="6"/>
      <c r="S25" s="35">
        <f>SUM(F25:R25)</f>
        <v>8</v>
      </c>
      <c r="T25" s="35">
        <f>COUNT(F25:R25)</f>
        <v>1</v>
      </c>
      <c r="U25" s="36">
        <f>IF(T25&gt;=2,ROUND((IF(T25=2,0.55,IF(T25&lt;=4,0.7,IF(T25&lt;=6,0.8,IF(T25&lt;=9,0.9,1))))*(S25/T25)+(1-(IF(T25=2,0.55,IF(T25&lt;=4,0.7,IF(T25&lt;=6,0.8,IF(T25&lt;=9,0.9,1))))))*$Y$1),1),"")</f>
      </c>
      <c r="V25" s="37">
        <v>7.8</v>
      </c>
      <c r="W25" s="38"/>
    </row>
    <row r="26" ht="24" customHeight="1" spans="1:23" x14ac:dyDescent="0.25">
      <c r="A26" s="31">
        <v>1648</v>
      </c>
      <c r="B26" s="32" t="s">
        <v>56</v>
      </c>
      <c r="C26" s="33" t="s">
        <v>29</v>
      </c>
      <c r="D26" s="34">
        <v>2022</v>
      </c>
      <c r="E26" s="34" t="s">
        <v>30</v>
      </c>
      <c r="F26" s="6">
        <v>8</v>
      </c>
      <c r="G26" s="6"/>
      <c r="H26" s="6"/>
      <c r="I26" s="6"/>
      <c r="J26" s="6"/>
      <c r="K26" s="6">
        <v>8</v>
      </c>
      <c r="L26" s="6">
        <v>9</v>
      </c>
      <c r="M26" s="6"/>
      <c r="N26" s="6"/>
      <c r="O26" s="6"/>
      <c r="P26" s="6"/>
      <c r="Q26" s="6">
        <v>8</v>
      </c>
      <c r="R26" s="6"/>
      <c r="S26" s="35">
        <f>SUM(F26:R26)</f>
        <v>33</v>
      </c>
      <c r="T26" s="35">
        <f>COUNT(F26:R26)</f>
        <v>4</v>
      </c>
      <c r="U26" s="36">
        <f>IF(T26&gt;=2,ROUND((IF(T26=2,0.55,IF(T26&lt;=4,0.7,IF(T26&lt;=6,0.8,IF(T26&lt;=9,0.9,1))))*(S26/T26)+(1-(IF(T26=2,0.55,IF(T26&lt;=4,0.7,IF(T26&lt;=6,0.8,IF(T26&lt;=9,0.9,1))))))*$Y$1),1),"")</f>
        <v>8.2</v>
      </c>
      <c r="V26" s="37">
        <v>7.6</v>
      </c>
      <c r="W26" s="38"/>
    </row>
    <row r="27" ht="24" customHeight="1" spans="1:23" x14ac:dyDescent="0.25">
      <c r="A27" s="31">
        <v>1921</v>
      </c>
      <c r="B27" s="32" t="s">
        <v>57</v>
      </c>
      <c r="C27" s="33" t="s">
        <v>29</v>
      </c>
      <c r="D27" s="34">
        <v>2024</v>
      </c>
      <c r="E27" s="34" t="s">
        <v>58</v>
      </c>
      <c r="F27" s="6"/>
      <c r="G27" s="6"/>
      <c r="H27" s="6"/>
      <c r="I27" s="6"/>
      <c r="J27" s="6"/>
      <c r="K27" s="6"/>
      <c r="L27" s="6">
        <v>8</v>
      </c>
      <c r="M27" s="6"/>
      <c r="N27" s="6"/>
      <c r="O27" s="6"/>
      <c r="P27" s="6"/>
      <c r="Q27" s="6"/>
      <c r="R27" s="6"/>
      <c r="S27" s="35">
        <f>SUM(F27:R27)</f>
        <v>8</v>
      </c>
      <c r="T27" s="35">
        <f>COUNT(F27:R27)</f>
        <v>1</v>
      </c>
      <c r="U27" s="36">
        <f>IF(T27&gt;=2,ROUND((IF(T27=2,0.55,IF(T27&lt;=4,0.7,IF(T27&lt;=6,0.8,IF(T27&lt;=9,0.9,1))))*(S27/T27)+(1-(IF(T27=2,0.55,IF(T27&lt;=4,0.7,IF(T27&lt;=6,0.8,IF(T27&lt;=9,0.9,1))))))*$Y$1),1),"")</f>
      </c>
      <c r="V27" s="37">
        <v>7.4</v>
      </c>
      <c r="W27" s="38"/>
    </row>
    <row r="28" ht="24" customHeight="1" spans="1:23" x14ac:dyDescent="0.25">
      <c r="A28" s="31">
        <v>565</v>
      </c>
      <c r="B28" s="32" t="s">
        <v>59</v>
      </c>
      <c r="C28" s="33" t="s">
        <v>24</v>
      </c>
      <c r="D28" s="34">
        <v>2006</v>
      </c>
      <c r="E28" s="34" t="s">
        <v>60</v>
      </c>
      <c r="F28" s="6">
        <v>8</v>
      </c>
      <c r="G28" s="6">
        <v>8</v>
      </c>
      <c r="H28" s="6">
        <v>8</v>
      </c>
      <c r="I28" s="6"/>
      <c r="J28" s="6">
        <v>8</v>
      </c>
      <c r="K28" s="6">
        <v>10</v>
      </c>
      <c r="L28" s="6">
        <v>8</v>
      </c>
      <c r="M28" s="6"/>
      <c r="N28" s="6"/>
      <c r="O28" s="6">
        <v>8</v>
      </c>
      <c r="P28" s="6">
        <v>8</v>
      </c>
      <c r="Q28" s="6">
        <v>10</v>
      </c>
      <c r="R28" s="6">
        <v>6</v>
      </c>
      <c r="S28" s="35">
        <f>SUM(F28:R28)</f>
        <v>82</v>
      </c>
      <c r="T28" s="35">
        <f>COUNT(F28:R28)</f>
        <v>10</v>
      </c>
      <c r="U28" s="36">
        <f>IF(T28&gt;=2,ROUND((IF(T28=2,0.55,IF(T28&lt;=4,0.7,IF(T28&lt;=6,0.8,IF(T28&lt;=9,0.9,1))))*(S28/T28)+(1-(IF(T28=2,0.55,IF(T28&lt;=4,0.7,IF(T28&lt;=6,0.8,IF(T28&lt;=9,0.9,1))))))*$Y$1),1),"")</f>
        <v>8.2</v>
      </c>
      <c r="V28" s="37">
        <v>7.6</v>
      </c>
      <c r="W28" s="38"/>
    </row>
    <row r="29" ht="24" customHeight="1" spans="1:23" s="39" customFormat="1" x14ac:dyDescent="0.25">
      <c r="A29" s="46">
        <v>1248</v>
      </c>
      <c r="B29" s="32" t="s">
        <v>61</v>
      </c>
      <c r="C29" s="33" t="s">
        <v>24</v>
      </c>
      <c r="D29" s="34">
        <v>2022</v>
      </c>
      <c r="E29" s="34" t="s">
        <v>27</v>
      </c>
      <c r="F29" s="6"/>
      <c r="G29" s="6"/>
      <c r="H29" s="6"/>
      <c r="I29" s="6"/>
      <c r="J29" s="6"/>
      <c r="K29" s="6">
        <v>8</v>
      </c>
      <c r="L29" s="6"/>
      <c r="M29" s="6"/>
      <c r="N29" s="6"/>
      <c r="O29" s="6"/>
      <c r="P29" s="6"/>
      <c r="Q29" s="6">
        <v>8</v>
      </c>
      <c r="R29" s="6"/>
      <c r="S29" s="35">
        <f>SUM(F29:R29)</f>
        <v>16</v>
      </c>
      <c r="T29" s="35">
        <f>COUNT(F29:R29)</f>
        <v>2</v>
      </c>
      <c r="U29" s="36">
        <f>IF(T29&gt;=2,ROUND((IF(T29=2,0.55,IF(T29&lt;=4,0.7,IF(T29&lt;=6,0.8,IF(T29&lt;=9,0.9,1))))*(S29/T29)+(1-(IF(T29=2,0.55,IF(T29&lt;=4,0.7,IF(T29&lt;=6,0.8,IF(T29&lt;=9,0.9,1))))))*$Y$1),1),"")</f>
        <v>8</v>
      </c>
      <c r="V29" s="37">
        <v>6.5</v>
      </c>
      <c r="W29" s="38"/>
    </row>
    <row r="30" ht="24" customHeight="1" spans="1:23" x14ac:dyDescent="0.25">
      <c r="A30" s="31">
        <v>1854</v>
      </c>
      <c r="B30" s="32" t="s">
        <v>62</v>
      </c>
      <c r="C30" s="33" t="s">
        <v>24</v>
      </c>
      <c r="D30" s="34">
        <v>2019</v>
      </c>
      <c r="E30" s="34" t="s">
        <v>25</v>
      </c>
      <c r="F30" s="6"/>
      <c r="G30" s="6">
        <v>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35">
        <f>SUM(F30:R30)</f>
        <v>7</v>
      </c>
      <c r="T30" s="35">
        <f>COUNT(F30:R30)</f>
        <v>1</v>
      </c>
      <c r="U30" s="36">
        <f>IF(T30&gt;=2,ROUND((IF(T30=2,0.55,IF(T30&lt;=4,0.7,IF(T30&lt;=6,0.8,IF(T30&lt;=9,0.9,1))))*(S30/T30)+(1-(IF(T30=2,0.55,IF(T30&lt;=4,0.7,IF(T30&lt;=6,0.8,IF(T30&lt;=9,0.9,1))))))*$Y$1),1),"")</f>
      </c>
      <c r="V30" s="37">
        <v>7.6</v>
      </c>
      <c r="W30" s="38"/>
    </row>
    <row r="31" ht="24" customHeight="1" spans="1:23" x14ac:dyDescent="0.25">
      <c r="A31" s="31">
        <v>1012</v>
      </c>
      <c r="B31" s="32" t="s">
        <v>63</v>
      </c>
      <c r="C31" s="33" t="s">
        <v>24</v>
      </c>
      <c r="D31" s="34">
        <v>2021</v>
      </c>
      <c r="E31" s="34" t="s">
        <v>30</v>
      </c>
      <c r="F31" s="6"/>
      <c r="G31" s="6"/>
      <c r="H31" s="6"/>
      <c r="I31" s="6"/>
      <c r="J31" s="6">
        <v>6</v>
      </c>
      <c r="K31" s="6"/>
      <c r="L31" s="6"/>
      <c r="M31" s="6"/>
      <c r="N31" s="6"/>
      <c r="O31" s="6"/>
      <c r="P31" s="6"/>
      <c r="Q31" s="6"/>
      <c r="R31" s="6"/>
      <c r="S31" s="35">
        <f>SUM(F31:R31)</f>
        <v>6</v>
      </c>
      <c r="T31" s="35">
        <f>COUNT(F31:R31)</f>
        <v>1</v>
      </c>
      <c r="U31" s="36">
        <f>IF(T31&gt;=2,ROUND((IF(T31=2,0.55,IF(T31&lt;=4,0.7,IF(T31&lt;=6,0.8,IF(T31&lt;=9,0.9,1))))*(S31/T31)+(1-(IF(T31=2,0.55,IF(T31&lt;=4,0.7,IF(T31&lt;=6,0.8,IF(T31&lt;=9,0.9,1))))))*$Y$1),1),"")</f>
      </c>
      <c r="V31" s="37">
        <v>6.2</v>
      </c>
      <c r="W31" s="38"/>
    </row>
    <row r="32" ht="24" customHeight="1" spans="1:23" x14ac:dyDescent="0.25">
      <c r="A32" s="40">
        <v>2394</v>
      </c>
      <c r="B32" s="32" t="s">
        <v>64</v>
      </c>
      <c r="C32" s="33" t="s">
        <v>24</v>
      </c>
      <c r="D32" s="34">
        <v>2025</v>
      </c>
      <c r="E32" s="41"/>
      <c r="F32" s="6">
        <v>8</v>
      </c>
      <c r="G32" s="6"/>
      <c r="H32" s="6"/>
      <c r="I32" s="6"/>
      <c r="J32" s="6">
        <v>8</v>
      </c>
      <c r="K32" s="6"/>
      <c r="L32" s="6">
        <v>8</v>
      </c>
      <c r="M32" s="6"/>
      <c r="N32" s="6"/>
      <c r="O32" s="6"/>
      <c r="P32" s="6"/>
      <c r="Q32" s="6"/>
      <c r="R32" s="6"/>
      <c r="S32" s="35">
        <f>SUM(F32:R32)</f>
        <v>24</v>
      </c>
      <c r="T32" s="35">
        <f>COUNT(F32:R32)</f>
        <v>3</v>
      </c>
      <c r="U32" s="36">
        <f>IF(T32&gt;=2,ROUND((IF(T32=2,0.55,IF(T32&lt;=4,0.7,IF(T32&lt;=6,0.8,IF(T32&lt;=9,0.9,1))))*(S32/T32)+(1-(IF(T32=2,0.55,IF(T32&lt;=4,0.7,IF(T32&lt;=6,0.8,IF(T32&lt;=9,0.9,1))))))*$Y$1),1),"")</f>
        <v>8</v>
      </c>
      <c r="V32" s="37">
        <v>7.3</v>
      </c>
      <c r="W32" s="38"/>
    </row>
    <row r="33" ht="24" customHeight="1" spans="1:23" x14ac:dyDescent="0.25">
      <c r="A33" s="31">
        <v>564</v>
      </c>
      <c r="B33" s="32" t="s">
        <v>65</v>
      </c>
      <c r="C33" s="33" t="s">
        <v>24</v>
      </c>
      <c r="D33" s="34">
        <v>2019</v>
      </c>
      <c r="E33" s="34" t="s">
        <v>30</v>
      </c>
      <c r="F33" s="6">
        <v>8</v>
      </c>
      <c r="G33" s="6">
        <v>8</v>
      </c>
      <c r="H33" s="6">
        <v>8</v>
      </c>
      <c r="I33" s="6">
        <v>8</v>
      </c>
      <c r="J33" s="6">
        <v>8</v>
      </c>
      <c r="K33" s="6">
        <v>10</v>
      </c>
      <c r="L33" s="6">
        <v>8</v>
      </c>
      <c r="M33" s="6">
        <v>8</v>
      </c>
      <c r="N33" s="6">
        <v>8</v>
      </c>
      <c r="O33" s="6">
        <v>8</v>
      </c>
      <c r="P33" s="6">
        <v>8</v>
      </c>
      <c r="Q33" s="6">
        <v>10</v>
      </c>
      <c r="R33" s="6"/>
      <c r="S33" s="35">
        <f>SUM(F33:R33)</f>
        <v>100</v>
      </c>
      <c r="T33" s="35">
        <f>COUNT(F33:R33)</f>
        <v>12</v>
      </c>
      <c r="U33" s="36">
        <f>IF(T33&gt;=2,ROUND((IF(T33=2,0.55,IF(T33&lt;=4,0.7,IF(T33&lt;=6,0.8,IF(T33&lt;=9,0.9,1))))*(S33/T33)+(1-(IF(T33=2,0.55,IF(T33&lt;=4,0.7,IF(T33&lt;=6,0.8,IF(T33&lt;=9,0.9,1))))))*$Y$1),1),"")</f>
        <v>8.3</v>
      </c>
      <c r="V33" s="37">
        <v>7.2</v>
      </c>
      <c r="W33" s="38"/>
    </row>
    <row r="34" ht="24" customHeight="1" spans="1:23" x14ac:dyDescent="0.25">
      <c r="A34" s="31">
        <v>1757</v>
      </c>
      <c r="B34" s="32" t="s">
        <v>66</v>
      </c>
      <c r="C34" s="33" t="s">
        <v>24</v>
      </c>
      <c r="D34" s="34">
        <v>2022</v>
      </c>
      <c r="E34" s="34" t="s">
        <v>27</v>
      </c>
      <c r="F34" s="6">
        <v>8</v>
      </c>
      <c r="G34" s="6"/>
      <c r="H34" s="6"/>
      <c r="I34" s="6"/>
      <c r="J34" s="6">
        <v>8</v>
      </c>
      <c r="K34" s="6">
        <v>8</v>
      </c>
      <c r="L34" s="6">
        <v>7</v>
      </c>
      <c r="M34" s="6"/>
      <c r="N34" s="6"/>
      <c r="O34" s="6"/>
      <c r="P34" s="6"/>
      <c r="Q34" s="6">
        <v>8</v>
      </c>
      <c r="R34" s="6"/>
      <c r="S34" s="35">
        <f>SUM(F34:R34)</f>
        <v>39</v>
      </c>
      <c r="T34" s="35">
        <f>COUNT(F34:R34)</f>
        <v>5</v>
      </c>
      <c r="U34" s="36">
        <f>IF(T34&gt;=2,ROUND((IF(T34=2,0.55,IF(T34&lt;=4,0.7,IF(T34&lt;=6,0.8,IF(T34&lt;=9,0.9,1))))*(S34/T34)+(1-(IF(T34=2,0.55,IF(T34&lt;=4,0.7,IF(T34&lt;=6,0.8,IF(T34&lt;=9,0.9,1))))))*$Y$1),1),"")</f>
        <v>7.9</v>
      </c>
      <c r="V34" s="37">
        <v>7.2</v>
      </c>
      <c r="W34" s="38"/>
    </row>
    <row r="35" ht="24" customHeight="1" spans="1:23" x14ac:dyDescent="0.25">
      <c r="A35" s="40">
        <v>2315</v>
      </c>
      <c r="B35" s="32" t="s">
        <v>67</v>
      </c>
      <c r="C35" s="33" t="s">
        <v>24</v>
      </c>
      <c r="D35" s="34">
        <v>2017</v>
      </c>
      <c r="E35" s="41"/>
      <c r="F35" s="6"/>
      <c r="G35" s="6">
        <v>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35">
        <f>SUM(F35:R35)</f>
        <v>8</v>
      </c>
      <c r="T35" s="35">
        <f>COUNT(F35:R35)</f>
        <v>1</v>
      </c>
      <c r="U35" s="36">
        <f>IF(T35&gt;=2,ROUND((IF(T35=2,0.55,IF(T35&lt;=4,0.7,IF(T35&lt;=6,0.8,IF(T35&lt;=9,0.9,1))))*(S35/T35)+(1-(IF(T35=2,0.55,IF(T35&lt;=4,0.7,IF(T35&lt;=6,0.8,IF(T35&lt;=9,0.9,1))))))*$Y$1),1),"")</f>
      </c>
      <c r="V35" s="37">
        <v>8.4</v>
      </c>
      <c r="W35" s="38"/>
    </row>
    <row r="36" ht="24" customHeight="1" spans="1:23" x14ac:dyDescent="0.25">
      <c r="A36" s="31">
        <v>1316</v>
      </c>
      <c r="B36" s="32" t="s">
        <v>68</v>
      </c>
      <c r="C36" s="33" t="s">
        <v>29</v>
      </c>
      <c r="D36" s="34">
        <v>2016</v>
      </c>
      <c r="E36" s="34" t="s">
        <v>69</v>
      </c>
      <c r="F36" s="6">
        <v>8</v>
      </c>
      <c r="G36" s="6"/>
      <c r="H36" s="6">
        <v>10</v>
      </c>
      <c r="I36" s="6"/>
      <c r="J36" s="6"/>
      <c r="K36" s="6">
        <v>10</v>
      </c>
      <c r="L36" s="6">
        <v>10</v>
      </c>
      <c r="M36" s="6"/>
      <c r="N36" s="6"/>
      <c r="O36" s="6"/>
      <c r="P36" s="6"/>
      <c r="Q36" s="6">
        <v>10</v>
      </c>
      <c r="R36" s="6"/>
      <c r="S36" s="35">
        <f>SUM(F36:R36)</f>
        <v>48</v>
      </c>
      <c r="T36" s="35">
        <f>COUNT(F36:R36)</f>
        <v>5</v>
      </c>
      <c r="U36" s="36">
        <f>IF(T36&gt;=2,ROUND((IF(T36=2,0.55,IF(T36&lt;=4,0.7,IF(T36&lt;=6,0.8,IF(T36&lt;=9,0.9,1))))*(S36/T36)+(1-(IF(T36=2,0.55,IF(T36&lt;=4,0.7,IF(T36&lt;=6,0.8,IF(T36&lt;=9,0.9,1))))))*$Y$1),1),"")</f>
        <v>9.3</v>
      </c>
      <c r="V36" s="37">
        <v>8.2</v>
      </c>
      <c r="W36" s="38"/>
    </row>
    <row r="37" ht="24" customHeight="1" spans="1:23" x14ac:dyDescent="0.25">
      <c r="A37" s="31">
        <v>2045</v>
      </c>
      <c r="B37" s="32" t="s">
        <v>70</v>
      </c>
      <c r="C37" s="33" t="s">
        <v>24</v>
      </c>
      <c r="D37" s="34">
        <v>2025</v>
      </c>
      <c r="E37" s="41"/>
      <c r="F37" s="6"/>
      <c r="G37" s="6"/>
      <c r="H37" s="6"/>
      <c r="I37" s="6"/>
      <c r="J37" s="6"/>
      <c r="K37" s="6"/>
      <c r="L37" s="6">
        <v>7</v>
      </c>
      <c r="M37" s="6"/>
      <c r="N37" s="6"/>
      <c r="O37" s="6"/>
      <c r="P37" s="6"/>
      <c r="Q37" s="6"/>
      <c r="R37" s="6"/>
      <c r="S37" s="35">
        <f>SUM(F37:R37)</f>
        <v>7</v>
      </c>
      <c r="T37" s="35">
        <f>COUNT(F37:R37)</f>
        <v>1</v>
      </c>
      <c r="U37" s="36">
        <f>IF(T37&gt;=2,ROUND((IF(T37=2,0.55,IF(T37&lt;=4,0.7,IF(T37&lt;=6,0.8,IF(T37&lt;=9,0.9,1))))*(S37/T37)+(1-(IF(T37=2,0.55,IF(T37&lt;=4,0.7,IF(T37&lt;=6,0.8,IF(T37&lt;=9,0.9,1))))))*$Y$1),1),"")</f>
      </c>
      <c r="V37" s="37">
        <v>7.4</v>
      </c>
      <c r="W37" s="38"/>
    </row>
    <row r="38" ht="24" customHeight="1" spans="1:23" x14ac:dyDescent="0.25">
      <c r="A38" s="31">
        <v>1726</v>
      </c>
      <c r="B38" s="32" t="s">
        <v>71</v>
      </c>
      <c r="C38" s="33" t="s">
        <v>24</v>
      </c>
      <c r="D38" s="34">
        <v>2013</v>
      </c>
      <c r="E38" s="34" t="s">
        <v>30</v>
      </c>
      <c r="F38" s="6"/>
      <c r="G38" s="6"/>
      <c r="H38" s="6"/>
      <c r="I38" s="6"/>
      <c r="J38" s="6"/>
      <c r="K38" s="6"/>
      <c r="L38" s="6"/>
      <c r="M38" s="6"/>
      <c r="N38" s="6"/>
      <c r="O38" s="6">
        <v>4</v>
      </c>
      <c r="P38" s="6"/>
      <c r="Q38" s="6"/>
      <c r="R38" s="6"/>
      <c r="S38" s="35">
        <f>SUM(F38:R38)</f>
        <v>4</v>
      </c>
      <c r="T38" s="35">
        <f>COUNT(F38:R38)</f>
        <v>1</v>
      </c>
      <c r="U38" s="36">
        <f>IF(T38&gt;=2,ROUND((IF(T38=2,0.55,IF(T38&lt;=4,0.7,IF(T38&lt;=6,0.8,IF(T38&lt;=9,0.9,1))))*(S38/T38)+(1-(IF(T38=2,0.55,IF(T38&lt;=4,0.7,IF(T38&lt;=6,0.8,IF(T38&lt;=9,0.9,1))))))*$Y$1),1),"")</f>
      </c>
      <c r="V38" s="37">
        <v>6.1</v>
      </c>
      <c r="W38" s="38"/>
    </row>
    <row r="39" ht="24" customHeight="1" spans="1:23" x14ac:dyDescent="0.25">
      <c r="A39" s="31">
        <v>143</v>
      </c>
      <c r="B39" s="32" t="s">
        <v>72</v>
      </c>
      <c r="C39" s="33" t="s">
        <v>29</v>
      </c>
      <c r="D39" s="34">
        <v>2015</v>
      </c>
      <c r="E39" s="34" t="s">
        <v>30</v>
      </c>
      <c r="F39" s="6"/>
      <c r="G39" s="6"/>
      <c r="H39" s="6">
        <v>9</v>
      </c>
      <c r="I39" s="6"/>
      <c r="J39" s="6"/>
      <c r="K39" s="6"/>
      <c r="L39" s="6">
        <v>8</v>
      </c>
      <c r="M39" s="6"/>
      <c r="N39" s="6"/>
      <c r="O39" s="6"/>
      <c r="P39" s="6"/>
      <c r="Q39" s="6"/>
      <c r="R39" s="6"/>
      <c r="S39" s="35">
        <f>SUM(F39:R39)</f>
        <v>17</v>
      </c>
      <c r="T39" s="35">
        <f>COUNT(F39:R39)</f>
        <v>2</v>
      </c>
      <c r="U39" s="36">
        <f>IF(T39&gt;=2,ROUND((IF(T39=2,0.55,IF(T39&lt;=4,0.7,IF(T39&lt;=6,0.8,IF(T39&lt;=9,0.9,1))))*(S39/T39)+(1-(IF(T39=2,0.55,IF(T39&lt;=4,0.7,IF(T39&lt;=6,0.8,IF(T39&lt;=9,0.9,1))))))*$Y$1),1),"")</f>
        <v>8.3</v>
      </c>
      <c r="V39" s="37">
        <v>7.8</v>
      </c>
      <c r="W39" s="38"/>
    </row>
    <row r="40" ht="24" customHeight="1" spans="1:23" x14ac:dyDescent="0.25">
      <c r="A40" s="31">
        <v>407</v>
      </c>
      <c r="B40" s="32" t="s">
        <v>73</v>
      </c>
      <c r="C40" s="33" t="s">
        <v>29</v>
      </c>
      <c r="D40" s="34">
        <v>2019</v>
      </c>
      <c r="E40" s="34" t="s">
        <v>30</v>
      </c>
      <c r="F40" s="6"/>
      <c r="G40" s="6"/>
      <c r="H40" s="6">
        <v>8</v>
      </c>
      <c r="I40" s="6"/>
      <c r="J40" s="6"/>
      <c r="K40" s="6"/>
      <c r="L40" s="6">
        <v>8</v>
      </c>
      <c r="M40" s="6"/>
      <c r="N40" s="6"/>
      <c r="O40" s="6"/>
      <c r="P40" s="6"/>
      <c r="Q40" s="6"/>
      <c r="R40" s="6">
        <v>10</v>
      </c>
      <c r="S40" s="35">
        <f>SUM(F40:R40)</f>
        <v>26</v>
      </c>
      <c r="T40" s="35">
        <f>COUNT(F40:R40)</f>
        <v>3</v>
      </c>
      <c r="U40" s="36">
        <f>IF(T40&gt;=2,ROUND((IF(T40=2,0.55,IF(T40&lt;=4,0.7,IF(T40&lt;=6,0.8,IF(T40&lt;=9,0.9,1))))*(S40/T40)+(1-(IF(T40=2,0.55,IF(T40&lt;=4,0.7,IF(T40&lt;=6,0.8,IF(T40&lt;=9,0.9,1))))))*$Y$1),1),"")</f>
        <v>8.5</v>
      </c>
      <c r="V40" s="37">
        <v>7.4</v>
      </c>
      <c r="W40" s="38"/>
    </row>
    <row r="41" ht="24" customHeight="1" spans="1:23" x14ac:dyDescent="0.25">
      <c r="A41" s="31">
        <v>142</v>
      </c>
      <c r="B41" s="32" t="s">
        <v>74</v>
      </c>
      <c r="C41" s="33" t="s">
        <v>24</v>
      </c>
      <c r="D41" s="34">
        <v>2005</v>
      </c>
      <c r="E41" s="34" t="s">
        <v>30</v>
      </c>
      <c r="F41" s="6">
        <v>8</v>
      </c>
      <c r="G41" s="6">
        <v>8</v>
      </c>
      <c r="H41" s="6"/>
      <c r="I41" s="6">
        <v>8</v>
      </c>
      <c r="J41" s="6">
        <v>8</v>
      </c>
      <c r="K41" s="6">
        <v>10</v>
      </c>
      <c r="L41" s="6">
        <v>6</v>
      </c>
      <c r="M41" s="6"/>
      <c r="N41" s="6">
        <v>10</v>
      </c>
      <c r="O41" s="6"/>
      <c r="P41" s="6">
        <v>8</v>
      </c>
      <c r="Q41" s="6">
        <v>10</v>
      </c>
      <c r="R41" s="6"/>
      <c r="S41" s="35">
        <f>SUM(F41:R41)</f>
        <v>76</v>
      </c>
      <c r="T41" s="35">
        <f>COUNT(F41:R41)</f>
        <v>9</v>
      </c>
      <c r="U41" s="36">
        <f>IF(T41&gt;=2,ROUND((IF(T41=2,0.55,IF(T41&lt;=4,0.7,IF(T41&lt;=6,0.8,IF(T41&lt;=9,0.9,1))))*(S41/T41)+(1-(IF(T41=2,0.55,IF(T41&lt;=4,0.7,IF(T41&lt;=6,0.8,IF(T41&lt;=9,0.9,1))))))*$Y$1),1),"")</f>
        <v>8.4</v>
      </c>
      <c r="V41" s="37">
        <v>7.9</v>
      </c>
      <c r="W41" s="38"/>
    </row>
    <row r="42" ht="24" customHeight="1" spans="1:23" x14ac:dyDescent="0.25">
      <c r="A42" s="31">
        <v>1139</v>
      </c>
      <c r="B42" s="32" t="s">
        <v>75</v>
      </c>
      <c r="C42" s="33" t="s">
        <v>24</v>
      </c>
      <c r="D42" s="34">
        <v>2021</v>
      </c>
      <c r="E42" s="34" t="s">
        <v>30</v>
      </c>
      <c r="F42" s="6"/>
      <c r="G42" s="6"/>
      <c r="H42" s="6"/>
      <c r="I42" s="6"/>
      <c r="J42" s="6"/>
      <c r="K42" s="6"/>
      <c r="L42" s="6"/>
      <c r="M42" s="6"/>
      <c r="N42" s="6">
        <v>6</v>
      </c>
      <c r="O42" s="6"/>
      <c r="P42" s="6"/>
      <c r="Q42" s="6"/>
      <c r="R42" s="6"/>
      <c r="S42" s="35">
        <f>SUM(F42:R42)</f>
        <v>6</v>
      </c>
      <c r="T42" s="35">
        <f>COUNT(F42:R42)</f>
        <v>1</v>
      </c>
      <c r="U42" s="36">
        <f>IF(T42&gt;=2,ROUND((IF(T42=2,0.55,IF(T42&lt;=4,0.7,IF(T42&lt;=6,0.8,IF(T42&lt;=9,0.9,1))))*(S42/T42)+(1-(IF(T42=2,0.55,IF(T42&lt;=4,0.7,IF(T42&lt;=6,0.8,IF(T42&lt;=9,0.9,1))))))*$Y$1),1),"")</f>
      </c>
      <c r="V42" s="37">
        <v>6.6</v>
      </c>
      <c r="W42" s="38"/>
    </row>
    <row r="43" ht="24" customHeight="1" spans="1:23" x14ac:dyDescent="0.25">
      <c r="A43" s="31">
        <v>1999</v>
      </c>
      <c r="B43" s="32" t="s">
        <v>76</v>
      </c>
      <c r="C43" s="33" t="s">
        <v>29</v>
      </c>
      <c r="D43" s="34">
        <v>2025</v>
      </c>
      <c r="E43" s="34" t="s">
        <v>30</v>
      </c>
      <c r="F43" s="6"/>
      <c r="G43" s="6"/>
      <c r="H43" s="6"/>
      <c r="I43" s="6"/>
      <c r="J43" s="6"/>
      <c r="K43" s="6"/>
      <c r="L43" s="6">
        <v>8</v>
      </c>
      <c r="M43" s="6"/>
      <c r="N43" s="6"/>
      <c r="O43" s="6"/>
      <c r="P43" s="6"/>
      <c r="Q43" s="6"/>
      <c r="R43" s="6"/>
      <c r="S43" s="35">
        <f>SUM(F43:R43)</f>
        <v>8</v>
      </c>
      <c r="T43" s="35">
        <f>COUNT(F43:R43)</f>
        <v>1</v>
      </c>
      <c r="U43" s="36">
        <f>IF(T43&gt;=2,ROUND((IF(T43=2,0.55,IF(T43&lt;=4,0.7,IF(T43&lt;=6,0.8,IF(T43&lt;=9,0.9,1))))*(S43/T43)+(1-(IF(T43=2,0.55,IF(T43&lt;=4,0.7,IF(T43&lt;=6,0.8,IF(T43&lt;=9,0.9,1))))))*$Y$1),1),"")</f>
      </c>
      <c r="V43" s="37">
        <v>7.1</v>
      </c>
      <c r="W43" s="38"/>
    </row>
    <row r="44" ht="24" customHeight="1" spans="1:23" x14ac:dyDescent="0.25">
      <c r="A44" s="31">
        <v>1440</v>
      </c>
      <c r="B44" s="32" t="s">
        <v>77</v>
      </c>
      <c r="C44" s="33" t="s">
        <v>29</v>
      </c>
      <c r="D44" s="34">
        <v>2013</v>
      </c>
      <c r="E44" s="34" t="s">
        <v>30</v>
      </c>
      <c r="F44" s="6"/>
      <c r="G44" s="6"/>
      <c r="H44" s="6">
        <v>10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35">
        <f>SUM(F44:R44)</f>
        <v>10</v>
      </c>
      <c r="T44" s="35">
        <f>COUNT(F44:R44)</f>
        <v>1</v>
      </c>
      <c r="U44" s="36">
        <f>IF(T44&gt;=2,ROUND((IF(T44=2,0.55,IF(T44&lt;=4,0.7,IF(T44&lt;=6,0.8,IF(T44&lt;=9,0.9,1))))*(S44/T44)+(1-(IF(T44=2,0.55,IF(T44&lt;=4,0.7,IF(T44&lt;=6,0.8,IF(T44&lt;=9,0.9,1))))))*$Y$1),1),"")</f>
      </c>
      <c r="V44" s="37">
        <v>8.5</v>
      </c>
      <c r="W44" s="38"/>
    </row>
    <row r="45" ht="24" customHeight="1" spans="1:23" x14ac:dyDescent="0.25">
      <c r="A45" s="31">
        <v>700</v>
      </c>
      <c r="B45" s="32" t="s">
        <v>78</v>
      </c>
      <c r="C45" s="33" t="s">
        <v>24</v>
      </c>
      <c r="D45" s="34">
        <v>2008</v>
      </c>
      <c r="E45" s="34" t="s">
        <v>79</v>
      </c>
      <c r="F45" s="6"/>
      <c r="G45" s="6"/>
      <c r="H45" s="6"/>
      <c r="I45" s="6"/>
      <c r="J45" s="6">
        <v>8</v>
      </c>
      <c r="K45" s="6"/>
      <c r="L45" s="6">
        <v>8</v>
      </c>
      <c r="M45" s="6"/>
      <c r="N45" s="6"/>
      <c r="O45" s="6"/>
      <c r="P45" s="6"/>
      <c r="Q45" s="6"/>
      <c r="R45" s="6"/>
      <c r="S45" s="35">
        <f>SUM(F45:R45)</f>
        <v>16</v>
      </c>
      <c r="T45" s="35">
        <f>COUNT(F45:R45)</f>
        <v>2</v>
      </c>
      <c r="U45" s="36">
        <f>IF(T45&gt;=2,ROUND((IF(T45=2,0.55,IF(T45&lt;=4,0.7,IF(T45&lt;=6,0.8,IF(T45&lt;=9,0.9,1))))*(S45/T45)+(1-(IF(T45=2,0.55,IF(T45&lt;=4,0.7,IF(T45&lt;=6,0.8,IF(T45&lt;=9,0.9,1))))))*$Y$1),1),"")</f>
        <v>8</v>
      </c>
      <c r="V45" s="37">
        <v>6.7</v>
      </c>
      <c r="W45" s="38"/>
    </row>
    <row r="46" ht="24" customHeight="1" spans="1:23" x14ac:dyDescent="0.25">
      <c r="A46" s="47">
        <v>1684</v>
      </c>
      <c r="B46" s="32" t="s">
        <v>80</v>
      </c>
      <c r="C46" s="48" t="s">
        <v>24</v>
      </c>
      <c r="D46" s="49">
        <v>2023</v>
      </c>
      <c r="E46" s="49" t="s">
        <v>81</v>
      </c>
      <c r="F46" s="6">
        <v>8</v>
      </c>
      <c r="G46" s="6">
        <v>9</v>
      </c>
      <c r="H46" s="6">
        <v>8</v>
      </c>
      <c r="I46" s="6">
        <v>6</v>
      </c>
      <c r="J46" s="6">
        <v>8</v>
      </c>
      <c r="K46" s="6">
        <v>10</v>
      </c>
      <c r="L46" s="6">
        <v>8</v>
      </c>
      <c r="M46" s="6">
        <v>8</v>
      </c>
      <c r="N46" s="6">
        <v>8</v>
      </c>
      <c r="O46" s="6">
        <v>8</v>
      </c>
      <c r="P46" s="6">
        <v>8</v>
      </c>
      <c r="Q46" s="6">
        <v>10</v>
      </c>
      <c r="R46" s="6"/>
      <c r="S46" s="50">
        <f>SUM(F46:R46)</f>
        <v>99</v>
      </c>
      <c r="T46" s="50">
        <f>COUNT(F46:R46)</f>
        <v>12</v>
      </c>
      <c r="U46" s="36">
        <f>IF(T46&gt;=2,ROUND((IF(T46=2,0.55,IF(T46&lt;=4,0.7,IF(T46&lt;=6,0.8,IF(T46&lt;=9,0.9,1))))*(S46/T46)+(1-(IF(T46=2,0.55,IF(T46&lt;=4,0.7,IF(T46&lt;=6,0.8,IF(T46&lt;=9,0.9,1))))))*$Y$1),1),"")</f>
        <v>8.3</v>
      </c>
      <c r="V46" s="37">
        <v>7.8</v>
      </c>
      <c r="W46" s="38" t="s">
        <v>44</v>
      </c>
    </row>
    <row r="47" ht="24" customHeight="1" spans="1:23" x14ac:dyDescent="0.25">
      <c r="A47" s="31">
        <v>249</v>
      </c>
      <c r="B47" s="32" t="s">
        <v>82</v>
      </c>
      <c r="C47" s="33" t="s">
        <v>24</v>
      </c>
      <c r="D47" s="34">
        <v>2018</v>
      </c>
      <c r="E47" s="34" t="s">
        <v>52</v>
      </c>
      <c r="F47" s="6"/>
      <c r="G47" s="6"/>
      <c r="H47" s="6"/>
      <c r="I47" s="6"/>
      <c r="J47" s="6">
        <v>8</v>
      </c>
      <c r="K47" s="6">
        <v>6</v>
      </c>
      <c r="L47" s="6"/>
      <c r="M47" s="6"/>
      <c r="N47" s="6"/>
      <c r="O47" s="6"/>
      <c r="P47" s="6"/>
      <c r="Q47" s="6">
        <v>6</v>
      </c>
      <c r="R47" s="6"/>
      <c r="S47" s="35">
        <f>SUM(F47:R47)</f>
        <v>20</v>
      </c>
      <c r="T47" s="35">
        <f>COUNT(F47:R47)</f>
        <v>3</v>
      </c>
      <c r="U47" s="36">
        <f>IF(T47&gt;=2,ROUND((IF(T47=2,0.55,IF(T47&lt;=4,0.7,IF(T47&lt;=6,0.8,IF(T47&lt;=9,0.9,1))))*(S47/T47)+(1-(IF(T47=2,0.55,IF(T47&lt;=4,0.7,IF(T47&lt;=6,0.8,IF(T47&lt;=9,0.9,1))))))*$Y$1),1),"")</f>
        <v>7.1</v>
      </c>
      <c r="V47" s="37">
        <v>6.4</v>
      </c>
      <c r="W47" s="38"/>
    </row>
    <row r="48" ht="24" customHeight="1" spans="1:23" x14ac:dyDescent="0.25">
      <c r="A48" s="31">
        <v>772</v>
      </c>
      <c r="B48" s="32" t="s">
        <v>83</v>
      </c>
      <c r="C48" s="33" t="s">
        <v>29</v>
      </c>
      <c r="D48" s="34">
        <v>2016</v>
      </c>
      <c r="E48" s="34" t="s">
        <v>30</v>
      </c>
      <c r="F48" s="6"/>
      <c r="G48" s="6"/>
      <c r="H48" s="6"/>
      <c r="I48" s="6"/>
      <c r="J48" s="6">
        <v>8</v>
      </c>
      <c r="K48" s="6"/>
      <c r="L48" s="6"/>
      <c r="M48" s="6"/>
      <c r="N48" s="6"/>
      <c r="O48" s="6"/>
      <c r="P48" s="6"/>
      <c r="Q48" s="6"/>
      <c r="R48" s="6"/>
      <c r="S48" s="35">
        <f>SUM(F48:R48)</f>
        <v>8</v>
      </c>
      <c r="T48" s="35">
        <f>COUNT(F48:R48)</f>
        <v>1</v>
      </c>
      <c r="U48" s="36">
        <f>IF(T48&gt;=2,ROUND((IF(T48=2,0.55,IF(T48&lt;=4,0.7,IF(T48&lt;=6,0.8,IF(T48&lt;=9,0.9,1))))*(S48/T48)+(1-(IF(T48=2,0.55,IF(T48&lt;=4,0.7,IF(T48&lt;=6,0.8,IF(T48&lt;=9,0.9,1))))))*$Y$1),1),"")</f>
      </c>
      <c r="V48" s="37">
        <v>6.5</v>
      </c>
      <c r="W48" s="38"/>
    </row>
    <row r="49" ht="24" customHeight="1" spans="1:23" x14ac:dyDescent="0.25">
      <c r="A49" s="31">
        <v>563</v>
      </c>
      <c r="B49" s="32" t="s">
        <v>84</v>
      </c>
      <c r="C49" s="33" t="s">
        <v>24</v>
      </c>
      <c r="D49" s="34">
        <v>2013</v>
      </c>
      <c r="E49" s="34" t="s">
        <v>30</v>
      </c>
      <c r="F49" s="6"/>
      <c r="G49" s="6">
        <v>8</v>
      </c>
      <c r="H49" s="6"/>
      <c r="I49" s="6"/>
      <c r="J49" s="6"/>
      <c r="K49" s="6"/>
      <c r="L49" s="6"/>
      <c r="M49" s="6"/>
      <c r="N49" s="6"/>
      <c r="O49" s="6"/>
      <c r="P49" s="6">
        <v>8</v>
      </c>
      <c r="Q49" s="6"/>
      <c r="R49" s="6"/>
      <c r="S49" s="35">
        <f>SUM(F49:R49)</f>
        <v>16</v>
      </c>
      <c r="T49" s="35">
        <f>COUNT(F49:R49)</f>
        <v>2</v>
      </c>
      <c r="U49" s="36">
        <f>IF(T49&gt;=2,ROUND((IF(T49=2,0.55,IF(T49&lt;=4,0.7,IF(T49&lt;=6,0.8,IF(T49&lt;=9,0.9,1))))*(S49/T49)+(1-(IF(T49=2,0.55,IF(T49&lt;=4,0.7,IF(T49&lt;=6,0.8,IF(T49&lt;=9,0.9,1))))))*$Y$1),1),"")</f>
        <v>8</v>
      </c>
      <c r="V49" s="37">
        <v>7.8</v>
      </c>
      <c r="W49" s="38"/>
    </row>
    <row r="50" ht="24" customHeight="1" spans="1:23" x14ac:dyDescent="0.25">
      <c r="A50" s="31">
        <v>1761</v>
      </c>
      <c r="B50" s="32" t="s">
        <v>85</v>
      </c>
      <c r="C50" s="33" t="s">
        <v>24</v>
      </c>
      <c r="D50" s="34">
        <v>1955</v>
      </c>
      <c r="E50" s="34" t="s">
        <v>81</v>
      </c>
      <c r="F50" s="6"/>
      <c r="G50" s="6"/>
      <c r="H50" s="6"/>
      <c r="I50" s="6"/>
      <c r="J50" s="6">
        <v>9</v>
      </c>
      <c r="K50" s="6"/>
      <c r="L50" s="6"/>
      <c r="M50" s="6"/>
      <c r="N50" s="6"/>
      <c r="O50" s="6">
        <v>8</v>
      </c>
      <c r="P50" s="6"/>
      <c r="Q50" s="6"/>
      <c r="R50" s="6"/>
      <c r="S50" s="35">
        <f>SUM(F50:R50)</f>
        <v>17</v>
      </c>
      <c r="T50" s="35">
        <f>COUNT(F50:R50)</f>
        <v>2</v>
      </c>
      <c r="U50" s="36">
        <f>IF(T50&gt;=2,ROUND((IF(T50=2,0.55,IF(T50&lt;=4,0.7,IF(T50&lt;=6,0.8,IF(T50&lt;=9,0.9,1))))*(S50/T50)+(1-(IF(T50=2,0.55,IF(T50&lt;=4,0.7,IF(T50&lt;=6,0.8,IF(T50&lt;=9,0.9,1))))))*$Y$1),1),"")</f>
        <v>8.3</v>
      </c>
      <c r="V50" s="37">
        <v>7.8</v>
      </c>
      <c r="W50" s="38"/>
    </row>
    <row r="51" ht="24" customHeight="1" spans="1:23" x14ac:dyDescent="0.25">
      <c r="A51" s="31">
        <v>587</v>
      </c>
      <c r="B51" s="32" t="s">
        <v>86</v>
      </c>
      <c r="C51" s="33" t="s">
        <v>24</v>
      </c>
      <c r="D51" s="34">
        <v>2018</v>
      </c>
      <c r="E51" s="34" t="s">
        <v>27</v>
      </c>
      <c r="F51" s="6"/>
      <c r="G51" s="6"/>
      <c r="H51" s="6"/>
      <c r="I51" s="6"/>
      <c r="J51" s="6"/>
      <c r="K51" s="6"/>
      <c r="L51" s="6">
        <v>8</v>
      </c>
      <c r="M51" s="6"/>
      <c r="N51" s="6"/>
      <c r="O51" s="6"/>
      <c r="P51" s="6"/>
      <c r="Q51" s="6"/>
      <c r="R51" s="6"/>
      <c r="S51" s="35">
        <f>SUM(F51:R51)</f>
        <v>8</v>
      </c>
      <c r="T51" s="35">
        <f>COUNT(F51:R51)</f>
        <v>1</v>
      </c>
      <c r="U51" s="36">
        <f>IF(T51&gt;=2,ROUND((IF(T51=2,0.55,IF(T51&lt;=4,0.7,IF(T51&lt;=6,0.8,IF(T51&lt;=9,0.9,1))))*(S51/T51)+(1-(IF(T51=2,0.55,IF(T51&lt;=4,0.7,IF(T51&lt;=6,0.8,IF(T51&lt;=9,0.9,1))))))*$Y$1),1),"")</f>
      </c>
      <c r="V51" s="37">
        <v>6.6</v>
      </c>
      <c r="W51" s="38"/>
    </row>
    <row r="52" ht="24" customHeight="1" spans="1:23" x14ac:dyDescent="0.25">
      <c r="A52" s="40">
        <v>2210</v>
      </c>
      <c r="B52" s="32" t="s">
        <v>87</v>
      </c>
      <c r="C52" s="33" t="s">
        <v>24</v>
      </c>
      <c r="D52" s="34">
        <v>2007</v>
      </c>
      <c r="E52" s="41"/>
      <c r="F52" s="6"/>
      <c r="G52" s="6">
        <v>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35">
        <f>SUM(F52:R52)</f>
        <v>7</v>
      </c>
      <c r="T52" s="35">
        <f>COUNT(F52:R52)</f>
        <v>1</v>
      </c>
      <c r="U52" s="36">
        <f>IF(T52&gt;=2,ROUND((IF(T52=2,0.55,IF(T52&lt;=4,0.7,IF(T52&lt;=6,0.8,IF(T52&lt;=9,0.9,1))))*(S52/T52)+(1-(IF(T52=2,0.55,IF(T52&lt;=4,0.7,IF(T52&lt;=6,0.8,IF(T52&lt;=9,0.9,1))))))*$Y$1),1),"")</f>
      </c>
      <c r="V52" s="37">
        <v>6.2</v>
      </c>
      <c r="W52" s="38"/>
    </row>
    <row r="53" ht="24" customHeight="1" spans="1:23" x14ac:dyDescent="0.25">
      <c r="A53" s="31">
        <v>1933</v>
      </c>
      <c r="B53" s="32" t="s">
        <v>88</v>
      </c>
      <c r="C53" s="33" t="s">
        <v>24</v>
      </c>
      <c r="D53" s="34">
        <v>2024</v>
      </c>
      <c r="E53" s="34" t="s">
        <v>30</v>
      </c>
      <c r="F53" s="6"/>
      <c r="G53" s="6"/>
      <c r="H53" s="6"/>
      <c r="I53" s="6"/>
      <c r="J53" s="6">
        <v>8</v>
      </c>
      <c r="K53" s="6"/>
      <c r="L53" s="6"/>
      <c r="M53" s="6"/>
      <c r="N53" s="6"/>
      <c r="O53" s="6"/>
      <c r="P53" s="6"/>
      <c r="Q53" s="6"/>
      <c r="R53" s="6"/>
      <c r="S53" s="35">
        <f>SUM(F53:R53)</f>
        <v>8</v>
      </c>
      <c r="T53" s="35">
        <f>COUNT(F53:R53)</f>
        <v>1</v>
      </c>
      <c r="U53" s="36">
        <f>IF(T53&gt;=2,ROUND((IF(T53=2,0.55,IF(T53&lt;=4,0.7,IF(T53&lt;=6,0.8,IF(T53&lt;=9,0.9,1))))*(S53/T53)+(1-(IF(T53=2,0.55,IF(T53&lt;=4,0.7,IF(T53&lt;=6,0.8,IF(T53&lt;=9,0.9,1))))))*$Y$1),1),"")</f>
      </c>
      <c r="V53" s="37">
        <v>7.1</v>
      </c>
      <c r="W53" s="38"/>
    </row>
    <row r="54" ht="24" customHeight="1" spans="1:23" x14ac:dyDescent="0.25">
      <c r="A54" s="31">
        <v>1204</v>
      </c>
      <c r="B54" s="32" t="s">
        <v>89</v>
      </c>
      <c r="C54" s="33" t="s">
        <v>24</v>
      </c>
      <c r="D54" s="34">
        <v>2021</v>
      </c>
      <c r="E54" s="34" t="s">
        <v>30</v>
      </c>
      <c r="F54" s="6">
        <v>6</v>
      </c>
      <c r="G54" s="6"/>
      <c r="H54" s="6">
        <v>8</v>
      </c>
      <c r="I54" s="6"/>
      <c r="J54" s="6"/>
      <c r="K54" s="6"/>
      <c r="L54" s="6">
        <v>6</v>
      </c>
      <c r="M54" s="6"/>
      <c r="N54" s="6"/>
      <c r="O54" s="6"/>
      <c r="P54" s="6"/>
      <c r="Q54" s="6"/>
      <c r="R54" s="6"/>
      <c r="S54" s="35">
        <f>SUM(F54:R54)</f>
        <v>20</v>
      </c>
      <c r="T54" s="35">
        <f>COUNT(F54:R54)</f>
        <v>3</v>
      </c>
      <c r="U54" s="36">
        <f>IF(T54&gt;=2,ROUND((IF(T54=2,0.55,IF(T54&lt;=4,0.7,IF(T54&lt;=6,0.8,IF(T54&lt;=9,0.9,1))))*(S54/T54)+(1-(IF(T54=2,0.55,IF(T54&lt;=4,0.7,IF(T54&lt;=6,0.8,IF(T54&lt;=9,0.9,1))))))*$Y$1),1),"")</f>
        <v>7.1</v>
      </c>
      <c r="V54" s="37">
        <v>6.4</v>
      </c>
      <c r="W54" s="38"/>
    </row>
    <row r="55" ht="24" customHeight="1" spans="1:23" s="39" customFormat="1" x14ac:dyDescent="0.25">
      <c r="A55" s="31">
        <v>391</v>
      </c>
      <c r="B55" s="32" t="s">
        <v>90</v>
      </c>
      <c r="C55" s="33" t="s">
        <v>24</v>
      </c>
      <c r="D55" s="34">
        <v>2017</v>
      </c>
      <c r="E55" s="34" t="s">
        <v>30</v>
      </c>
      <c r="F55" s="6"/>
      <c r="G55" s="6"/>
      <c r="H55" s="6"/>
      <c r="I55" s="6"/>
      <c r="J55" s="6">
        <v>8</v>
      </c>
      <c r="K55" s="6">
        <v>8</v>
      </c>
      <c r="L55" s="6">
        <v>8</v>
      </c>
      <c r="M55" s="6">
        <v>6</v>
      </c>
      <c r="N55" s="6">
        <v>6</v>
      </c>
      <c r="O55" s="6"/>
      <c r="P55" s="6"/>
      <c r="Q55" s="6">
        <v>8</v>
      </c>
      <c r="R55" s="6">
        <v>10</v>
      </c>
      <c r="S55" s="35">
        <f>SUM(F55:R55)</f>
        <v>54</v>
      </c>
      <c r="T55" s="35">
        <f>COUNT(F55:R55)</f>
        <v>7</v>
      </c>
      <c r="U55" s="36">
        <f>IF(T55&gt;=2,ROUND((IF(T55=2,0.55,IF(T55&lt;=4,0.7,IF(T55&lt;=6,0.8,IF(T55&lt;=9,0.9,1))))*(S55/T55)+(1-(IF(T55=2,0.55,IF(T55&lt;=4,0.7,IF(T55&lt;=6,0.8,IF(T55&lt;=9,0.9,1))))))*$Y$1),1),"")</f>
        <v>7.8</v>
      </c>
      <c r="V55" s="37">
        <v>6.8</v>
      </c>
      <c r="W55" s="38"/>
    </row>
    <row r="56" ht="24" customHeight="1" spans="1:23" x14ac:dyDescent="0.25">
      <c r="A56" s="47">
        <v>264</v>
      </c>
      <c r="B56" s="32" t="s">
        <v>91</v>
      </c>
      <c r="C56" s="48" t="s">
        <v>24</v>
      </c>
      <c r="D56" s="49">
        <v>2008</v>
      </c>
      <c r="E56" s="49" t="s">
        <v>92</v>
      </c>
      <c r="F56" s="6">
        <v>8</v>
      </c>
      <c r="G56" s="6">
        <v>8</v>
      </c>
      <c r="H56" s="6">
        <v>7</v>
      </c>
      <c r="I56" s="6">
        <v>7</v>
      </c>
      <c r="J56" s="6">
        <v>8</v>
      </c>
      <c r="K56" s="6">
        <v>8</v>
      </c>
      <c r="L56" s="6">
        <v>8</v>
      </c>
      <c r="M56" s="6">
        <v>7</v>
      </c>
      <c r="N56" s="6">
        <v>6</v>
      </c>
      <c r="O56" s="6">
        <v>7</v>
      </c>
      <c r="P56" s="6">
        <v>8</v>
      </c>
      <c r="Q56" s="6">
        <v>8</v>
      </c>
      <c r="R56" s="6"/>
      <c r="S56" s="50">
        <f>SUM(F56:R56)</f>
        <v>90</v>
      </c>
      <c r="T56" s="50">
        <f>COUNT(F56:R56)</f>
        <v>12</v>
      </c>
      <c r="U56" s="36">
        <f>IF(T56&gt;=2,ROUND((IF(T56=2,0.55,IF(T56&lt;=4,0.7,IF(T56&lt;=6,0.8,IF(T56&lt;=9,0.9,1))))*(S56/T56)+(1-(IF(T56=2,0.55,IF(T56&lt;=4,0.7,IF(T56&lt;=6,0.8,IF(T56&lt;=9,0.9,1))))))*$Y$1),1),"")</f>
        <v>7.5</v>
      </c>
      <c r="V56" s="37">
        <v>7.1</v>
      </c>
      <c r="W56" s="38" t="s">
        <v>44</v>
      </c>
    </row>
    <row r="57" ht="24" customHeight="1" spans="1:23" x14ac:dyDescent="0.25">
      <c r="A57" s="31">
        <v>1447</v>
      </c>
      <c r="B57" s="32" t="s">
        <v>93</v>
      </c>
      <c r="C57" s="33" t="s">
        <v>24</v>
      </c>
      <c r="D57" s="34">
        <v>2018</v>
      </c>
      <c r="E57" s="34" t="s">
        <v>27</v>
      </c>
      <c r="F57" s="6"/>
      <c r="G57" s="6">
        <v>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35">
        <f>SUM(F57:R57)</f>
        <v>7</v>
      </c>
      <c r="T57" s="35">
        <f>COUNT(F57:R57)</f>
        <v>1</v>
      </c>
      <c r="U57" s="36">
        <f>IF(T57&gt;=2,ROUND((IF(T57=2,0.55,IF(T57&lt;=4,0.7,IF(T57&lt;=6,0.8,IF(T57&lt;=9,0.9,1))))*(S57/T57)+(1-(IF(T57=2,0.55,IF(T57&lt;=4,0.7,IF(T57&lt;=6,0.8,IF(T57&lt;=9,0.9,1))))))*$Y$1),1),"")</f>
      </c>
      <c r="V57" s="37">
        <v>7.2</v>
      </c>
      <c r="W57" s="38"/>
    </row>
    <row r="58" ht="24" customHeight="1" spans="1:23" x14ac:dyDescent="0.25">
      <c r="A58" s="31">
        <v>355</v>
      </c>
      <c r="B58" s="32" t="s">
        <v>94</v>
      </c>
      <c r="C58" s="33" t="s">
        <v>24</v>
      </c>
      <c r="D58" s="34">
        <v>1993</v>
      </c>
      <c r="E58" s="34" t="s">
        <v>92</v>
      </c>
      <c r="F58" s="6">
        <v>8</v>
      </c>
      <c r="G58" s="6"/>
      <c r="H58" s="6"/>
      <c r="I58" s="6"/>
      <c r="J58" s="6">
        <v>8</v>
      </c>
      <c r="K58" s="6">
        <v>8</v>
      </c>
      <c r="L58" s="6">
        <v>8</v>
      </c>
      <c r="M58" s="6"/>
      <c r="N58" s="6"/>
      <c r="O58" s="6">
        <v>8</v>
      </c>
      <c r="P58" s="6"/>
      <c r="Q58" s="6">
        <v>8</v>
      </c>
      <c r="R58" s="6"/>
      <c r="S58" s="35">
        <f>SUM(F58:R58)</f>
        <v>48</v>
      </c>
      <c r="T58" s="35">
        <f>COUNT(F58:R58)</f>
        <v>6</v>
      </c>
      <c r="U58" s="36">
        <f>IF(T58&gt;=2,ROUND((IF(T58=2,0.55,IF(T58&lt;=4,0.7,IF(T58&lt;=6,0.8,IF(T58&lt;=9,0.9,1))))*(S58/T58)+(1-(IF(T58=2,0.55,IF(T58&lt;=4,0.7,IF(T58&lt;=6,0.8,IF(T58&lt;=9,0.9,1))))))*$Y$1),1),"")</f>
        <v>8</v>
      </c>
      <c r="V58" s="37">
        <v>7.8</v>
      </c>
      <c r="W58" s="38"/>
    </row>
    <row r="59" ht="24" customHeight="1" spans="1:23" x14ac:dyDescent="0.25">
      <c r="A59" s="31">
        <v>1344</v>
      </c>
      <c r="B59" s="32" t="s">
        <v>95</v>
      </c>
      <c r="C59" s="33" t="s">
        <v>29</v>
      </c>
      <c r="D59" s="34">
        <v>2015</v>
      </c>
      <c r="E59" s="34" t="s">
        <v>30</v>
      </c>
      <c r="F59" s="6"/>
      <c r="G59" s="6"/>
      <c r="H59" s="6">
        <v>10</v>
      </c>
      <c r="I59" s="6"/>
      <c r="J59" s="6"/>
      <c r="K59" s="6"/>
      <c r="L59" s="6">
        <v>10</v>
      </c>
      <c r="M59" s="6"/>
      <c r="N59" s="6"/>
      <c r="O59" s="6"/>
      <c r="P59" s="6"/>
      <c r="Q59" s="6"/>
      <c r="R59" s="6"/>
      <c r="S59" s="35">
        <f>SUM(F59:R59)</f>
        <v>20</v>
      </c>
      <c r="T59" s="35">
        <f>COUNT(F59:R59)</f>
        <v>2</v>
      </c>
      <c r="U59" s="36">
        <f>IF(T59&gt;=2,ROUND((IF(T59=2,0.55,IF(T59&lt;=4,0.7,IF(T59&lt;=6,0.8,IF(T59&lt;=9,0.9,1))))*(S59/T59)+(1-(IF(T59=2,0.55,IF(T59&lt;=4,0.7,IF(T59&lt;=6,0.8,IF(T59&lt;=9,0.9,1))))))*$Y$1),1),"")</f>
        <v>9.1</v>
      </c>
      <c r="V59" s="37">
        <v>7.9</v>
      </c>
      <c r="W59" s="38"/>
    </row>
    <row r="60" ht="24" customHeight="1" spans="1:23" x14ac:dyDescent="0.25">
      <c r="A60" s="40">
        <v>2344</v>
      </c>
      <c r="B60" s="32" t="s">
        <v>96</v>
      </c>
      <c r="C60" s="33" t="s">
        <v>24</v>
      </c>
      <c r="D60" s="34">
        <v>2024</v>
      </c>
      <c r="E60" s="41"/>
      <c r="F60" s="6"/>
      <c r="G60" s="6"/>
      <c r="H60" s="6"/>
      <c r="I60" s="6"/>
      <c r="J60" s="6">
        <v>8</v>
      </c>
      <c r="K60" s="6"/>
      <c r="L60" s="6">
        <v>7</v>
      </c>
      <c r="M60" s="6"/>
      <c r="N60" s="6"/>
      <c r="O60" s="6">
        <v>9</v>
      </c>
      <c r="P60" s="6">
        <v>6</v>
      </c>
      <c r="Q60" s="6"/>
      <c r="R60" s="6"/>
      <c r="S60" s="35">
        <f>SUM(F60:R60)</f>
        <v>30</v>
      </c>
      <c r="T60" s="35">
        <f>COUNT(F60:R60)</f>
        <v>4</v>
      </c>
      <c r="U60" s="36">
        <f>IF(T60&gt;=2,ROUND((IF(T60=2,0.55,IF(T60&lt;=4,0.7,IF(T60&lt;=6,0.8,IF(T60&lt;=9,0.9,1))))*(S60/T60)+(1-(IF(T60=2,0.55,IF(T60&lt;=4,0.7,IF(T60&lt;=6,0.8,IF(T60&lt;=9,0.9,1))))))*$Y$1),1),"")</f>
        <v>7.7</v>
      </c>
      <c r="V60" s="37">
        <v>6.9</v>
      </c>
      <c r="W60" s="38"/>
    </row>
    <row r="61" ht="24" customHeight="1" spans="1:23" x14ac:dyDescent="0.25">
      <c r="A61" s="31">
        <v>1142</v>
      </c>
      <c r="B61" s="32" t="s">
        <v>97</v>
      </c>
      <c r="C61" s="33" t="s">
        <v>24</v>
      </c>
      <c r="D61" s="34">
        <v>2019</v>
      </c>
      <c r="E61" s="34" t="s">
        <v>27</v>
      </c>
      <c r="F61" s="6">
        <v>6</v>
      </c>
      <c r="G61" s="6">
        <v>8</v>
      </c>
      <c r="H61" s="6"/>
      <c r="I61" s="6"/>
      <c r="J61" s="6">
        <v>10</v>
      </c>
      <c r="K61" s="6">
        <v>8</v>
      </c>
      <c r="L61" s="6">
        <v>8</v>
      </c>
      <c r="M61" s="6"/>
      <c r="N61" s="6">
        <v>8</v>
      </c>
      <c r="O61" s="6">
        <v>8</v>
      </c>
      <c r="P61" s="6">
        <v>8</v>
      </c>
      <c r="Q61" s="6">
        <v>8</v>
      </c>
      <c r="R61" s="6"/>
      <c r="S61" s="35">
        <f>SUM(F61:R61)</f>
        <v>72</v>
      </c>
      <c r="T61" s="35">
        <f>COUNT(F61:R61)</f>
        <v>9</v>
      </c>
      <c r="U61" s="36">
        <f>IF(T61&gt;=2,ROUND((IF(T61=2,0.55,IF(T61&lt;=4,0.7,IF(T61&lt;=6,0.8,IF(T61&lt;=9,0.9,1))))*(S61/T61)+(1-(IF(T61=2,0.55,IF(T61&lt;=4,0.7,IF(T61&lt;=6,0.8,IF(T61&lt;=9,0.9,1))))))*$Y$1),1),"")</f>
        <v>8</v>
      </c>
      <c r="V61" s="37">
        <v>7.9</v>
      </c>
      <c r="W61" s="38"/>
    </row>
    <row r="62" ht="24" customHeight="1" spans="1:23" x14ac:dyDescent="0.25">
      <c r="A62" s="31">
        <v>812</v>
      </c>
      <c r="B62" s="32" t="s">
        <v>98</v>
      </c>
      <c r="C62" s="33" t="s">
        <v>24</v>
      </c>
      <c r="D62" s="34">
        <v>2006</v>
      </c>
      <c r="E62" s="34" t="s">
        <v>25</v>
      </c>
      <c r="F62" s="6"/>
      <c r="G62" s="6">
        <v>8</v>
      </c>
      <c r="H62" s="6"/>
      <c r="I62" s="6"/>
      <c r="J62" s="6"/>
      <c r="K62" s="6"/>
      <c r="L62" s="6"/>
      <c r="M62" s="6"/>
      <c r="N62" s="6"/>
      <c r="O62" s="6"/>
      <c r="P62" s="6">
        <v>8</v>
      </c>
      <c r="Q62" s="6"/>
      <c r="R62" s="6"/>
      <c r="S62" s="35">
        <f>SUM(F62:R62)</f>
        <v>16</v>
      </c>
      <c r="T62" s="35">
        <f>COUNT(F62:R62)</f>
        <v>2</v>
      </c>
      <c r="U62" s="36">
        <f>IF(T62&gt;=2,ROUND((IF(T62=2,0.55,IF(T62&lt;=4,0.7,IF(T62&lt;=6,0.8,IF(T62&lt;=9,0.9,1))))*(S62/T62)+(1-(IF(T62=2,0.55,IF(T62&lt;=4,0.7,IF(T62&lt;=6,0.8,IF(T62&lt;=9,0.9,1))))))*$Y$1),1),"")</f>
        <v>8</v>
      </c>
      <c r="V62" s="37">
        <v>7.5</v>
      </c>
      <c r="W62" s="38"/>
    </row>
    <row r="63" ht="24" customHeight="1" spans="1:23" x14ac:dyDescent="0.25">
      <c r="A63" s="31">
        <v>771</v>
      </c>
      <c r="B63" s="32" t="s">
        <v>99</v>
      </c>
      <c r="C63" s="33" t="s">
        <v>24</v>
      </c>
      <c r="D63" s="34">
        <v>2018</v>
      </c>
      <c r="E63" s="34" t="s">
        <v>100</v>
      </c>
      <c r="F63" s="6">
        <v>8</v>
      </c>
      <c r="G63" s="6"/>
      <c r="H63" s="6"/>
      <c r="I63" s="6"/>
      <c r="J63" s="6">
        <v>8</v>
      </c>
      <c r="K63" s="6"/>
      <c r="L63" s="6"/>
      <c r="M63" s="6"/>
      <c r="N63" s="6"/>
      <c r="O63" s="6">
        <v>10</v>
      </c>
      <c r="P63" s="6"/>
      <c r="Q63" s="6"/>
      <c r="R63" s="6"/>
      <c r="S63" s="35">
        <f>SUM(F63:R63)</f>
        <v>26</v>
      </c>
      <c r="T63" s="35">
        <f>COUNT(F63:R63)</f>
        <v>3</v>
      </c>
      <c r="U63" s="36">
        <f>IF(T63&gt;=2,ROUND((IF(T63=2,0.55,IF(T63&lt;=4,0.7,IF(T63&lt;=6,0.8,IF(T63&lt;=9,0.9,1))))*(S63/T63)+(1-(IF(T63=2,0.55,IF(T63&lt;=4,0.7,IF(T63&lt;=6,0.8,IF(T63&lt;=9,0.9,1))))))*$Y$1),1),"")</f>
        <v>8.5</v>
      </c>
      <c r="V63" s="37">
        <v>7.5</v>
      </c>
      <c r="W63" s="38"/>
    </row>
    <row r="64" ht="24" customHeight="1" spans="1:23" x14ac:dyDescent="0.25">
      <c r="A64" s="31">
        <v>821</v>
      </c>
      <c r="B64" s="32" t="s">
        <v>101</v>
      </c>
      <c r="C64" s="33" t="s">
        <v>24</v>
      </c>
      <c r="D64" s="34">
        <v>1986</v>
      </c>
      <c r="E64" s="34" t="s">
        <v>27</v>
      </c>
      <c r="F64" s="6"/>
      <c r="G64" s="6">
        <v>7</v>
      </c>
      <c r="H64" s="6"/>
      <c r="I64" s="6"/>
      <c r="J64" s="6"/>
      <c r="K64" s="6">
        <v>6</v>
      </c>
      <c r="L64" s="6"/>
      <c r="M64" s="6"/>
      <c r="N64" s="6"/>
      <c r="O64" s="6"/>
      <c r="P64" s="6"/>
      <c r="Q64" s="6">
        <v>6</v>
      </c>
      <c r="R64" s="6"/>
      <c r="S64" s="35">
        <f>SUM(F64:R64)</f>
        <v>19</v>
      </c>
      <c r="T64" s="35">
        <f>COUNT(F64:R64)</f>
        <v>3</v>
      </c>
      <c r="U64" s="36">
        <f>IF(T64&gt;=2,ROUND((IF(T64=2,0.55,IF(T64&lt;=4,0.7,IF(T64&lt;=6,0.8,IF(T64&lt;=9,0.9,1))))*(S64/T64)+(1-(IF(T64=2,0.55,IF(T64&lt;=4,0.7,IF(T64&lt;=6,0.8,IF(T64&lt;=9,0.9,1))))))*$Y$1),1),"")</f>
        <v>6.9</v>
      </c>
      <c r="V64" s="37">
        <v>7.7</v>
      </c>
      <c r="W64" s="38"/>
    </row>
    <row r="65" ht="24" customHeight="1" spans="1:23" s="39" customFormat="1" x14ac:dyDescent="0.25">
      <c r="A65" s="51">
        <v>2403</v>
      </c>
      <c r="B65" s="32" t="s">
        <v>102</v>
      </c>
      <c r="C65" s="48" t="s">
        <v>24</v>
      </c>
      <c r="D65" s="49">
        <v>2025</v>
      </c>
      <c r="E65" s="52"/>
      <c r="F65" s="6">
        <v>8</v>
      </c>
      <c r="G65" s="6">
        <v>8</v>
      </c>
      <c r="H65" s="6"/>
      <c r="I65" s="6">
        <v>7</v>
      </c>
      <c r="J65" s="6">
        <v>8</v>
      </c>
      <c r="K65" s="6">
        <v>7</v>
      </c>
      <c r="L65" s="6">
        <v>8</v>
      </c>
      <c r="M65" s="6">
        <v>8</v>
      </c>
      <c r="N65" s="6">
        <v>8</v>
      </c>
      <c r="O65" s="6"/>
      <c r="P65" s="6">
        <v>8</v>
      </c>
      <c r="Q65" s="6">
        <v>7</v>
      </c>
      <c r="R65" s="6"/>
      <c r="S65" s="50">
        <f>SUM(F65:R65)</f>
        <v>77</v>
      </c>
      <c r="T65" s="50">
        <f>COUNT(F65:R65)</f>
        <v>10</v>
      </c>
      <c r="U65" s="36">
        <f>IF(T65&gt;=2,ROUND((IF(T65=2,0.55,IF(T65&lt;=4,0.7,IF(T65&lt;=6,0.8,IF(T65&lt;=9,0.9,1))))*(S65/T65)+(1-(IF(T65=2,0.55,IF(T65&lt;=4,0.7,IF(T65&lt;=6,0.8,IF(T65&lt;=9,0.9,1))))))*$Y$1),1),"")</f>
        <v>7.7</v>
      </c>
      <c r="V65" s="37">
        <v>7.7</v>
      </c>
      <c r="W65" s="38" t="s">
        <v>44</v>
      </c>
    </row>
    <row r="66" ht="24" customHeight="1" spans="1:23" x14ac:dyDescent="0.25">
      <c r="A66" s="31">
        <v>1688</v>
      </c>
      <c r="B66" s="32" t="s">
        <v>103</v>
      </c>
      <c r="C66" s="33" t="s">
        <v>29</v>
      </c>
      <c r="D66" s="34">
        <v>2023</v>
      </c>
      <c r="E66" s="34" t="s">
        <v>69</v>
      </c>
      <c r="F66" s="6"/>
      <c r="G66" s="6"/>
      <c r="H66" s="6"/>
      <c r="I66" s="6"/>
      <c r="J66" s="6"/>
      <c r="K66" s="6">
        <v>8</v>
      </c>
      <c r="L66" s="6"/>
      <c r="M66" s="6"/>
      <c r="N66" s="6"/>
      <c r="O66" s="6"/>
      <c r="P66" s="6"/>
      <c r="Q66" s="6">
        <v>8</v>
      </c>
      <c r="R66" s="6"/>
      <c r="S66" s="35">
        <f>SUM(F66:R66)</f>
        <v>16</v>
      </c>
      <c r="T66" s="35">
        <f>COUNT(F66:R66)</f>
        <v>2</v>
      </c>
      <c r="U66" s="36">
        <f>IF(T66&gt;=2,ROUND((IF(T66=2,0.55,IF(T66&lt;=4,0.7,IF(T66&lt;=6,0.8,IF(T66&lt;=9,0.9,1))))*(S66/T66)+(1-(IF(T66=2,0.55,IF(T66&lt;=4,0.7,IF(T66&lt;=6,0.8,IF(T66&lt;=9,0.9,1))))))*$Y$1),1),"")</f>
        <v>8</v>
      </c>
      <c r="V66" s="37">
        <v>8.7</v>
      </c>
      <c r="W66" s="38"/>
    </row>
    <row r="67" ht="24" customHeight="1" spans="1:23" x14ac:dyDescent="0.25">
      <c r="A67" s="31">
        <v>562</v>
      </c>
      <c r="B67" s="32" t="s">
        <v>104</v>
      </c>
      <c r="C67" s="33" t="s">
        <v>24</v>
      </c>
      <c r="D67" s="34">
        <v>1985</v>
      </c>
      <c r="E67" s="34" t="s">
        <v>25</v>
      </c>
      <c r="F67" s="6"/>
      <c r="G67" s="6">
        <v>8</v>
      </c>
      <c r="H67" s="6"/>
      <c r="I67" s="6"/>
      <c r="J67" s="6"/>
      <c r="K67" s="6">
        <v>4</v>
      </c>
      <c r="L67" s="6"/>
      <c r="M67" s="6"/>
      <c r="N67" s="6"/>
      <c r="O67" s="6"/>
      <c r="P67" s="6">
        <v>8</v>
      </c>
      <c r="Q67" s="6">
        <v>4</v>
      </c>
      <c r="R67" s="6"/>
      <c r="S67" s="35">
        <f>SUM(F67:R67)</f>
        <v>24</v>
      </c>
      <c r="T67" s="35">
        <f>COUNT(F67:R67)</f>
        <v>4</v>
      </c>
      <c r="U67" s="36">
        <f>IF(T67&gt;=2,ROUND((IF(T67=2,0.55,IF(T67&lt;=4,0.7,IF(T67&lt;=6,0.8,IF(T67&lt;=9,0.9,1))))*(S67/T67)+(1-(IF(T67=2,0.55,IF(T67&lt;=4,0.7,IF(T67&lt;=6,0.8,IF(T67&lt;=9,0.9,1))))))*$Y$1),1),"")</f>
        <v>6.6</v>
      </c>
      <c r="V67" s="37">
        <v>8.3</v>
      </c>
      <c r="W67" s="38"/>
    </row>
    <row r="68" ht="24" customHeight="1" spans="1:23" x14ac:dyDescent="0.25">
      <c r="A68" s="31">
        <v>141</v>
      </c>
      <c r="B68" s="32" t="s">
        <v>105</v>
      </c>
      <c r="C68" s="33" t="s">
        <v>24</v>
      </c>
      <c r="D68" s="34">
        <v>2005</v>
      </c>
      <c r="E68" s="34" t="s">
        <v>106</v>
      </c>
      <c r="F68" s="6">
        <v>8</v>
      </c>
      <c r="G68" s="6">
        <v>8</v>
      </c>
      <c r="H68" s="6"/>
      <c r="I68" s="6"/>
      <c r="J68" s="6"/>
      <c r="K68" s="6">
        <v>8</v>
      </c>
      <c r="L68" s="6"/>
      <c r="M68" s="6"/>
      <c r="N68" s="6"/>
      <c r="O68" s="6"/>
      <c r="P68" s="6">
        <v>6</v>
      </c>
      <c r="Q68" s="6">
        <v>8</v>
      </c>
      <c r="R68" s="6"/>
      <c r="S68" s="35">
        <f>SUM(F68:R68)</f>
        <v>38</v>
      </c>
      <c r="T68" s="35">
        <f>COUNT(F68:R68)</f>
        <v>5</v>
      </c>
      <c r="U68" s="36">
        <f>IF(T68&gt;=2,ROUND((IF(T68=2,0.55,IF(T68&lt;=4,0.7,IF(T68&lt;=6,0.8,IF(T68&lt;=9,0.9,1))))*(S68/T68)+(1-(IF(T68=2,0.55,IF(T68&lt;=4,0.7,IF(T68&lt;=6,0.8,IF(T68&lt;=9,0.9,1))))))*$Y$1),1),"")</f>
        <v>7.7</v>
      </c>
      <c r="V68" s="37">
        <v>8.1</v>
      </c>
      <c r="W68" s="38"/>
    </row>
    <row r="69" ht="24" customHeight="1" spans="1:23" x14ac:dyDescent="0.25">
      <c r="A69" s="31">
        <v>334</v>
      </c>
      <c r="B69" s="32" t="s">
        <v>107</v>
      </c>
      <c r="C69" s="33" t="s">
        <v>24</v>
      </c>
      <c r="D69" s="34">
        <v>2015</v>
      </c>
      <c r="E69" s="34" t="s">
        <v>30</v>
      </c>
      <c r="F69" s="6"/>
      <c r="G69" s="6"/>
      <c r="H69" s="6"/>
      <c r="I69" s="6"/>
      <c r="J69" s="6"/>
      <c r="K69" s="6">
        <v>8</v>
      </c>
      <c r="L69" s="6"/>
      <c r="M69" s="6"/>
      <c r="N69" s="6"/>
      <c r="O69" s="6"/>
      <c r="P69" s="6"/>
      <c r="Q69" s="6">
        <v>8</v>
      </c>
      <c r="R69" s="6"/>
      <c r="S69" s="35">
        <f>SUM(F69:R69)</f>
        <v>16</v>
      </c>
      <c r="T69" s="35">
        <f>COUNT(F69:R69)</f>
        <v>2</v>
      </c>
      <c r="U69" s="36">
        <f>IF(T69&gt;=2,ROUND((IF(T69=2,0.55,IF(T69&lt;=4,0.7,IF(T69&lt;=6,0.8,IF(T69&lt;=9,0.9,1))))*(S69/T69)+(1-(IF(T69=2,0.55,IF(T69&lt;=4,0.7,IF(T69&lt;=6,0.8,IF(T69&lt;=9,0.9,1))))))*$Y$1),1),"")</f>
        <v>8</v>
      </c>
      <c r="V69" s="37">
        <v>6.2</v>
      </c>
      <c r="W69" s="38"/>
    </row>
    <row r="70" ht="24" customHeight="1" spans="1:23" x14ac:dyDescent="0.25">
      <c r="A70" s="31">
        <v>1035</v>
      </c>
      <c r="B70" s="32" t="s">
        <v>108</v>
      </c>
      <c r="C70" s="33" t="s">
        <v>24</v>
      </c>
      <c r="D70" s="34">
        <v>2015</v>
      </c>
      <c r="E70" s="34" t="s">
        <v>30</v>
      </c>
      <c r="F70" s="6"/>
      <c r="G70" s="6"/>
      <c r="H70" s="6"/>
      <c r="I70" s="6"/>
      <c r="J70" s="6"/>
      <c r="K70" s="6">
        <v>8</v>
      </c>
      <c r="L70" s="6"/>
      <c r="M70" s="6"/>
      <c r="N70" s="6"/>
      <c r="O70" s="6"/>
      <c r="P70" s="6"/>
      <c r="Q70" s="6">
        <v>8</v>
      </c>
      <c r="R70" s="6"/>
      <c r="S70" s="35">
        <f>SUM(F70:R70)</f>
        <v>16</v>
      </c>
      <c r="T70" s="35">
        <f>COUNT(F70:R70)</f>
        <v>2</v>
      </c>
      <c r="U70" s="36">
        <f>IF(T70&gt;=2,ROUND((IF(T70=2,0.55,IF(T70&lt;=4,0.7,IF(T70&lt;=6,0.8,IF(T70&lt;=9,0.9,1))))*(S70/T70)+(1-(IF(T70=2,0.55,IF(T70&lt;=4,0.7,IF(T70&lt;=6,0.8,IF(T70&lt;=9,0.9,1))))))*$Y$1),1),"")</f>
        <v>8</v>
      </c>
      <c r="V70" s="37">
        <v>6.2</v>
      </c>
      <c r="W70" s="38"/>
    </row>
    <row r="71" ht="24" customHeight="1" spans="1:23" x14ac:dyDescent="0.25">
      <c r="A71" s="31">
        <v>1324</v>
      </c>
      <c r="B71" s="32" t="s">
        <v>109</v>
      </c>
      <c r="C71" s="33" t="s">
        <v>24</v>
      </c>
      <c r="D71" s="34">
        <v>2020</v>
      </c>
      <c r="E71" s="34" t="s">
        <v>30</v>
      </c>
      <c r="F71" s="6"/>
      <c r="G71" s="6"/>
      <c r="H71" s="6"/>
      <c r="I71" s="6"/>
      <c r="J71" s="6"/>
      <c r="K71" s="6">
        <v>8</v>
      </c>
      <c r="L71" s="6">
        <v>6</v>
      </c>
      <c r="M71" s="6"/>
      <c r="N71" s="6"/>
      <c r="O71" s="6"/>
      <c r="P71" s="6"/>
      <c r="Q71" s="6">
        <v>8</v>
      </c>
      <c r="R71" s="6"/>
      <c r="S71" s="35">
        <f>SUM(F71:R71)</f>
        <v>22</v>
      </c>
      <c r="T71" s="35">
        <f>COUNT(F71:R71)</f>
        <v>3</v>
      </c>
      <c r="U71" s="36">
        <f>IF(T71&gt;=2,ROUND((IF(T71=2,0.55,IF(T71&lt;=4,0.7,IF(T71&lt;=6,0.8,IF(T71&lt;=9,0.9,1))))*(S71/T71)+(1-(IF(T71=2,0.55,IF(T71&lt;=4,0.7,IF(T71&lt;=6,0.8,IF(T71&lt;=9,0.9,1))))))*$Y$1),1),"")</f>
        <v>7.6</v>
      </c>
      <c r="V71" s="37">
        <v>6.4</v>
      </c>
      <c r="W71" s="38"/>
    </row>
    <row r="72" ht="24" customHeight="1" spans="1:23" s="39" customFormat="1" x14ac:dyDescent="0.25">
      <c r="A72" s="47">
        <v>1764</v>
      </c>
      <c r="B72" s="32" t="s">
        <v>110</v>
      </c>
      <c r="C72" s="48" t="s">
        <v>24</v>
      </c>
      <c r="D72" s="49">
        <v>2023</v>
      </c>
      <c r="E72" s="49" t="s">
        <v>111</v>
      </c>
      <c r="F72" s="6">
        <v>8</v>
      </c>
      <c r="G72" s="6">
        <v>9</v>
      </c>
      <c r="H72" s="6">
        <v>10</v>
      </c>
      <c r="I72" s="6">
        <v>10</v>
      </c>
      <c r="J72" s="6">
        <v>10</v>
      </c>
      <c r="K72" s="6">
        <v>10</v>
      </c>
      <c r="L72" s="6">
        <v>8</v>
      </c>
      <c r="M72" s="6">
        <v>10</v>
      </c>
      <c r="N72" s="6">
        <v>10</v>
      </c>
      <c r="O72" s="6">
        <v>10</v>
      </c>
      <c r="P72" s="6">
        <v>8</v>
      </c>
      <c r="Q72" s="6">
        <v>10</v>
      </c>
      <c r="R72" s="6"/>
      <c r="S72" s="50">
        <f>SUM(F72:R72)</f>
        <v>113</v>
      </c>
      <c r="T72" s="50">
        <f>COUNT(F72:R72)</f>
        <v>12</v>
      </c>
      <c r="U72" s="36">
        <f>IF(T72&gt;=2,ROUND((IF(T72=2,0.55,IF(T72&lt;=4,0.7,IF(T72&lt;=6,0.8,IF(T72&lt;=9,0.9,1))))*(S72/T72)+(1-(IF(T72=2,0.55,IF(T72&lt;=4,0.7,IF(T72&lt;=6,0.8,IF(T72&lt;=9,0.9,1))))))*$Y$1),1),"")</f>
        <v>9.4</v>
      </c>
      <c r="V72" s="37">
        <v>7.5</v>
      </c>
      <c r="W72" s="38" t="s">
        <v>44</v>
      </c>
    </row>
    <row r="73" ht="24" customHeight="1" spans="1:23" x14ac:dyDescent="0.25">
      <c r="A73" s="31">
        <v>887</v>
      </c>
      <c r="B73" s="32" t="s">
        <v>112</v>
      </c>
      <c r="C73" s="33" t="s">
        <v>24</v>
      </c>
      <c r="D73" s="34">
        <v>2019</v>
      </c>
      <c r="E73" s="34" t="s">
        <v>52</v>
      </c>
      <c r="F73" s="6"/>
      <c r="G73" s="6">
        <v>8</v>
      </c>
      <c r="H73" s="6"/>
      <c r="I73" s="6"/>
      <c r="J73" s="6"/>
      <c r="K73" s="6"/>
      <c r="L73" s="6"/>
      <c r="M73" s="6"/>
      <c r="N73" s="6"/>
      <c r="O73" s="6"/>
      <c r="P73" s="6">
        <v>10</v>
      </c>
      <c r="Q73" s="6"/>
      <c r="R73" s="6"/>
      <c r="S73" s="35">
        <f>SUM(F73:R73)</f>
        <v>18</v>
      </c>
      <c r="T73" s="35">
        <f>COUNT(F73:R73)</f>
        <v>2</v>
      </c>
      <c r="U73" s="36">
        <f>IF(T73&gt;=2,ROUND((IF(T73=2,0.55,IF(T73&lt;=4,0.7,IF(T73&lt;=6,0.8,IF(T73&lt;=9,0.9,1))))*(S73/T73)+(1-(IF(T73=2,0.55,IF(T73&lt;=4,0.7,IF(T73&lt;=6,0.8,IF(T73&lt;=9,0.9,1))))))*$Y$1),1),"")</f>
        <v>8.6</v>
      </c>
      <c r="V73" s="37">
        <v>7.4</v>
      </c>
      <c r="W73" s="38"/>
    </row>
    <row r="74" ht="24" customHeight="1" spans="1:23" x14ac:dyDescent="0.25">
      <c r="A74" s="40">
        <v>2408</v>
      </c>
      <c r="B74" s="32" t="s">
        <v>113</v>
      </c>
      <c r="C74" s="33" t="s">
        <v>114</v>
      </c>
      <c r="D74" s="34">
        <v>2024</v>
      </c>
      <c r="E74" s="41"/>
      <c r="F74" s="6">
        <v>7</v>
      </c>
      <c r="G74" s="6"/>
      <c r="H74" s="6"/>
      <c r="I74" s="6"/>
      <c r="J74" s="6"/>
      <c r="K74" s="6"/>
      <c r="L74" s="6"/>
      <c r="M74" s="6">
        <v>8</v>
      </c>
      <c r="N74" s="6"/>
      <c r="O74" s="6">
        <v>8</v>
      </c>
      <c r="P74" s="6"/>
      <c r="Q74" s="6"/>
      <c r="R74" s="6"/>
      <c r="S74" s="35">
        <f>SUM(F74:R74)</f>
        <v>23</v>
      </c>
      <c r="T74" s="35">
        <f>COUNT(F74:R74)</f>
        <v>3</v>
      </c>
      <c r="U74" s="36">
        <f>IF(T74&gt;=2,ROUND((IF(T74=2,0.55,IF(T74&lt;=4,0.7,IF(T74&lt;=6,0.8,IF(T74&lt;=9,0.9,1))))*(S74/T74)+(1-(IF(T74=2,0.55,IF(T74&lt;=4,0.7,IF(T74&lt;=6,0.8,IF(T74&lt;=9,0.9,1))))))*$Y$1),1),"")</f>
        <v>7.8</v>
      </c>
      <c r="V74" s="37">
        <v>7.4</v>
      </c>
      <c r="W74" s="38"/>
    </row>
    <row r="75" ht="24" customHeight="1" spans="1:23" x14ac:dyDescent="0.25">
      <c r="A75" s="31">
        <v>1196</v>
      </c>
      <c r="B75" s="32" t="s">
        <v>115</v>
      </c>
      <c r="C75" s="33" t="s">
        <v>24</v>
      </c>
      <c r="D75" s="34">
        <v>2017</v>
      </c>
      <c r="E75" s="34" t="s">
        <v>27</v>
      </c>
      <c r="F75" s="6">
        <v>8</v>
      </c>
      <c r="G75" s="6"/>
      <c r="H75" s="6">
        <v>8</v>
      </c>
      <c r="I75" s="6">
        <v>8</v>
      </c>
      <c r="J75" s="6">
        <v>8</v>
      </c>
      <c r="K75" s="6">
        <v>8</v>
      </c>
      <c r="L75" s="6">
        <v>8</v>
      </c>
      <c r="M75" s="6"/>
      <c r="N75" s="6">
        <v>8</v>
      </c>
      <c r="O75" s="6">
        <v>8</v>
      </c>
      <c r="P75" s="6"/>
      <c r="Q75" s="6">
        <v>8</v>
      </c>
      <c r="R75" s="6">
        <v>8</v>
      </c>
      <c r="S75" s="35">
        <f>SUM(F75:R75)</f>
        <v>80</v>
      </c>
      <c r="T75" s="35">
        <f>COUNT(F75:R75)</f>
        <v>10</v>
      </c>
      <c r="U75" s="36">
        <f>IF(T75&gt;=2,ROUND((IF(T75=2,0.55,IF(T75&lt;=4,0.7,IF(T75&lt;=6,0.8,IF(T75&lt;=9,0.9,1))))*(S75/T75)+(1-(IF(T75=2,0.55,IF(T75&lt;=4,0.7,IF(T75&lt;=6,0.8,IF(T75&lt;=9,0.9,1))))))*$Y$1),1),"")</f>
        <v>8</v>
      </c>
      <c r="V75" s="37">
        <v>7.2</v>
      </c>
      <c r="W75" s="38"/>
    </row>
    <row r="76" ht="24" customHeight="1" spans="1:23" x14ac:dyDescent="0.25">
      <c r="A76" s="31">
        <v>1952</v>
      </c>
      <c r="B76" s="32" t="s">
        <v>116</v>
      </c>
      <c r="C76" s="33" t="s">
        <v>29</v>
      </c>
      <c r="D76" s="34">
        <v>2023</v>
      </c>
      <c r="E76" s="34" t="s">
        <v>25</v>
      </c>
      <c r="F76" s="6"/>
      <c r="G76" s="6"/>
      <c r="H76" s="6">
        <v>9</v>
      </c>
      <c r="I76" s="6"/>
      <c r="J76" s="6"/>
      <c r="K76" s="6"/>
      <c r="L76" s="6">
        <v>8</v>
      </c>
      <c r="M76" s="6"/>
      <c r="N76" s="6"/>
      <c r="O76" s="6"/>
      <c r="P76" s="6"/>
      <c r="Q76" s="6"/>
      <c r="R76" s="6"/>
      <c r="S76" s="35">
        <f>SUM(F76:R76)</f>
        <v>17</v>
      </c>
      <c r="T76" s="35">
        <f>COUNT(F76:R76)</f>
        <v>2</v>
      </c>
      <c r="U76" s="36">
        <f>IF(T76&gt;=2,ROUND((IF(T76=2,0.55,IF(T76&lt;=4,0.7,IF(T76&lt;=6,0.8,IF(T76&lt;=9,0.9,1))))*(S76/T76)+(1-(IF(T76=2,0.55,IF(T76&lt;=4,0.7,IF(T76&lt;=6,0.8,IF(T76&lt;=9,0.9,1))))))*$Y$1),1),"")</f>
        <v>8.3</v>
      </c>
      <c r="V76" s="37">
        <v>8.2</v>
      </c>
      <c r="W76" s="38"/>
    </row>
    <row r="77" ht="24" customHeight="1" spans="1:23" x14ac:dyDescent="0.25">
      <c r="A77" s="31">
        <v>1137</v>
      </c>
      <c r="B77" s="32" t="s">
        <v>117</v>
      </c>
      <c r="C77" s="33" t="s">
        <v>24</v>
      </c>
      <c r="D77" s="34">
        <v>2009</v>
      </c>
      <c r="E77" s="34" t="s">
        <v>118</v>
      </c>
      <c r="F77" s="6">
        <v>8</v>
      </c>
      <c r="G77" s="6">
        <v>7</v>
      </c>
      <c r="H77" s="6"/>
      <c r="I77" s="6">
        <v>6</v>
      </c>
      <c r="J77" s="6">
        <v>8</v>
      </c>
      <c r="K77" s="6">
        <v>8</v>
      </c>
      <c r="L77" s="6">
        <v>8</v>
      </c>
      <c r="M77" s="6">
        <v>8</v>
      </c>
      <c r="N77" s="6">
        <v>10</v>
      </c>
      <c r="O77" s="6">
        <v>10</v>
      </c>
      <c r="P77" s="6">
        <v>6</v>
      </c>
      <c r="Q77" s="6">
        <v>8</v>
      </c>
      <c r="R77" s="6"/>
      <c r="S77" s="35">
        <f>SUM(F77:R77)</f>
        <v>87</v>
      </c>
      <c r="T77" s="35">
        <f>COUNT(F77:R77)</f>
        <v>11</v>
      </c>
      <c r="U77" s="36">
        <f>IF(T77&gt;=2,ROUND((IF(T77=2,0.55,IF(T77&lt;=4,0.7,IF(T77&lt;=6,0.8,IF(T77&lt;=9,0.9,1))))*(S77/T77)+(1-(IF(T77=2,0.55,IF(T77&lt;=4,0.7,IF(T77&lt;=6,0.8,IF(T77&lt;=9,0.9,1))))))*$Y$1),1),"")</f>
        <v>7.9</v>
      </c>
      <c r="V77" s="37">
        <v>7.3</v>
      </c>
      <c r="W77" s="38"/>
    </row>
    <row r="78" ht="24" customHeight="1" spans="1:23" x14ac:dyDescent="0.25">
      <c r="A78" s="31">
        <v>1782</v>
      </c>
      <c r="B78" s="32" t="s">
        <v>119</v>
      </c>
      <c r="C78" s="33" t="s">
        <v>24</v>
      </c>
      <c r="D78" s="34">
        <v>2024</v>
      </c>
      <c r="E78" s="34" t="s">
        <v>30</v>
      </c>
      <c r="F78" s="6"/>
      <c r="G78" s="6"/>
      <c r="H78" s="6"/>
      <c r="I78" s="6"/>
      <c r="J78" s="6"/>
      <c r="K78" s="6"/>
      <c r="L78" s="6"/>
      <c r="M78" s="6">
        <v>7</v>
      </c>
      <c r="N78" s="6"/>
      <c r="O78" s="6">
        <v>7</v>
      </c>
      <c r="P78" s="6"/>
      <c r="Q78" s="6"/>
      <c r="R78" s="6"/>
      <c r="S78" s="35">
        <f>SUM(F78:R78)</f>
        <v>14</v>
      </c>
      <c r="T78" s="35">
        <f>COUNT(F78:R78)</f>
        <v>2</v>
      </c>
      <c r="U78" s="36">
        <f>IF(T78&gt;=2,ROUND((IF(T78=2,0.55,IF(T78&lt;=4,0.7,IF(T78&lt;=6,0.8,IF(T78&lt;=9,0.9,1))))*(S78/T78)+(1-(IF(T78=2,0.55,IF(T78&lt;=4,0.7,IF(T78&lt;=6,0.8,IF(T78&lt;=9,0.9,1))))))*$Y$1),1),"")</f>
        <v>7.5</v>
      </c>
      <c r="V78" s="37">
        <v>6</v>
      </c>
      <c r="W78" s="38"/>
    </row>
    <row r="79" ht="24" customHeight="1" spans="1:23" x14ac:dyDescent="0.25">
      <c r="A79" s="31">
        <v>1389</v>
      </c>
      <c r="B79" s="32" t="s">
        <v>120</v>
      </c>
      <c r="C79" s="33" t="s">
        <v>29</v>
      </c>
      <c r="D79" s="34">
        <v>2022</v>
      </c>
      <c r="E79" s="34" t="s">
        <v>30</v>
      </c>
      <c r="F79" s="6"/>
      <c r="G79" s="6"/>
      <c r="H79" s="6"/>
      <c r="I79" s="6"/>
      <c r="J79" s="6"/>
      <c r="K79" s="6"/>
      <c r="L79" s="6"/>
      <c r="M79" s="6"/>
      <c r="N79" s="6"/>
      <c r="O79" s="6">
        <v>9</v>
      </c>
      <c r="P79" s="6"/>
      <c r="Q79" s="6"/>
      <c r="R79" s="6"/>
      <c r="S79" s="35">
        <f>SUM(F79:R79)</f>
        <v>9</v>
      </c>
      <c r="T79" s="35">
        <f>COUNT(F79:R79)</f>
        <v>1</v>
      </c>
      <c r="U79" s="36">
        <f>IF(T79&gt;=2,ROUND((IF(T79=2,0.55,IF(T79&lt;=4,0.7,IF(T79&lt;=6,0.8,IF(T79&lt;=9,0.9,1))))*(S79/T79)+(1-(IF(T79=2,0.55,IF(T79&lt;=4,0.7,IF(T79&lt;=6,0.8,IF(T79&lt;=9,0.9,1))))))*$Y$1),1),"")</f>
      </c>
      <c r="V79" s="37">
        <v>7.3</v>
      </c>
      <c r="W79" s="38"/>
    </row>
    <row r="80" ht="24" customHeight="1" spans="1:23" x14ac:dyDescent="0.25">
      <c r="A80" s="31">
        <v>1194</v>
      </c>
      <c r="B80" s="32" t="s">
        <v>121</v>
      </c>
      <c r="C80" s="33" t="s">
        <v>24</v>
      </c>
      <c r="D80" s="34">
        <v>2013</v>
      </c>
      <c r="E80" s="34" t="s">
        <v>122</v>
      </c>
      <c r="F80" s="6">
        <v>8</v>
      </c>
      <c r="G80" s="6"/>
      <c r="H80" s="6"/>
      <c r="I80" s="6"/>
      <c r="J80" s="6">
        <v>8</v>
      </c>
      <c r="K80" s="6"/>
      <c r="L80" s="6"/>
      <c r="M80" s="6"/>
      <c r="N80" s="6"/>
      <c r="O80" s="6"/>
      <c r="P80" s="6"/>
      <c r="Q80" s="6"/>
      <c r="R80" s="6"/>
      <c r="S80" s="35">
        <f>SUM(F80:R80)</f>
        <v>16</v>
      </c>
      <c r="T80" s="35">
        <f>COUNT(F80:R80)</f>
        <v>2</v>
      </c>
      <c r="U80" s="36">
        <f>IF(T80&gt;=2,ROUND((IF(T80=2,0.55,IF(T80&lt;=4,0.7,IF(T80&lt;=6,0.8,IF(T80&lt;=9,0.9,1))))*(S80/T80)+(1-(IF(T80=2,0.55,IF(T80&lt;=4,0.7,IF(T80&lt;=6,0.8,IF(T80&lt;=9,0.9,1))))))*$Y$1),1),"")</f>
        <v>8</v>
      </c>
      <c r="V80" s="37">
        <v>6.2</v>
      </c>
      <c r="W80" s="38"/>
    </row>
    <row r="81" ht="24" customHeight="1" spans="1:23" x14ac:dyDescent="0.25">
      <c r="A81" s="31">
        <v>959</v>
      </c>
      <c r="B81" s="32" t="s">
        <v>123</v>
      </c>
      <c r="C81" s="33" t="s">
        <v>114</v>
      </c>
      <c r="D81" s="34">
        <v>2020</v>
      </c>
      <c r="E81" s="34" t="s">
        <v>27</v>
      </c>
      <c r="F81" s="6"/>
      <c r="G81" s="6">
        <v>7</v>
      </c>
      <c r="H81" s="6"/>
      <c r="I81" s="6"/>
      <c r="J81" s="6"/>
      <c r="K81" s="6">
        <v>8</v>
      </c>
      <c r="L81" s="6"/>
      <c r="M81" s="6"/>
      <c r="N81" s="6"/>
      <c r="O81" s="6"/>
      <c r="P81" s="6">
        <v>8</v>
      </c>
      <c r="Q81" s="6">
        <v>8</v>
      </c>
      <c r="R81" s="6"/>
      <c r="S81" s="35">
        <f>SUM(F81:R81)</f>
        <v>31</v>
      </c>
      <c r="T81" s="35">
        <f>COUNT(F81:R81)</f>
        <v>4</v>
      </c>
      <c r="U81" s="36">
        <f>IF(T81&gt;=2,ROUND((IF(T81=2,0.55,IF(T81&lt;=4,0.7,IF(T81&lt;=6,0.8,IF(T81&lt;=9,0.9,1))))*(S81/T81)+(1-(IF(T81=2,0.55,IF(T81&lt;=4,0.7,IF(T81&lt;=6,0.8,IF(T81&lt;=9,0.9,1))))))*$Y$1),1),"")</f>
        <v>7.9</v>
      </c>
      <c r="V81" s="37">
        <v>7.1</v>
      </c>
      <c r="W81" s="38"/>
    </row>
    <row r="82" ht="24" customHeight="1" spans="1:23" x14ac:dyDescent="0.25">
      <c r="A82" s="31">
        <v>763</v>
      </c>
      <c r="B82" s="32" t="s">
        <v>124</v>
      </c>
      <c r="C82" s="33" t="s">
        <v>24</v>
      </c>
      <c r="D82" s="34">
        <v>2015</v>
      </c>
      <c r="E82" s="34" t="s">
        <v>30</v>
      </c>
      <c r="F82" s="6"/>
      <c r="G82" s="6"/>
      <c r="H82" s="6"/>
      <c r="I82" s="6"/>
      <c r="J82" s="6"/>
      <c r="K82" s="6">
        <v>8</v>
      </c>
      <c r="L82" s="6"/>
      <c r="M82" s="6"/>
      <c r="N82" s="6"/>
      <c r="O82" s="6"/>
      <c r="P82" s="6"/>
      <c r="Q82" s="6">
        <v>8</v>
      </c>
      <c r="R82" s="6"/>
      <c r="S82" s="35">
        <f>SUM(F82:R82)</f>
        <v>16</v>
      </c>
      <c r="T82" s="35">
        <f>COUNT(F82:R82)</f>
        <v>2</v>
      </c>
      <c r="U82" s="36">
        <f>IF(T82&gt;=2,ROUND((IF(T82=2,0.55,IF(T82&lt;=4,0.7,IF(T82&lt;=6,0.8,IF(T82&lt;=9,0.9,1))))*(S82/T82)+(1-(IF(T82=2,0.55,IF(T82&lt;=4,0.7,IF(T82&lt;=6,0.8,IF(T82&lt;=9,0.9,1))))))*$Y$1),1),"")</f>
        <v>8</v>
      </c>
      <c r="V82" s="37">
        <v>6.7</v>
      </c>
      <c r="W82" s="38"/>
    </row>
    <row r="83" ht="24" customHeight="1" spans="1:23" x14ac:dyDescent="0.25">
      <c r="A83" s="31">
        <v>1492</v>
      </c>
      <c r="B83" s="32" t="s">
        <v>125</v>
      </c>
      <c r="C83" s="33" t="s">
        <v>24</v>
      </c>
      <c r="D83" s="34">
        <v>2016</v>
      </c>
      <c r="E83" s="34" t="s">
        <v>27</v>
      </c>
      <c r="F83" s="6">
        <v>7</v>
      </c>
      <c r="G83" s="6"/>
      <c r="H83" s="6"/>
      <c r="I83" s="6">
        <v>6</v>
      </c>
      <c r="J83" s="6"/>
      <c r="K83" s="6">
        <v>8</v>
      </c>
      <c r="L83" s="6"/>
      <c r="M83" s="6"/>
      <c r="N83" s="6"/>
      <c r="O83" s="6"/>
      <c r="P83" s="6"/>
      <c r="Q83" s="6">
        <v>8</v>
      </c>
      <c r="R83" s="6"/>
      <c r="S83" s="35">
        <f>SUM(F83:R83)</f>
        <v>29</v>
      </c>
      <c r="T83" s="35">
        <f>COUNT(F83:R83)</f>
        <v>4</v>
      </c>
      <c r="U83" s="36">
        <f>IF(T83&gt;=2,ROUND((IF(T83=2,0.55,IF(T83&lt;=4,0.7,IF(T83&lt;=6,0.8,IF(T83&lt;=9,0.9,1))))*(S83/T83)+(1-(IF(T83=2,0.55,IF(T83&lt;=4,0.7,IF(T83&lt;=6,0.8,IF(T83&lt;=9,0.9,1))))))*$Y$1),1),"")</f>
        <v>7.5</v>
      </c>
      <c r="V83" s="37">
        <v>5.7</v>
      </c>
      <c r="W83" s="38"/>
    </row>
    <row r="84" ht="24" customHeight="1" spans="1:23" x14ac:dyDescent="0.25">
      <c r="A84" s="31">
        <v>560</v>
      </c>
      <c r="B84" s="32" t="s">
        <v>126</v>
      </c>
      <c r="C84" s="33" t="s">
        <v>24</v>
      </c>
      <c r="D84" s="34">
        <v>2017</v>
      </c>
      <c r="E84" s="34" t="s">
        <v>25</v>
      </c>
      <c r="F84" s="6"/>
      <c r="G84" s="6">
        <v>8</v>
      </c>
      <c r="H84" s="6"/>
      <c r="I84" s="6"/>
      <c r="J84" s="6">
        <v>8</v>
      </c>
      <c r="K84" s="6"/>
      <c r="L84" s="6"/>
      <c r="M84" s="6"/>
      <c r="N84" s="6"/>
      <c r="O84" s="6">
        <v>7</v>
      </c>
      <c r="P84" s="6">
        <v>8</v>
      </c>
      <c r="Q84" s="6"/>
      <c r="R84" s="6"/>
      <c r="S84" s="35">
        <f>SUM(F84:R84)</f>
        <v>31</v>
      </c>
      <c r="T84" s="35">
        <f>COUNT(F84:R84)</f>
        <v>4</v>
      </c>
      <c r="U84" s="36">
        <f>IF(T84&gt;=2,ROUND((IF(T84=2,0.55,IF(T84&lt;=4,0.7,IF(T84&lt;=6,0.8,IF(T84&lt;=9,0.9,1))))*(S84/T84)+(1-(IF(T84=2,0.55,IF(T84&lt;=4,0.7,IF(T84&lt;=6,0.8,IF(T84&lt;=9,0.9,1))))))*$Y$1),1),"")</f>
        <v>7.9</v>
      </c>
      <c r="V84" s="37">
        <v>7.2</v>
      </c>
      <c r="W84" s="38"/>
    </row>
    <row r="85" ht="24" customHeight="1" spans="1:23" x14ac:dyDescent="0.25">
      <c r="A85" s="31">
        <v>2460</v>
      </c>
      <c r="B85" s="32" t="s">
        <v>127</v>
      </c>
      <c r="C85" s="33" t="s">
        <v>24</v>
      </c>
      <c r="D85" s="34">
        <v>2025</v>
      </c>
      <c r="E85" s="41"/>
      <c r="F85" s="6"/>
      <c r="G85" s="6"/>
      <c r="H85" s="6"/>
      <c r="I85" s="6"/>
      <c r="J85" s="6"/>
      <c r="K85" s="6">
        <v>8</v>
      </c>
      <c r="L85" s="6"/>
      <c r="M85" s="6"/>
      <c r="N85" s="6"/>
      <c r="O85" s="6"/>
      <c r="P85" s="6"/>
      <c r="Q85" s="6">
        <v>8</v>
      </c>
      <c r="R85" s="6"/>
      <c r="S85" s="35">
        <f>SUM(F85:R85)</f>
        <v>16</v>
      </c>
      <c r="T85" s="35">
        <f>COUNT(F85:R85)</f>
        <v>2</v>
      </c>
      <c r="U85" s="36">
        <f>IF(T85&gt;=2,ROUND((IF(T85=2,0.55,IF(T85&lt;=4,0.7,IF(T85&lt;=6,0.8,IF(T85&lt;=9,0.9,1))))*(S85/T85)+(1-(IF(T85=2,0.55,IF(T85&lt;=4,0.7,IF(T85&lt;=6,0.8,IF(T85&lt;=9,0.9,1))))))*$Y$1),1),"")</f>
        <v>8</v>
      </c>
      <c r="V85" s="37">
        <v>6.7</v>
      </c>
      <c r="W85" s="38"/>
    </row>
    <row r="86" ht="24" customHeight="1" spans="1:23" x14ac:dyDescent="0.25">
      <c r="A86" s="40">
        <v>2171</v>
      </c>
      <c r="B86" s="32" t="s">
        <v>128</v>
      </c>
      <c r="C86" s="33" t="s">
        <v>24</v>
      </c>
      <c r="D86" s="34">
        <v>2005</v>
      </c>
      <c r="E86" s="41"/>
      <c r="F86" s="6"/>
      <c r="G86" s="6">
        <v>7</v>
      </c>
      <c r="H86" s="6"/>
      <c r="I86" s="6"/>
      <c r="J86" s="6"/>
      <c r="K86" s="6"/>
      <c r="L86" s="6"/>
      <c r="M86" s="6"/>
      <c r="N86" s="6"/>
      <c r="O86" s="6">
        <v>8</v>
      </c>
      <c r="P86" s="6"/>
      <c r="Q86" s="6"/>
      <c r="R86" s="6"/>
      <c r="S86" s="35">
        <f>SUM(F86:R86)</f>
        <v>15</v>
      </c>
      <c r="T86" s="35">
        <f>COUNT(F86:R86)</f>
        <v>2</v>
      </c>
      <c r="U86" s="36">
        <f>IF(T86&gt;=2,ROUND((IF(T86=2,0.55,IF(T86&lt;=4,0.7,IF(T86&lt;=6,0.8,IF(T86&lt;=9,0.9,1))))*(S86/T86)+(1-(IF(T86=2,0.55,IF(T86&lt;=4,0.7,IF(T86&lt;=6,0.8,IF(T86&lt;=9,0.9,1))))))*$Y$1),1),"")</f>
        <v>7.8</v>
      </c>
      <c r="V86" s="37">
        <v>7.6</v>
      </c>
      <c r="W86" s="38"/>
    </row>
    <row r="87" ht="24" customHeight="1" spans="1:23" x14ac:dyDescent="0.25">
      <c r="A87" s="31">
        <v>179</v>
      </c>
      <c r="B87" s="32" t="s">
        <v>129</v>
      </c>
      <c r="C87" s="33" t="s">
        <v>24</v>
      </c>
      <c r="D87" s="34">
        <v>2001</v>
      </c>
      <c r="E87" s="34" t="s">
        <v>92</v>
      </c>
      <c r="F87" s="6">
        <v>10</v>
      </c>
      <c r="G87" s="6">
        <v>8</v>
      </c>
      <c r="H87" s="6">
        <v>10</v>
      </c>
      <c r="I87" s="6">
        <v>10</v>
      </c>
      <c r="J87" s="6">
        <v>10</v>
      </c>
      <c r="K87" s="6">
        <v>10</v>
      </c>
      <c r="L87" s="6">
        <v>10</v>
      </c>
      <c r="M87" s="6">
        <v>10</v>
      </c>
      <c r="N87" s="6"/>
      <c r="O87" s="6"/>
      <c r="P87" s="6">
        <v>8</v>
      </c>
      <c r="Q87" s="6">
        <v>10</v>
      </c>
      <c r="R87" s="6">
        <v>10</v>
      </c>
      <c r="S87" s="35">
        <f>SUM(F87:R87)</f>
        <v>106</v>
      </c>
      <c r="T87" s="35">
        <f>COUNT(F87:R87)</f>
        <v>11</v>
      </c>
      <c r="U87" s="36">
        <f>IF(T87&gt;=2,ROUND((IF(T87=2,0.55,IF(T87&lt;=4,0.7,IF(T87&lt;=6,0.8,IF(T87&lt;=9,0.9,1))))*(S87/T87)+(1-(IF(T87=2,0.55,IF(T87&lt;=4,0.7,IF(T87&lt;=6,0.8,IF(T87&lt;=9,0.9,1))))))*$Y$1),1),"")</f>
        <v>9.6</v>
      </c>
      <c r="V87" s="37">
        <v>8.2</v>
      </c>
      <c r="W87" s="38"/>
    </row>
    <row r="88" ht="24" customHeight="1" spans="1:23" x14ac:dyDescent="0.25">
      <c r="A88" s="42">
        <v>1588</v>
      </c>
      <c r="B88" s="32" t="s">
        <v>130</v>
      </c>
      <c r="C88" s="43" t="s">
        <v>24</v>
      </c>
      <c r="D88" s="44">
        <v>2023</v>
      </c>
      <c r="E88" s="44" t="s">
        <v>30</v>
      </c>
      <c r="F88" s="6">
        <v>8</v>
      </c>
      <c r="G88" s="6"/>
      <c r="H88" s="6">
        <v>8</v>
      </c>
      <c r="I88" s="6">
        <v>9</v>
      </c>
      <c r="J88" s="6">
        <v>9</v>
      </c>
      <c r="K88" s="6"/>
      <c r="L88" s="6">
        <v>7</v>
      </c>
      <c r="M88" s="6">
        <v>9</v>
      </c>
      <c r="N88" s="6">
        <v>9</v>
      </c>
      <c r="O88" s="6">
        <v>9</v>
      </c>
      <c r="P88" s="6">
        <v>8</v>
      </c>
      <c r="Q88" s="6"/>
      <c r="R88" s="6">
        <v>8</v>
      </c>
      <c r="S88" s="45">
        <f>SUM(F88:R88)</f>
        <v>84</v>
      </c>
      <c r="T88" s="45">
        <f>COUNT(F88:R88)</f>
        <v>10</v>
      </c>
      <c r="U88" s="36">
        <f>IF(T88&gt;=2,ROUND((IF(T88=2,0.55,IF(T88&lt;=4,0.7,IF(T88&lt;=6,0.8,IF(T88&lt;=9,0.9,1))))*(S88/T88)+(1-(IF(T88=2,0.55,IF(T88&lt;=4,0.7,IF(T88&lt;=6,0.8,IF(T88&lt;=9,0.9,1))))))*$Y$1),1),"")</f>
        <v>8.4</v>
      </c>
      <c r="V88" s="37">
        <v>7.3</v>
      </c>
      <c r="W88" s="38" t="s">
        <v>44</v>
      </c>
    </row>
    <row r="89" ht="24" customHeight="1" spans="1:23" x14ac:dyDescent="0.25">
      <c r="A89" s="31">
        <v>1602</v>
      </c>
      <c r="B89" s="32" t="s">
        <v>131</v>
      </c>
      <c r="C89" s="33" t="s">
        <v>24</v>
      </c>
      <c r="D89" s="34">
        <v>2023</v>
      </c>
      <c r="E89" s="34" t="s">
        <v>30</v>
      </c>
      <c r="F89" s="6"/>
      <c r="G89" s="6"/>
      <c r="H89" s="6"/>
      <c r="I89" s="6"/>
      <c r="J89" s="6"/>
      <c r="K89" s="6"/>
      <c r="L89" s="6"/>
      <c r="M89" s="6"/>
      <c r="N89" s="6"/>
      <c r="O89" s="6">
        <v>7</v>
      </c>
      <c r="P89" s="6"/>
      <c r="Q89" s="6"/>
      <c r="R89" s="6"/>
      <c r="S89" s="35">
        <f>SUM(F89:R89)</f>
        <v>7</v>
      </c>
      <c r="T89" s="35">
        <f>COUNT(F89:R89)</f>
        <v>1</v>
      </c>
      <c r="U89" s="36">
        <f>IF(T89&gt;=2,ROUND((IF(T89=2,0.55,IF(T89&lt;=4,0.7,IF(T89&lt;=6,0.8,IF(T89&lt;=9,0.9,1))))*(S89/T89)+(1-(IF(T89=2,0.55,IF(T89&lt;=4,0.7,IF(T89&lt;=6,0.8,IF(T89&lt;=9,0.9,1))))))*$Y$1),1),"")</f>
      </c>
      <c r="V89" s="37">
        <v>6.4</v>
      </c>
      <c r="W89" s="38"/>
    </row>
    <row r="90" ht="24" customHeight="1" spans="1:23" x14ac:dyDescent="0.25">
      <c r="A90" s="31">
        <v>140</v>
      </c>
      <c r="B90" s="32" t="s">
        <v>132</v>
      </c>
      <c r="C90" s="33" t="s">
        <v>24</v>
      </c>
      <c r="D90" s="34">
        <v>1990</v>
      </c>
      <c r="E90" s="34" t="s">
        <v>52</v>
      </c>
      <c r="F90" s="6">
        <v>8</v>
      </c>
      <c r="G90" s="6">
        <v>7</v>
      </c>
      <c r="H90" s="6">
        <v>10</v>
      </c>
      <c r="I90" s="6">
        <v>8</v>
      </c>
      <c r="J90" s="6">
        <v>8</v>
      </c>
      <c r="K90" s="6">
        <v>8</v>
      </c>
      <c r="L90" s="6">
        <v>8</v>
      </c>
      <c r="M90" s="6">
        <v>8</v>
      </c>
      <c r="N90" s="6">
        <v>8</v>
      </c>
      <c r="O90" s="6"/>
      <c r="P90" s="6">
        <v>8</v>
      </c>
      <c r="Q90" s="6">
        <v>8</v>
      </c>
      <c r="R90" s="6"/>
      <c r="S90" s="35">
        <f>SUM(F90:R90)</f>
        <v>89</v>
      </c>
      <c r="T90" s="35">
        <f>COUNT(F90:R90)</f>
        <v>11</v>
      </c>
      <c r="U90" s="36">
        <f>IF(T90&gt;=2,ROUND((IF(T90=2,0.55,IF(T90&lt;=4,0.7,IF(T90&lt;=6,0.8,IF(T90&lt;=9,0.9,1))))*(S90/T90)+(1-(IF(T90=2,0.55,IF(T90&lt;=4,0.7,IF(T90&lt;=6,0.8,IF(T90&lt;=9,0.9,1))))))*$Y$1),1),"")</f>
        <v>8.1</v>
      </c>
      <c r="V90" s="37">
        <v>7.1</v>
      </c>
      <c r="W90" s="38"/>
    </row>
    <row r="91" ht="24" customHeight="1" spans="1:23" x14ac:dyDescent="0.25">
      <c r="A91" s="31">
        <v>1425</v>
      </c>
      <c r="B91" s="32" t="s">
        <v>133</v>
      </c>
      <c r="C91" s="33" t="s">
        <v>24</v>
      </c>
      <c r="D91" s="34">
        <v>2001</v>
      </c>
      <c r="E91" s="34" t="s">
        <v>106</v>
      </c>
      <c r="F91" s="6"/>
      <c r="G91" s="6"/>
      <c r="H91" s="6"/>
      <c r="I91" s="6"/>
      <c r="J91" s="6">
        <v>10</v>
      </c>
      <c r="K91" s="6"/>
      <c r="L91" s="6"/>
      <c r="M91" s="6"/>
      <c r="N91" s="6"/>
      <c r="O91" s="6"/>
      <c r="P91" s="6"/>
      <c r="Q91" s="6"/>
      <c r="R91" s="6"/>
      <c r="S91" s="35">
        <f>SUM(F91:R91)</f>
        <v>10</v>
      </c>
      <c r="T91" s="35">
        <f>COUNT(F91:R91)</f>
        <v>1</v>
      </c>
      <c r="U91" s="36">
        <f>IF(T91&gt;=2,ROUND((IF(T91=2,0.55,IF(T91&lt;=4,0.7,IF(T91&lt;=6,0.8,IF(T91&lt;=9,0.9,1))))*(S91/T91)+(1-(IF(T91=2,0.55,IF(T91&lt;=4,0.7,IF(T91&lt;=6,0.8,IF(T91&lt;=9,0.9,1))))))*$Y$1),1),"")</f>
      </c>
      <c r="V91" s="37">
        <v>7.9</v>
      </c>
      <c r="W91" s="38"/>
    </row>
    <row r="92" ht="24" customHeight="1" spans="1:23" x14ac:dyDescent="0.25">
      <c r="A92" s="31">
        <v>559</v>
      </c>
      <c r="B92" s="32" t="s">
        <v>134</v>
      </c>
      <c r="C92" s="33" t="s">
        <v>24</v>
      </c>
      <c r="D92" s="34">
        <v>2001</v>
      </c>
      <c r="E92" s="34" t="s">
        <v>43</v>
      </c>
      <c r="F92" s="6">
        <v>8</v>
      </c>
      <c r="G92" s="6">
        <v>8</v>
      </c>
      <c r="H92" s="6"/>
      <c r="I92" s="6"/>
      <c r="J92" s="6"/>
      <c r="K92" s="6">
        <v>8</v>
      </c>
      <c r="L92" s="6">
        <v>8</v>
      </c>
      <c r="M92" s="6"/>
      <c r="N92" s="6"/>
      <c r="O92" s="6">
        <v>8</v>
      </c>
      <c r="P92" s="6">
        <v>8</v>
      </c>
      <c r="Q92" s="6">
        <v>8</v>
      </c>
      <c r="R92" s="6"/>
      <c r="S92" s="35">
        <f>SUM(F92:R92)</f>
        <v>56</v>
      </c>
      <c r="T92" s="35">
        <f>COUNT(F92:R92)</f>
        <v>7</v>
      </c>
      <c r="U92" s="36">
        <f>IF(T92&gt;=2,ROUND((IF(T92=2,0.55,IF(T92&lt;=4,0.7,IF(T92&lt;=6,0.8,IF(T92&lt;=9,0.9,1))))*(S92/T92)+(1-(IF(T92=2,0.55,IF(T92&lt;=4,0.7,IF(T92&lt;=6,0.8,IF(T92&lt;=9,0.9,1))))))*$Y$1),1),"")</f>
        <v>8</v>
      </c>
      <c r="V92" s="37">
        <v>7.6</v>
      </c>
      <c r="W92" s="38"/>
    </row>
    <row r="93" ht="47.25" customHeight="1" spans="1:23" x14ac:dyDescent="0.25">
      <c r="A93" s="31">
        <v>958</v>
      </c>
      <c r="B93" s="32" t="s">
        <v>135</v>
      </c>
      <c r="C93" s="33" t="s">
        <v>114</v>
      </c>
      <c r="D93" s="34">
        <v>1999</v>
      </c>
      <c r="E93" s="34" t="s">
        <v>48</v>
      </c>
      <c r="F93" s="6"/>
      <c r="G93" s="6">
        <v>8</v>
      </c>
      <c r="H93" s="6"/>
      <c r="I93" s="6"/>
      <c r="J93" s="6">
        <v>8</v>
      </c>
      <c r="K93" s="6"/>
      <c r="L93" s="6"/>
      <c r="M93" s="6"/>
      <c r="N93" s="6"/>
      <c r="O93" s="6"/>
      <c r="P93" s="6"/>
      <c r="Q93" s="6"/>
      <c r="R93" s="6"/>
      <c r="S93" s="35">
        <f>SUM(F93:R93)</f>
        <v>16</v>
      </c>
      <c r="T93" s="35">
        <f>COUNT(F93:R93)</f>
        <v>2</v>
      </c>
      <c r="U93" s="36">
        <f>IF(T93&gt;=2,ROUND((IF(T93=2,0.55,IF(T93&lt;=4,0.7,IF(T93&lt;=6,0.8,IF(T93&lt;=9,0.9,1))))*(S93/T93)+(1-(IF(T93=2,0.55,IF(T93&lt;=4,0.7,IF(T93&lt;=6,0.8,IF(T93&lt;=9,0.9,1))))))*$Y$1),1),"")</f>
        <v>8</v>
      </c>
      <c r="V93" s="37">
        <v>8</v>
      </c>
      <c r="W93" s="38"/>
    </row>
    <row r="94" ht="24" customHeight="1" spans="1:23" x14ac:dyDescent="0.25">
      <c r="A94" s="31">
        <v>1145</v>
      </c>
      <c r="B94" s="32" t="s">
        <v>136</v>
      </c>
      <c r="C94" s="33" t="s">
        <v>24</v>
      </c>
      <c r="D94" s="34">
        <v>1990</v>
      </c>
      <c r="E94" s="34" t="s">
        <v>137</v>
      </c>
      <c r="F94" s="6"/>
      <c r="G94" s="6"/>
      <c r="H94" s="6"/>
      <c r="I94" s="6"/>
      <c r="J94" s="6"/>
      <c r="K94" s="6"/>
      <c r="L94" s="6"/>
      <c r="M94" s="6"/>
      <c r="N94" s="6"/>
      <c r="O94" s="6">
        <v>8</v>
      </c>
      <c r="P94" s="6"/>
      <c r="Q94" s="6"/>
      <c r="R94" s="6"/>
      <c r="S94" s="35">
        <f>SUM(F94:R94)</f>
        <v>8</v>
      </c>
      <c r="T94" s="35">
        <f>COUNT(F94:R94)</f>
        <v>1</v>
      </c>
      <c r="U94" s="36">
        <f>IF(T94&gt;=2,ROUND((IF(T94=2,0.55,IF(T94&lt;=4,0.7,IF(T94&lt;=6,0.8,IF(T94&lt;=9,0.9,1))))*(S94/T94)+(1-(IF(T94=2,0.55,IF(T94&lt;=4,0.7,IF(T94&lt;=6,0.8,IF(T94&lt;=9,0.9,1))))))*$Y$1),1),"")</f>
      </c>
      <c r="V94" s="37">
        <v>7.3</v>
      </c>
      <c r="W94" s="38"/>
    </row>
    <row r="95" ht="24" customHeight="1" spans="1:23" x14ac:dyDescent="0.25">
      <c r="A95" s="31">
        <v>1418</v>
      </c>
      <c r="B95" s="32" t="s">
        <v>138</v>
      </c>
      <c r="C95" s="33" t="s">
        <v>24</v>
      </c>
      <c r="D95" s="34">
        <v>2022</v>
      </c>
      <c r="E95" s="34" t="s">
        <v>30</v>
      </c>
      <c r="F95" s="6">
        <v>8</v>
      </c>
      <c r="G95" s="6"/>
      <c r="H95" s="6"/>
      <c r="I95" s="6"/>
      <c r="J95" s="6"/>
      <c r="K95" s="6">
        <v>8</v>
      </c>
      <c r="L95" s="6"/>
      <c r="M95" s="6">
        <v>6</v>
      </c>
      <c r="N95" s="6"/>
      <c r="O95" s="6">
        <v>8</v>
      </c>
      <c r="P95" s="6"/>
      <c r="Q95" s="6">
        <v>8</v>
      </c>
      <c r="R95" s="6"/>
      <c r="S95" s="35">
        <f>SUM(F95:R95)</f>
        <v>38</v>
      </c>
      <c r="T95" s="35">
        <f>COUNT(F95:R95)</f>
        <v>5</v>
      </c>
      <c r="U95" s="36">
        <f>IF(T95&gt;=2,ROUND((IF(T95=2,0.55,IF(T95&lt;=4,0.7,IF(T95&lt;=6,0.8,IF(T95&lt;=9,0.9,1))))*(S95/T95)+(1-(IF(T95=2,0.55,IF(T95&lt;=4,0.7,IF(T95&lt;=6,0.8,IF(T95&lt;=9,0.9,1))))))*$Y$1),1),"")</f>
        <v>7.7</v>
      </c>
      <c r="V95" s="37">
        <v>6.4</v>
      </c>
      <c r="W95" s="38"/>
    </row>
    <row r="96" ht="24" customHeight="1" spans="1:23" x14ac:dyDescent="0.25">
      <c r="A96" s="31">
        <v>1695</v>
      </c>
      <c r="B96" s="32" t="s">
        <v>139</v>
      </c>
      <c r="C96" s="33" t="s">
        <v>29</v>
      </c>
      <c r="D96" s="34">
        <v>2023</v>
      </c>
      <c r="E96" s="34" t="s">
        <v>30</v>
      </c>
      <c r="F96" s="6">
        <v>8</v>
      </c>
      <c r="G96" s="6"/>
      <c r="H96" s="6">
        <v>8</v>
      </c>
      <c r="I96" s="6"/>
      <c r="J96" s="6"/>
      <c r="K96" s="6"/>
      <c r="L96" s="6">
        <v>8</v>
      </c>
      <c r="M96" s="6">
        <v>8</v>
      </c>
      <c r="N96" s="6">
        <v>8</v>
      </c>
      <c r="O96" s="6">
        <v>9</v>
      </c>
      <c r="P96" s="6"/>
      <c r="Q96" s="6"/>
      <c r="R96" s="6"/>
      <c r="S96" s="35">
        <f>SUM(F96:R96)</f>
        <v>49</v>
      </c>
      <c r="T96" s="35">
        <f>COUNT(F96:R96)</f>
        <v>6</v>
      </c>
      <c r="U96" s="36">
        <f>IF(T96&gt;=2,ROUND((IF(T96=2,0.55,IF(T96&lt;=4,0.7,IF(T96&lt;=6,0.8,IF(T96&lt;=9,0.9,1))))*(S96/T96)+(1-(IF(T96=2,0.55,IF(T96&lt;=4,0.7,IF(T96&lt;=6,0.8,IF(T96&lt;=9,0.9,1))))))*$Y$1),1),"")</f>
        <v>8.2</v>
      </c>
      <c r="V96" s="37">
        <v>6.9</v>
      </c>
      <c r="W96" s="38"/>
    </row>
    <row r="97" ht="24" customHeight="1" spans="1:23" x14ac:dyDescent="0.25">
      <c r="A97" s="31">
        <v>1778</v>
      </c>
      <c r="B97" s="32" t="s">
        <v>140</v>
      </c>
      <c r="C97" s="33" t="s">
        <v>24</v>
      </c>
      <c r="D97" s="34">
        <v>2023</v>
      </c>
      <c r="E97" s="34" t="s">
        <v>141</v>
      </c>
      <c r="F97" s="6"/>
      <c r="G97" s="6"/>
      <c r="H97" s="6"/>
      <c r="I97" s="6"/>
      <c r="J97" s="6"/>
      <c r="K97" s="6"/>
      <c r="L97" s="6"/>
      <c r="M97" s="6"/>
      <c r="N97" s="6"/>
      <c r="O97" s="6">
        <v>8</v>
      </c>
      <c r="P97" s="6"/>
      <c r="Q97" s="6"/>
      <c r="R97" s="6"/>
      <c r="S97" s="35">
        <f>SUM(F97:R97)</f>
        <v>8</v>
      </c>
      <c r="T97" s="35">
        <f>COUNT(F97:R97)</f>
        <v>1</v>
      </c>
      <c r="U97" s="36">
        <f>IF(T97&gt;=2,ROUND((IF(T97=2,0.55,IF(T97&lt;=4,0.7,IF(T97&lt;=6,0.8,IF(T97&lt;=9,0.9,1))))*(S97/T97)+(1-(IF(T97=2,0.55,IF(T97&lt;=4,0.7,IF(T97&lt;=6,0.8,IF(T97&lt;=9,0.9,1))))))*$Y$1),1),"")</f>
      </c>
      <c r="V97" s="37">
        <v>6.5</v>
      </c>
      <c r="W97" s="38"/>
    </row>
    <row r="98" ht="24" customHeight="1" spans="1:23" x14ac:dyDescent="0.25">
      <c r="A98" s="31">
        <v>1722</v>
      </c>
      <c r="B98" s="32" t="s">
        <v>142</v>
      </c>
      <c r="C98" s="33" t="s">
        <v>24</v>
      </c>
      <c r="D98" s="34">
        <v>2022</v>
      </c>
      <c r="E98" s="34" t="s">
        <v>27</v>
      </c>
      <c r="F98" s="6"/>
      <c r="G98" s="6"/>
      <c r="H98" s="6"/>
      <c r="I98" s="6"/>
      <c r="J98" s="6"/>
      <c r="K98" s="6"/>
      <c r="L98" s="6"/>
      <c r="M98" s="6">
        <v>8</v>
      </c>
      <c r="N98" s="6"/>
      <c r="O98" s="6"/>
      <c r="P98" s="6"/>
      <c r="Q98" s="6"/>
      <c r="R98" s="6"/>
      <c r="S98" s="35">
        <f>SUM(F98:R98)</f>
        <v>8</v>
      </c>
      <c r="T98" s="35">
        <f>COUNT(F98:R98)</f>
        <v>1</v>
      </c>
      <c r="U98" s="36">
        <f>IF(T98&gt;=2,ROUND((IF(T98=2,0.55,IF(T98&lt;=4,0.7,IF(T98&lt;=6,0.8,IF(T98&lt;=9,0.9,1))))*(S98/T98)+(1-(IF(T98=2,0.55,IF(T98&lt;=4,0.7,IF(T98&lt;=6,0.8,IF(T98&lt;=9,0.9,1))))))*$Y$1),1),"")</f>
      </c>
      <c r="V98" s="37">
        <v>6.8</v>
      </c>
      <c r="W98" s="38"/>
    </row>
    <row r="99" ht="24" customHeight="1" spans="1:23" s="39" customFormat="1" x14ac:dyDescent="0.25">
      <c r="A99" s="31">
        <v>1620</v>
      </c>
      <c r="B99" s="32" t="s">
        <v>143</v>
      </c>
      <c r="C99" s="33" t="s">
        <v>24</v>
      </c>
      <c r="D99" s="34">
        <v>2021</v>
      </c>
      <c r="E99" s="34" t="s">
        <v>27</v>
      </c>
      <c r="F99" s="6"/>
      <c r="G99" s="6"/>
      <c r="H99" s="6"/>
      <c r="I99" s="6"/>
      <c r="J99" s="6"/>
      <c r="K99" s="6"/>
      <c r="L99" s="6"/>
      <c r="M99" s="6"/>
      <c r="N99" s="6"/>
      <c r="O99" s="6">
        <v>8</v>
      </c>
      <c r="P99" s="6"/>
      <c r="Q99" s="6"/>
      <c r="R99" s="6"/>
      <c r="S99" s="35">
        <f>SUM(F99:R99)</f>
        <v>8</v>
      </c>
      <c r="T99" s="35">
        <f>COUNT(F99:R99)</f>
        <v>1</v>
      </c>
      <c r="U99" s="36">
        <f>IF(T99&gt;=2,ROUND((IF(T99=2,0.55,IF(T99&lt;=4,0.7,IF(T99&lt;=6,0.8,IF(T99&lt;=9,0.9,1))))*(S99/T99)+(1-(IF(T99=2,0.55,IF(T99&lt;=4,0.7,IF(T99&lt;=6,0.8,IF(T99&lt;=9,0.9,1))))))*$Y$1),1),"")</f>
      </c>
      <c r="V99" s="37">
        <v>6.3</v>
      </c>
      <c r="W99" s="38"/>
    </row>
    <row r="100" ht="24" customHeight="1" spans="1:23" x14ac:dyDescent="0.25">
      <c r="A100" s="31">
        <v>1169</v>
      </c>
      <c r="B100" s="32" t="s">
        <v>144</v>
      </c>
      <c r="C100" s="33" t="s">
        <v>24</v>
      </c>
      <c r="D100" s="34">
        <v>2010</v>
      </c>
      <c r="E100" s="34" t="s">
        <v>27</v>
      </c>
      <c r="F100" s="6"/>
      <c r="G100" s="6"/>
      <c r="H100" s="6"/>
      <c r="I100" s="6"/>
      <c r="J100" s="6"/>
      <c r="K100" s="6"/>
      <c r="L100" s="6"/>
      <c r="M100" s="6"/>
      <c r="N100" s="6"/>
      <c r="O100" s="6">
        <v>6</v>
      </c>
      <c r="P100" s="6"/>
      <c r="Q100" s="6"/>
      <c r="R100" s="6"/>
      <c r="S100" s="35">
        <f>SUM(F100:R100)</f>
        <v>6</v>
      </c>
      <c r="T100" s="35">
        <f>COUNT(F100:R100)</f>
        <v>1</v>
      </c>
      <c r="U100" s="36">
        <f>IF(T100&gt;=2,ROUND((IF(T100=2,0.55,IF(T100&lt;=4,0.7,IF(T100&lt;=6,0.8,IF(T100&lt;=9,0.9,1))))*(S100/T100)+(1-(IF(T100=2,0.55,IF(T100&lt;=4,0.7,IF(T100&lt;=6,0.8,IF(T100&lt;=9,0.9,1))))))*$Y$1),1),"")</f>
      </c>
      <c r="V100" s="37">
        <v>6.4</v>
      </c>
      <c r="W100" s="38"/>
    </row>
    <row r="101" ht="24" customHeight="1" spans="1:23" x14ac:dyDescent="0.25">
      <c r="A101" s="31">
        <v>2512</v>
      </c>
      <c r="B101" s="32" t="s">
        <v>145</v>
      </c>
      <c r="C101" s="33" t="s">
        <v>29</v>
      </c>
      <c r="D101" s="34" t="s">
        <v>146</v>
      </c>
      <c r="E101" s="34" t="s">
        <v>30</v>
      </c>
      <c r="F101" s="53"/>
      <c r="G101" s="54"/>
      <c r="H101" s="55">
        <v>8</v>
      </c>
      <c r="I101" s="56"/>
      <c r="J101" s="57"/>
      <c r="K101" s="58"/>
      <c r="L101" s="59"/>
      <c r="M101" s="60"/>
      <c r="N101" s="61"/>
      <c r="O101" s="62"/>
      <c r="P101" s="63"/>
      <c r="Q101" s="64"/>
      <c r="R101" s="65"/>
      <c r="S101" s="35">
        <f>SUM(F101:R101)</f>
        <v>8</v>
      </c>
      <c r="T101" s="35">
        <f>COUNT(F101:R101)</f>
        <v>1</v>
      </c>
      <c r="U101" s="66"/>
      <c r="V101" s="37"/>
      <c r="W101" s="38"/>
    </row>
    <row r="102" ht="24" customHeight="1" spans="1:23" x14ac:dyDescent="0.25">
      <c r="A102" s="31">
        <v>2494</v>
      </c>
      <c r="B102" s="32" t="s">
        <v>147</v>
      </c>
      <c r="C102" s="33" t="s">
        <v>24</v>
      </c>
      <c r="D102" s="34">
        <v>2023</v>
      </c>
      <c r="E102" s="41"/>
      <c r="F102" s="6">
        <v>8</v>
      </c>
      <c r="G102" s="6">
        <v>8</v>
      </c>
      <c r="H102" s="6">
        <v>8</v>
      </c>
      <c r="I102" s="6"/>
      <c r="J102" s="6">
        <v>8</v>
      </c>
      <c r="K102" s="6">
        <v>9</v>
      </c>
      <c r="L102" s="6">
        <v>8</v>
      </c>
      <c r="M102" s="6">
        <v>8</v>
      </c>
      <c r="N102" s="6">
        <v>8</v>
      </c>
      <c r="O102" s="6">
        <v>8</v>
      </c>
      <c r="P102" s="6"/>
      <c r="Q102" s="6">
        <v>9</v>
      </c>
      <c r="R102" s="6">
        <v>9</v>
      </c>
      <c r="S102" s="35">
        <f>SUM(F102:R102)</f>
        <v>91</v>
      </c>
      <c r="T102" s="35">
        <f>COUNT(F102:R102)</f>
        <v>11</v>
      </c>
      <c r="U102" s="36">
        <f>IF(T102&gt;=2,ROUND((IF(T102=2,0.55,IF(T102&lt;=4,0.7,IF(T102&lt;=6,0.8,IF(T102&lt;=9,0.9,1))))*(S102/T102)+(1-(IF(T102=2,0.55,IF(T102&lt;=4,0.7,IF(T102&lt;=6,0.8,IF(T102&lt;=9,0.9,1))))))*$Y$1),1),"")</f>
        <v>8.3</v>
      </c>
      <c r="V102" s="37">
        <v>7.1</v>
      </c>
      <c r="W102" s="38"/>
    </row>
    <row r="103" ht="24" customHeight="1" spans="1:23" x14ac:dyDescent="0.25">
      <c r="A103" s="40">
        <v>2397</v>
      </c>
      <c r="B103" s="32" t="s">
        <v>148</v>
      </c>
      <c r="C103" s="33" t="s">
        <v>24</v>
      </c>
      <c r="D103" s="34">
        <v>2025</v>
      </c>
      <c r="E103" s="41"/>
      <c r="F103" s="6">
        <v>8</v>
      </c>
      <c r="G103" s="6">
        <v>8</v>
      </c>
      <c r="H103" s="6">
        <v>8</v>
      </c>
      <c r="I103" s="6"/>
      <c r="J103" s="6">
        <v>8</v>
      </c>
      <c r="K103" s="6">
        <v>8</v>
      </c>
      <c r="L103" s="6">
        <v>9</v>
      </c>
      <c r="M103" s="6"/>
      <c r="N103" s="6"/>
      <c r="O103" s="6"/>
      <c r="P103" s="6">
        <v>8</v>
      </c>
      <c r="Q103" s="6">
        <v>8</v>
      </c>
      <c r="R103" s="6"/>
      <c r="S103" s="35">
        <f>SUM(F103:R103)</f>
        <v>65</v>
      </c>
      <c r="T103" s="35">
        <f>COUNT(F103:R103)</f>
        <v>8</v>
      </c>
      <c r="U103" s="36">
        <f>IF(T103&gt;=2,ROUND((IF(T103=2,0.55,IF(T103&lt;=4,0.7,IF(T103&lt;=6,0.8,IF(T103&lt;=9,0.9,1))))*(S103/T103)+(1-(IF(T103=2,0.55,IF(T103&lt;=4,0.7,IF(T103&lt;=6,0.8,IF(T103&lt;=9,0.9,1))))))*$Y$1),1),"")</f>
        <v>8.1</v>
      </c>
      <c r="V103" s="37">
        <v>7.6</v>
      </c>
      <c r="W103" s="38"/>
    </row>
    <row r="104" ht="24" customHeight="1" spans="1:23" x14ac:dyDescent="0.25">
      <c r="A104" s="40">
        <v>2468</v>
      </c>
      <c r="B104" s="32" t="s">
        <v>149</v>
      </c>
      <c r="C104" s="33" t="s">
        <v>24</v>
      </c>
      <c r="D104" s="34">
        <v>2024</v>
      </c>
      <c r="E104" s="41"/>
      <c r="F104" s="6"/>
      <c r="G104" s="6"/>
      <c r="H104" s="6"/>
      <c r="I104" s="6"/>
      <c r="J104" s="6">
        <v>8</v>
      </c>
      <c r="K104" s="6"/>
      <c r="L104" s="6"/>
      <c r="M104" s="6"/>
      <c r="N104" s="6"/>
      <c r="O104" s="6">
        <v>8</v>
      </c>
      <c r="P104" s="6"/>
      <c r="Q104" s="6"/>
      <c r="R104" s="6"/>
      <c r="S104" s="35">
        <f>SUM(F104:R104)</f>
        <v>16</v>
      </c>
      <c r="T104" s="35">
        <f>COUNT(F104:R104)</f>
        <v>2</v>
      </c>
      <c r="U104" s="36">
        <f>IF(T104&gt;=2,ROUND((IF(T104=2,0.55,IF(T104&lt;=4,0.7,IF(T104&lt;=6,0.8,IF(T104&lt;=9,0.9,1))))*(S104/T104)+(1-(IF(T104=2,0.55,IF(T104&lt;=4,0.7,IF(T104&lt;=6,0.8,IF(T104&lt;=9,0.9,1))))))*$Y$1),1),"")</f>
        <v>8</v>
      </c>
      <c r="V104" s="37">
        <v>6.6</v>
      </c>
      <c r="W104" s="38"/>
    </row>
    <row r="105" ht="24" customHeight="1" spans="1:23" x14ac:dyDescent="0.25">
      <c r="A105" s="31">
        <v>558</v>
      </c>
      <c r="B105" s="32" t="s">
        <v>150</v>
      </c>
      <c r="C105" s="33" t="s">
        <v>24</v>
      </c>
      <c r="D105" s="34">
        <v>2009</v>
      </c>
      <c r="E105" s="34" t="s">
        <v>106</v>
      </c>
      <c r="F105" s="6"/>
      <c r="G105" s="6">
        <v>8</v>
      </c>
      <c r="H105" s="6"/>
      <c r="I105" s="6"/>
      <c r="J105" s="6"/>
      <c r="K105" s="6"/>
      <c r="L105" s="6">
        <v>8</v>
      </c>
      <c r="M105" s="6"/>
      <c r="N105" s="6"/>
      <c r="O105" s="6"/>
      <c r="P105" s="6">
        <v>8</v>
      </c>
      <c r="Q105" s="6"/>
      <c r="R105" s="6"/>
      <c r="S105" s="35">
        <f>SUM(F105:R105)</f>
        <v>24</v>
      </c>
      <c r="T105" s="35">
        <f>COUNT(F105:R105)</f>
        <v>3</v>
      </c>
      <c r="U105" s="36">
        <f>IF(T105&gt;=2,ROUND((IF(T105=2,0.55,IF(T105&lt;=4,0.7,IF(T105&lt;=6,0.8,IF(T105&lt;=9,0.9,1))))*(S105/T105)+(1-(IF(T105=2,0.55,IF(T105&lt;=4,0.7,IF(T105&lt;=6,0.8,IF(T105&lt;=9,0.9,1))))))*$Y$1),1),"")</f>
        <v>8</v>
      </c>
      <c r="V105" s="37">
        <v>7.6</v>
      </c>
      <c r="W105" s="38"/>
    </row>
    <row r="106" ht="24" customHeight="1" spans="1:23" x14ac:dyDescent="0.25">
      <c r="A106" s="31">
        <v>139</v>
      </c>
      <c r="B106" s="32" t="s">
        <v>151</v>
      </c>
      <c r="C106" s="33" t="s">
        <v>24</v>
      </c>
      <c r="D106" s="34">
        <v>1994</v>
      </c>
      <c r="E106" s="34" t="s">
        <v>30</v>
      </c>
      <c r="F106" s="6">
        <v>8</v>
      </c>
      <c r="G106" s="6">
        <v>10</v>
      </c>
      <c r="H106" s="6">
        <v>10</v>
      </c>
      <c r="I106" s="6">
        <v>10</v>
      </c>
      <c r="J106" s="6">
        <v>10</v>
      </c>
      <c r="K106" s="6">
        <v>8</v>
      </c>
      <c r="L106" s="6">
        <v>8</v>
      </c>
      <c r="M106" s="6">
        <v>10</v>
      </c>
      <c r="N106" s="6">
        <v>10</v>
      </c>
      <c r="O106" s="6">
        <v>10</v>
      </c>
      <c r="P106" s="6">
        <v>10</v>
      </c>
      <c r="Q106" s="6">
        <v>8</v>
      </c>
      <c r="R106" s="6">
        <v>10</v>
      </c>
      <c r="S106" s="35">
        <f>SUM(F106:R106)</f>
        <v>122</v>
      </c>
      <c r="T106" s="35">
        <f>COUNT(F106:R106)</f>
        <v>13</v>
      </c>
      <c r="U106" s="36">
        <f>IF(T106&gt;=2,ROUND((IF(T106=2,0.55,IF(T106&lt;=4,0.7,IF(T106&lt;=6,0.8,IF(T106&lt;=9,0.9,1))))*(S106/T106)+(1-(IF(T106=2,0.55,IF(T106&lt;=4,0.7,IF(T106&lt;=6,0.8,IF(T106&lt;=9,0.9,1))))))*$Y$1),1),"")</f>
        <v>9.4</v>
      </c>
      <c r="V106" s="37">
        <v>9.3</v>
      </c>
      <c r="W106" s="38"/>
    </row>
    <row r="107" ht="24" customHeight="1" spans="1:23" x14ac:dyDescent="0.25">
      <c r="A107" s="42">
        <v>91</v>
      </c>
      <c r="B107" s="32" t="s">
        <v>152</v>
      </c>
      <c r="C107" s="43" t="s">
        <v>24</v>
      </c>
      <c r="D107" s="44">
        <v>2015</v>
      </c>
      <c r="E107" s="44" t="s">
        <v>30</v>
      </c>
      <c r="F107" s="6">
        <v>8</v>
      </c>
      <c r="G107" s="6">
        <v>8</v>
      </c>
      <c r="H107" s="6">
        <v>10</v>
      </c>
      <c r="I107" s="6">
        <v>10</v>
      </c>
      <c r="J107" s="6">
        <v>10</v>
      </c>
      <c r="K107" s="6">
        <v>10</v>
      </c>
      <c r="L107" s="6">
        <v>6</v>
      </c>
      <c r="M107" s="6">
        <v>8</v>
      </c>
      <c r="N107" s="6">
        <v>8</v>
      </c>
      <c r="O107" s="6">
        <v>8</v>
      </c>
      <c r="P107" s="6">
        <v>6</v>
      </c>
      <c r="Q107" s="6">
        <v>10</v>
      </c>
      <c r="R107" s="6">
        <v>8</v>
      </c>
      <c r="S107" s="45">
        <f>SUM(F107:R107)</f>
        <v>110</v>
      </c>
      <c r="T107" s="45">
        <f>COUNT(F107:R107)</f>
        <v>13</v>
      </c>
      <c r="U107" s="36">
        <f>IF(T107&gt;=2,ROUND((IF(T107=2,0.55,IF(T107&lt;=4,0.7,IF(T107&lt;=6,0.8,IF(T107&lt;=9,0.9,1))))*(S107/T107)+(1-(IF(T107=2,0.55,IF(T107&lt;=4,0.7,IF(T107&lt;=6,0.8,IF(T107&lt;=9,0.9,1))))))*$Y$1),1),"")</f>
        <v>8.5</v>
      </c>
      <c r="V107" s="37">
        <v>7.1</v>
      </c>
      <c r="W107" s="38" t="s">
        <v>44</v>
      </c>
    </row>
    <row r="108" ht="24" customHeight="1" spans="1:23" x14ac:dyDescent="0.25">
      <c r="A108" s="31">
        <v>1226</v>
      </c>
      <c r="B108" s="32" t="s">
        <v>153</v>
      </c>
      <c r="C108" s="33" t="s">
        <v>24</v>
      </c>
      <c r="D108" s="34">
        <v>2008</v>
      </c>
      <c r="E108" s="34" t="s">
        <v>122</v>
      </c>
      <c r="F108" s="6"/>
      <c r="G108" s="6"/>
      <c r="H108" s="6"/>
      <c r="I108" s="6"/>
      <c r="J108" s="6"/>
      <c r="K108" s="6">
        <v>8</v>
      </c>
      <c r="L108" s="6"/>
      <c r="M108" s="6"/>
      <c r="N108" s="6"/>
      <c r="O108" s="6"/>
      <c r="P108" s="6"/>
      <c r="Q108" s="6">
        <v>8</v>
      </c>
      <c r="R108" s="6"/>
      <c r="S108" s="35">
        <f>SUM(F108:R108)</f>
        <v>16</v>
      </c>
      <c r="T108" s="35">
        <f>COUNT(F108:R108)</f>
        <v>2</v>
      </c>
      <c r="U108" s="36">
        <f>IF(T108&gt;=2,ROUND((IF(T108=2,0.55,IF(T108&lt;=4,0.7,IF(T108&lt;=6,0.8,IF(T108&lt;=9,0.9,1))))*(S108/T108)+(1-(IF(T108=2,0.55,IF(T108&lt;=4,0.7,IF(T108&lt;=6,0.8,IF(T108&lt;=9,0.9,1))))))*$Y$1),1),"")</f>
        <v>8</v>
      </c>
      <c r="V108" s="37">
        <v>6.4</v>
      </c>
      <c r="W108" s="38"/>
    </row>
    <row r="109" ht="24" customHeight="1" spans="1:23" x14ac:dyDescent="0.25">
      <c r="A109" s="31">
        <v>583</v>
      </c>
      <c r="B109" s="32" t="s">
        <v>154</v>
      </c>
      <c r="C109" s="33" t="s">
        <v>24</v>
      </c>
      <c r="D109" s="34">
        <v>2016</v>
      </c>
      <c r="E109" s="34" t="s">
        <v>30</v>
      </c>
      <c r="F109" s="6">
        <v>6</v>
      </c>
      <c r="G109" s="6"/>
      <c r="H109" s="6"/>
      <c r="I109" s="6">
        <v>10</v>
      </c>
      <c r="J109" s="6">
        <v>8</v>
      </c>
      <c r="K109" s="6">
        <v>10</v>
      </c>
      <c r="L109" s="6">
        <v>8</v>
      </c>
      <c r="M109" s="6">
        <v>8</v>
      </c>
      <c r="N109" s="6">
        <v>8</v>
      </c>
      <c r="O109" s="6"/>
      <c r="P109" s="6"/>
      <c r="Q109" s="6">
        <v>10</v>
      </c>
      <c r="R109" s="6"/>
      <c r="S109" s="35">
        <f>SUM(F109:R109)</f>
        <v>68</v>
      </c>
      <c r="T109" s="35">
        <f>COUNT(F109:R109)</f>
        <v>8</v>
      </c>
      <c r="U109" s="36">
        <f>IF(T109&gt;=2,ROUND((IF(T109=2,0.55,IF(T109&lt;=4,0.7,IF(T109&lt;=6,0.8,IF(T109&lt;=9,0.9,1))))*(S109/T109)+(1-(IF(T109=2,0.55,IF(T109&lt;=4,0.7,IF(T109&lt;=6,0.8,IF(T109&lt;=9,0.9,1))))))*$Y$1),1),"")</f>
        <v>8.5</v>
      </c>
      <c r="V109" s="37">
        <v>6.9</v>
      </c>
      <c r="W109" s="38"/>
    </row>
    <row r="110" ht="24" customHeight="1" spans="1:23" s="39" customFormat="1" x14ac:dyDescent="0.25">
      <c r="A110" s="31">
        <v>1018</v>
      </c>
      <c r="B110" s="32" t="s">
        <v>155</v>
      </c>
      <c r="C110" s="33" t="s">
        <v>24</v>
      </c>
      <c r="D110" s="34">
        <v>2012</v>
      </c>
      <c r="E110" s="34" t="s">
        <v>30</v>
      </c>
      <c r="F110" s="6"/>
      <c r="G110" s="6"/>
      <c r="H110" s="6">
        <v>6</v>
      </c>
      <c r="I110" s="6"/>
      <c r="J110" s="6"/>
      <c r="K110" s="6">
        <v>6</v>
      </c>
      <c r="L110" s="6">
        <v>8</v>
      </c>
      <c r="M110" s="6"/>
      <c r="N110" s="6"/>
      <c r="O110" s="6">
        <v>6</v>
      </c>
      <c r="P110" s="6"/>
      <c r="Q110" s="6">
        <v>6</v>
      </c>
      <c r="R110" s="6"/>
      <c r="S110" s="35">
        <f>SUM(F110:R110)</f>
        <v>32</v>
      </c>
      <c r="T110" s="35">
        <f>COUNT(F110:R110)</f>
        <v>5</v>
      </c>
      <c r="U110" s="36">
        <f>IF(T110&gt;=2,ROUND((IF(T110=2,0.55,IF(T110&lt;=4,0.7,IF(T110&lt;=6,0.8,IF(T110&lt;=9,0.9,1))))*(S110/T110)+(1-(IF(T110=2,0.55,IF(T110&lt;=4,0.7,IF(T110&lt;=6,0.8,IF(T110&lt;=9,0.9,1))))))*$Y$1),1),"")</f>
        <v>6.7</v>
      </c>
      <c r="V110" s="37">
        <v>6.3</v>
      </c>
      <c r="W110" s="38"/>
    </row>
    <row r="111" ht="24" customHeight="1" spans="1:23" x14ac:dyDescent="0.25">
      <c r="A111" s="31">
        <v>1039</v>
      </c>
      <c r="B111" s="32" t="s">
        <v>156</v>
      </c>
      <c r="C111" s="33" t="s">
        <v>24</v>
      </c>
      <c r="D111" s="34">
        <v>2007</v>
      </c>
      <c r="E111" s="34" t="s">
        <v>27</v>
      </c>
      <c r="F111" s="6"/>
      <c r="G111" s="6"/>
      <c r="H111" s="6"/>
      <c r="I111" s="6"/>
      <c r="J111" s="6"/>
      <c r="K111" s="6">
        <v>6</v>
      </c>
      <c r="L111" s="6"/>
      <c r="M111" s="6"/>
      <c r="N111" s="6"/>
      <c r="O111" s="6"/>
      <c r="P111" s="6"/>
      <c r="Q111" s="6">
        <v>6</v>
      </c>
      <c r="R111" s="6"/>
      <c r="S111" s="35">
        <f>SUM(F111:R111)</f>
        <v>12</v>
      </c>
      <c r="T111" s="35">
        <f>COUNT(F111:R111)</f>
        <v>2</v>
      </c>
      <c r="U111" s="36">
        <f>IF(T111&gt;=2,ROUND((IF(T111=2,0.55,IF(T111&lt;=4,0.7,IF(T111&lt;=6,0.8,IF(T111&lt;=9,0.9,1))))*(S111/T111)+(1-(IF(T111=2,0.55,IF(T111&lt;=4,0.7,IF(T111&lt;=6,0.8,IF(T111&lt;=9,0.9,1))))))*$Y$1),1),"")</f>
        <v>6.9</v>
      </c>
      <c r="V111" s="37">
        <v>6.7</v>
      </c>
      <c r="W111" s="38"/>
    </row>
    <row r="112" ht="24" customHeight="1" spans="1:23" x14ac:dyDescent="0.25">
      <c r="A112" s="31">
        <v>1730</v>
      </c>
      <c r="B112" s="32" t="s">
        <v>157</v>
      </c>
      <c r="C112" s="33" t="s">
        <v>158</v>
      </c>
      <c r="D112" s="34">
        <v>2024</v>
      </c>
      <c r="E112" s="34" t="s">
        <v>30</v>
      </c>
      <c r="F112" s="6">
        <v>8</v>
      </c>
      <c r="G112" s="6"/>
      <c r="H112" s="6"/>
      <c r="I112" s="6"/>
      <c r="J112" s="6">
        <v>8</v>
      </c>
      <c r="K112" s="6"/>
      <c r="L112" s="6">
        <v>8</v>
      </c>
      <c r="M112" s="6"/>
      <c r="N112" s="6">
        <v>10</v>
      </c>
      <c r="O112" s="6"/>
      <c r="P112" s="6"/>
      <c r="Q112" s="6"/>
      <c r="R112" s="6"/>
      <c r="S112" s="35">
        <f>SUM(F112:R112)</f>
        <v>34</v>
      </c>
      <c r="T112" s="35">
        <f>COUNT(F112:R112)</f>
        <v>4</v>
      </c>
      <c r="U112" s="36">
        <f>IF(T112&gt;=2,ROUND((IF(T112=2,0.55,IF(T112&lt;=4,0.7,IF(T112&lt;=6,0.8,IF(T112&lt;=9,0.9,1))))*(S112/T112)+(1-(IF(T112=2,0.55,IF(T112&lt;=4,0.7,IF(T112&lt;=6,0.8,IF(T112&lt;=9,0.9,1))))))*$Y$1),1),"")</f>
        <v>8.4</v>
      </c>
      <c r="V112" s="37">
        <v>7.5</v>
      </c>
      <c r="W112" s="38"/>
    </row>
    <row r="113" ht="24" customHeight="1" spans="1:23" x14ac:dyDescent="0.25">
      <c r="A113" s="31">
        <v>694</v>
      </c>
      <c r="B113" s="32" t="s">
        <v>159</v>
      </c>
      <c r="C113" s="33" t="s">
        <v>24</v>
      </c>
      <c r="D113" s="34">
        <v>2017</v>
      </c>
      <c r="E113" s="34" t="s">
        <v>52</v>
      </c>
      <c r="F113" s="6"/>
      <c r="G113" s="6"/>
      <c r="H113" s="6"/>
      <c r="I113" s="6"/>
      <c r="J113" s="6"/>
      <c r="K113" s="6">
        <v>8</v>
      </c>
      <c r="L113" s="6"/>
      <c r="M113" s="6"/>
      <c r="N113" s="6"/>
      <c r="O113" s="6"/>
      <c r="P113" s="6"/>
      <c r="Q113" s="6">
        <v>8</v>
      </c>
      <c r="R113" s="6"/>
      <c r="S113" s="35">
        <f>SUM(F113:R113)</f>
        <v>16</v>
      </c>
      <c r="T113" s="35">
        <f>COUNT(F113:R113)</f>
        <v>2</v>
      </c>
      <c r="U113" s="36">
        <f>IF(T113&gt;=2,ROUND((IF(T113=2,0.55,IF(T113&lt;=4,0.7,IF(T113&lt;=6,0.8,IF(T113&lt;=9,0.9,1))))*(S113/T113)+(1-(IF(T113=2,0.55,IF(T113&lt;=4,0.7,IF(T113&lt;=6,0.8,IF(T113&lt;=9,0.9,1))))))*$Y$1),1),"")</f>
        <v>8</v>
      </c>
      <c r="V113" s="37">
        <v>6.3</v>
      </c>
      <c r="W113" s="38"/>
    </row>
    <row r="114" ht="24" customHeight="1" spans="1:23" x14ac:dyDescent="0.25">
      <c r="A114" s="31">
        <v>1763</v>
      </c>
      <c r="B114" s="32" t="s">
        <v>160</v>
      </c>
      <c r="C114" s="33" t="s">
        <v>24</v>
      </c>
      <c r="D114" s="34">
        <v>2018</v>
      </c>
      <c r="E114" s="34" t="s">
        <v>30</v>
      </c>
      <c r="F114" s="6"/>
      <c r="G114" s="6"/>
      <c r="H114" s="6"/>
      <c r="I114" s="6"/>
      <c r="J114" s="6"/>
      <c r="K114" s="6"/>
      <c r="L114" s="6"/>
      <c r="M114" s="6"/>
      <c r="N114" s="6"/>
      <c r="O114" s="6">
        <v>7</v>
      </c>
      <c r="P114" s="6"/>
      <c r="Q114" s="6"/>
      <c r="R114" s="6"/>
      <c r="S114" s="35">
        <f>SUM(F114:R114)</f>
        <v>7</v>
      </c>
      <c r="T114" s="35">
        <f>COUNT(F114:R114)</f>
        <v>1</v>
      </c>
      <c r="U114" s="36">
        <f>IF(T114&gt;=2,ROUND((IF(T114=2,0.55,IF(T114&lt;=4,0.7,IF(T114&lt;=6,0.8,IF(T114&lt;=9,0.9,1))))*(S114/T114)+(1-(IF(T114=2,0.55,IF(T114&lt;=4,0.7,IF(T114&lt;=6,0.8,IF(T114&lt;=9,0.9,1))))))*$Y$1),1),"")</f>
      </c>
      <c r="V114" s="37">
        <v>6.7</v>
      </c>
      <c r="W114" s="38"/>
    </row>
    <row r="115" ht="24" customHeight="1" spans="1:23" x14ac:dyDescent="0.25">
      <c r="A115" s="31">
        <v>818</v>
      </c>
      <c r="B115" s="32" t="s">
        <v>161</v>
      </c>
      <c r="C115" s="33" t="s">
        <v>24</v>
      </c>
      <c r="D115" s="34">
        <v>1988</v>
      </c>
      <c r="E115" s="34" t="s">
        <v>27</v>
      </c>
      <c r="F115" s="6"/>
      <c r="G115" s="6"/>
      <c r="H115" s="6"/>
      <c r="I115" s="6"/>
      <c r="J115" s="6"/>
      <c r="K115" s="6">
        <v>6</v>
      </c>
      <c r="L115" s="6">
        <v>6</v>
      </c>
      <c r="M115" s="6"/>
      <c r="N115" s="6"/>
      <c r="O115" s="6"/>
      <c r="P115" s="6"/>
      <c r="Q115" s="6">
        <v>6</v>
      </c>
      <c r="R115" s="6"/>
      <c r="S115" s="35">
        <f>SUM(F115:R115)</f>
        <v>18</v>
      </c>
      <c r="T115" s="35">
        <f>COUNT(F115:R115)</f>
        <v>3</v>
      </c>
      <c r="U115" s="36">
        <f>IF(T115&gt;=2,ROUND((IF(T115=2,0.55,IF(T115&lt;=4,0.7,IF(T115&lt;=6,0.8,IF(T115&lt;=9,0.9,1))))*(S115/T115)+(1-(IF(T115=2,0.55,IF(T115&lt;=4,0.7,IF(T115&lt;=6,0.8,IF(T115&lt;=9,0.9,1))))))*$Y$1),1),"")</f>
        <v>6.6</v>
      </c>
      <c r="V115" s="37">
        <v>7.5</v>
      </c>
      <c r="W115" s="38"/>
    </row>
    <row r="116" ht="24" customHeight="1" spans="1:23" x14ac:dyDescent="0.25">
      <c r="A116" s="31">
        <v>1107</v>
      </c>
      <c r="B116" s="32" t="s">
        <v>162</v>
      </c>
      <c r="C116" s="33" t="s">
        <v>114</v>
      </c>
      <c r="D116" s="34">
        <v>2021</v>
      </c>
      <c r="E116" s="34" t="s">
        <v>30</v>
      </c>
      <c r="F116" s="6"/>
      <c r="G116" s="6"/>
      <c r="H116" s="6"/>
      <c r="I116" s="6">
        <v>8</v>
      </c>
      <c r="J116" s="6">
        <v>8</v>
      </c>
      <c r="K116" s="6">
        <v>8</v>
      </c>
      <c r="L116" s="6"/>
      <c r="M116" s="6"/>
      <c r="N116" s="6"/>
      <c r="O116" s="6">
        <v>6</v>
      </c>
      <c r="P116" s="6"/>
      <c r="Q116" s="6">
        <v>8</v>
      </c>
      <c r="R116" s="6">
        <v>8</v>
      </c>
      <c r="S116" s="35">
        <f>SUM(F116:R116)</f>
        <v>46</v>
      </c>
      <c r="T116" s="35">
        <f>COUNT(F116:R116)</f>
        <v>6</v>
      </c>
      <c r="U116" s="36">
        <f>IF(T116&gt;=2,ROUND((IF(T116=2,0.55,IF(T116&lt;=4,0.7,IF(T116&lt;=6,0.8,IF(T116&lt;=9,0.9,1))))*(S116/T116)+(1-(IF(T116=2,0.55,IF(T116&lt;=4,0.7,IF(T116&lt;=6,0.8,IF(T116&lt;=9,0.9,1))))))*$Y$1),1),"")</f>
        <v>7.8</v>
      </c>
      <c r="V116" s="37">
        <v>6.4</v>
      </c>
      <c r="W116" s="38"/>
    </row>
    <row r="117" ht="24" customHeight="1" spans="1:23" x14ac:dyDescent="0.25">
      <c r="A117" s="31">
        <v>1700</v>
      </c>
      <c r="B117" s="32" t="s">
        <v>163</v>
      </c>
      <c r="C117" s="33" t="s">
        <v>24</v>
      </c>
      <c r="D117" s="34">
        <v>2019</v>
      </c>
      <c r="E117" s="34" t="s">
        <v>30</v>
      </c>
      <c r="F117" s="6"/>
      <c r="G117" s="6"/>
      <c r="H117" s="6"/>
      <c r="I117" s="6"/>
      <c r="J117" s="6"/>
      <c r="K117" s="6"/>
      <c r="L117" s="6"/>
      <c r="M117" s="6">
        <v>7</v>
      </c>
      <c r="N117" s="6"/>
      <c r="O117" s="6">
        <v>7</v>
      </c>
      <c r="P117" s="6"/>
      <c r="Q117" s="6"/>
      <c r="R117" s="6"/>
      <c r="S117" s="35">
        <f>SUM(F117:R117)</f>
        <v>14</v>
      </c>
      <c r="T117" s="35">
        <f>COUNT(F117:R117)</f>
        <v>2</v>
      </c>
      <c r="U117" s="36">
        <f>IF(T117&gt;=2,ROUND((IF(T117=2,0.55,IF(T117&lt;=4,0.7,IF(T117&lt;=6,0.8,IF(T117&lt;=9,0.9,1))))*(S117/T117)+(1-(IF(T117=2,0.55,IF(T117&lt;=4,0.7,IF(T117&lt;=6,0.8,IF(T117&lt;=9,0.9,1))))))*$Y$1),1),"")</f>
        <v>7.5</v>
      </c>
      <c r="V117" s="37">
        <v>6.8</v>
      </c>
      <c r="W117" s="38"/>
    </row>
    <row r="118" ht="24" customHeight="1" spans="1:23" x14ac:dyDescent="0.25">
      <c r="A118" s="31">
        <v>619</v>
      </c>
      <c r="B118" s="32" t="s">
        <v>164</v>
      </c>
      <c r="C118" s="33" t="s">
        <v>24</v>
      </c>
      <c r="D118" s="34">
        <v>2014</v>
      </c>
      <c r="E118" s="34" t="s">
        <v>30</v>
      </c>
      <c r="F118" s="6"/>
      <c r="G118" s="6"/>
      <c r="H118" s="6">
        <v>6</v>
      </c>
      <c r="I118" s="6"/>
      <c r="J118" s="6"/>
      <c r="K118" s="6"/>
      <c r="L118" s="6">
        <v>8</v>
      </c>
      <c r="M118" s="6"/>
      <c r="N118" s="6"/>
      <c r="O118" s="6"/>
      <c r="P118" s="6"/>
      <c r="Q118" s="6"/>
      <c r="R118" s="6"/>
      <c r="S118" s="35">
        <f>SUM(F118:R118)</f>
        <v>14</v>
      </c>
      <c r="T118" s="35">
        <f>COUNT(F118:R118)</f>
        <v>2</v>
      </c>
      <c r="U118" s="36">
        <f>IF(T118&gt;=2,ROUND((IF(T118=2,0.55,IF(T118&lt;=4,0.7,IF(T118&lt;=6,0.8,IF(T118&lt;=9,0.9,1))))*(S118/T118)+(1-(IF(T118=2,0.55,IF(T118&lt;=4,0.7,IF(T118&lt;=6,0.8,IF(T118&lt;=9,0.9,1))))))*$Y$1),1),"")</f>
        <v>7.5</v>
      </c>
      <c r="V118" s="37">
        <v>7.3</v>
      </c>
      <c r="W118" s="38"/>
    </row>
    <row r="119" ht="24" customHeight="1" spans="1:23" x14ac:dyDescent="0.25">
      <c r="A119" s="47">
        <v>1382</v>
      </c>
      <c r="B119" s="32" t="s">
        <v>165</v>
      </c>
      <c r="C119" s="48" t="s">
        <v>24</v>
      </c>
      <c r="D119" s="49">
        <v>2022</v>
      </c>
      <c r="E119" s="49" t="s">
        <v>30</v>
      </c>
      <c r="F119" s="6">
        <v>7</v>
      </c>
      <c r="G119" s="6"/>
      <c r="H119" s="6"/>
      <c r="I119" s="6"/>
      <c r="J119" s="6">
        <v>7</v>
      </c>
      <c r="K119" s="6">
        <v>7</v>
      </c>
      <c r="L119" s="6">
        <v>4</v>
      </c>
      <c r="M119" s="6">
        <v>6</v>
      </c>
      <c r="N119" s="6">
        <v>6</v>
      </c>
      <c r="O119" s="6">
        <v>8</v>
      </c>
      <c r="P119" s="6"/>
      <c r="Q119" s="6">
        <v>7</v>
      </c>
      <c r="R119" s="6">
        <v>7</v>
      </c>
      <c r="S119" s="50">
        <f>SUM(F119:R119)</f>
        <v>59</v>
      </c>
      <c r="T119" s="50">
        <f>COUNT(F119:R119)</f>
        <v>9</v>
      </c>
      <c r="U119" s="36">
        <f>IF(T119&gt;=2,ROUND((IF(T119=2,0.55,IF(T119&lt;=4,0.7,IF(T119&lt;=6,0.8,IF(T119&lt;=9,0.9,1))))*(S119/T119)+(1-(IF(T119=2,0.55,IF(T119&lt;=4,0.7,IF(T119&lt;=6,0.8,IF(T119&lt;=9,0.9,1))))))*$Y$1),1),"")</f>
        <v>6.7</v>
      </c>
      <c r="V119" s="37">
        <v>6.5</v>
      </c>
      <c r="W119" s="38" t="s">
        <v>44</v>
      </c>
    </row>
    <row r="120" ht="24" customHeight="1" spans="1:23" x14ac:dyDescent="0.25">
      <c r="A120" s="31">
        <v>1000</v>
      </c>
      <c r="B120" s="32" t="s">
        <v>166</v>
      </c>
      <c r="C120" s="33" t="s">
        <v>24</v>
      </c>
      <c r="D120" s="34">
        <v>2018</v>
      </c>
      <c r="E120" s="34" t="s">
        <v>167</v>
      </c>
      <c r="F120" s="6">
        <v>6</v>
      </c>
      <c r="G120" s="6">
        <v>8</v>
      </c>
      <c r="H120" s="6"/>
      <c r="I120" s="6"/>
      <c r="J120" s="6"/>
      <c r="K120" s="6">
        <v>8</v>
      </c>
      <c r="L120" s="6"/>
      <c r="M120" s="6"/>
      <c r="N120" s="6"/>
      <c r="O120" s="6"/>
      <c r="P120" s="6"/>
      <c r="Q120" s="6">
        <v>8</v>
      </c>
      <c r="R120" s="6"/>
      <c r="S120" s="35">
        <f>SUM(F120:R120)</f>
        <v>30</v>
      </c>
      <c r="T120" s="35">
        <f>COUNT(F120:R120)</f>
        <v>4</v>
      </c>
      <c r="U120" s="36">
        <f>IF(T120&gt;=2,ROUND((IF(T120=2,0.55,IF(T120&lt;=4,0.7,IF(T120&lt;=6,0.8,IF(T120&lt;=9,0.9,1))))*(S120/T120)+(1-(IF(T120=2,0.55,IF(T120&lt;=4,0.7,IF(T120&lt;=6,0.8,IF(T120&lt;=9,0.9,1))))))*$Y$1),1),"")</f>
        <v>7.7</v>
      </c>
      <c r="V120" s="37">
        <v>7.5</v>
      </c>
      <c r="W120" s="38"/>
    </row>
    <row r="121" ht="24" customHeight="1" spans="1:23" x14ac:dyDescent="0.25">
      <c r="A121" s="46">
        <v>1253</v>
      </c>
      <c r="B121" s="32" t="s">
        <v>168</v>
      </c>
      <c r="C121" s="33" t="s">
        <v>24</v>
      </c>
      <c r="D121" s="34">
        <v>2005</v>
      </c>
      <c r="E121" s="34" t="s">
        <v>27</v>
      </c>
      <c r="F121" s="6">
        <v>8</v>
      </c>
      <c r="G121" s="6"/>
      <c r="H121" s="6"/>
      <c r="I121" s="6">
        <v>8</v>
      </c>
      <c r="J121" s="6">
        <v>8</v>
      </c>
      <c r="K121" s="6"/>
      <c r="L121" s="6">
        <v>6</v>
      </c>
      <c r="M121" s="6"/>
      <c r="N121" s="6"/>
      <c r="O121" s="6"/>
      <c r="P121" s="6"/>
      <c r="Q121" s="6"/>
      <c r="R121" s="6"/>
      <c r="S121" s="35">
        <f>SUM(F121:R121)</f>
        <v>30</v>
      </c>
      <c r="T121" s="35">
        <f>COUNT(F121:R121)</f>
        <v>4</v>
      </c>
      <c r="U121" s="36">
        <f>IF(T121&gt;=2,ROUND((IF(T121=2,0.55,IF(T121&lt;=4,0.7,IF(T121&lt;=6,0.8,IF(T121&lt;=9,0.9,1))))*(S121/T121)+(1-(IF(T121=2,0.55,IF(T121&lt;=4,0.7,IF(T121&lt;=6,0.8,IF(T121&lt;=9,0.9,1))))))*$Y$1),1),"")</f>
        <v>7.7</v>
      </c>
      <c r="V121" s="37">
        <v>7</v>
      </c>
      <c r="W121" s="38"/>
    </row>
    <row r="122" ht="24" customHeight="1" spans="1:23" x14ac:dyDescent="0.25">
      <c r="A122" s="31">
        <v>138</v>
      </c>
      <c r="B122" s="32" t="s">
        <v>169</v>
      </c>
      <c r="C122" s="33" t="s">
        <v>24</v>
      </c>
      <c r="D122" s="34">
        <v>1999</v>
      </c>
      <c r="E122" s="34" t="s">
        <v>30</v>
      </c>
      <c r="F122" s="6">
        <v>10</v>
      </c>
      <c r="G122" s="6">
        <v>8</v>
      </c>
      <c r="H122" s="6">
        <v>10</v>
      </c>
      <c r="I122" s="6">
        <v>8</v>
      </c>
      <c r="J122" s="6">
        <v>6</v>
      </c>
      <c r="K122" s="6">
        <v>10</v>
      </c>
      <c r="L122" s="6">
        <v>6</v>
      </c>
      <c r="M122" s="6">
        <v>10</v>
      </c>
      <c r="N122" s="6">
        <v>8</v>
      </c>
      <c r="O122" s="6"/>
      <c r="P122" s="6">
        <v>6</v>
      </c>
      <c r="Q122" s="6">
        <v>10</v>
      </c>
      <c r="R122" s="6">
        <v>10</v>
      </c>
      <c r="S122" s="35">
        <f>SUM(F122:R122)</f>
        <v>102</v>
      </c>
      <c r="T122" s="35">
        <f>COUNT(F122:R122)</f>
        <v>12</v>
      </c>
      <c r="U122" s="36">
        <f>IF(T122&gt;=2,ROUND((IF(T122=2,0.55,IF(T122&lt;=4,0.7,IF(T122&lt;=6,0.8,IF(T122&lt;=9,0.9,1))))*(S122/T122)+(1-(IF(T122=2,0.55,IF(T122&lt;=4,0.7,IF(T122&lt;=6,0.8,IF(T122&lt;=9,0.9,1))))))*$Y$1),1),"")</f>
        <v>8.5</v>
      </c>
      <c r="V122" s="37">
        <v>7.2</v>
      </c>
      <c r="W122" s="38"/>
    </row>
    <row r="123" ht="24" customHeight="1" spans="1:23" x14ac:dyDescent="0.25">
      <c r="A123" s="31">
        <v>1678</v>
      </c>
      <c r="B123" s="32" t="s">
        <v>170</v>
      </c>
      <c r="C123" s="33" t="s">
        <v>24</v>
      </c>
      <c r="D123" s="34">
        <v>2022</v>
      </c>
      <c r="E123" s="34" t="s">
        <v>81</v>
      </c>
      <c r="F123" s="6">
        <v>8</v>
      </c>
      <c r="G123" s="6"/>
      <c r="H123" s="6"/>
      <c r="I123" s="6"/>
      <c r="J123" s="6">
        <v>8</v>
      </c>
      <c r="K123" s="6"/>
      <c r="L123" s="6">
        <v>8</v>
      </c>
      <c r="M123" s="6"/>
      <c r="N123" s="6"/>
      <c r="O123" s="6"/>
      <c r="P123" s="6"/>
      <c r="Q123" s="6"/>
      <c r="R123" s="6"/>
      <c r="S123" s="35">
        <f>SUM(F123:R123)</f>
        <v>24</v>
      </c>
      <c r="T123" s="35">
        <f>COUNT(F123:R123)</f>
        <v>3</v>
      </c>
      <c r="U123" s="36">
        <f>IF(T123&gt;=2,ROUND((IF(T123=2,0.55,IF(T123&lt;=4,0.7,IF(T123&lt;=6,0.8,IF(T123&lt;=9,0.9,1))))*(S123/T123)+(1-(IF(T123=2,0.55,IF(T123&lt;=4,0.7,IF(T123&lt;=6,0.8,IF(T123&lt;=9,0.9,1))))))*$Y$1),1),"")</f>
        <v>8</v>
      </c>
      <c r="V123" s="37">
        <v>7.2</v>
      </c>
      <c r="W123" s="38"/>
    </row>
    <row r="124" ht="24" customHeight="1" spans="1:23" x14ac:dyDescent="0.25">
      <c r="A124" s="31">
        <v>1685</v>
      </c>
      <c r="B124" s="32" t="s">
        <v>171</v>
      </c>
      <c r="C124" s="33" t="s">
        <v>24</v>
      </c>
      <c r="D124" s="34">
        <v>2021</v>
      </c>
      <c r="E124" s="34" t="s">
        <v>30</v>
      </c>
      <c r="F124" s="6"/>
      <c r="G124" s="6"/>
      <c r="H124" s="6"/>
      <c r="I124" s="6"/>
      <c r="J124" s="6">
        <v>8</v>
      </c>
      <c r="K124" s="6"/>
      <c r="L124" s="6"/>
      <c r="M124" s="6"/>
      <c r="N124" s="6"/>
      <c r="O124" s="6">
        <v>8</v>
      </c>
      <c r="P124" s="6"/>
      <c r="Q124" s="6"/>
      <c r="R124" s="6"/>
      <c r="S124" s="35">
        <f>SUM(F124:R124)</f>
        <v>16</v>
      </c>
      <c r="T124" s="35">
        <f>COUNT(F124:R124)</f>
        <v>2</v>
      </c>
      <c r="U124" s="36">
        <f>IF(T124&gt;=2,ROUND((IF(T124=2,0.55,IF(T124&lt;=4,0.7,IF(T124&lt;=6,0.8,IF(T124&lt;=9,0.9,1))))*(S124/T124)+(1-(IF(T124=2,0.55,IF(T124&lt;=4,0.7,IF(T124&lt;=6,0.8,IF(T124&lt;=9,0.9,1))))))*$Y$1),1),"")</f>
        <v>8</v>
      </c>
      <c r="V124" s="37">
        <v>6.7</v>
      </c>
      <c r="W124" s="38"/>
    </row>
    <row r="125" ht="24" customHeight="1" spans="1:23" x14ac:dyDescent="0.25">
      <c r="A125" s="31">
        <v>251</v>
      </c>
      <c r="B125" s="32" t="s">
        <v>172</v>
      </c>
      <c r="C125" s="33" t="s">
        <v>24</v>
      </c>
      <c r="D125" s="34">
        <v>2019</v>
      </c>
      <c r="E125" s="34" t="s">
        <v>79</v>
      </c>
      <c r="F125" s="6">
        <v>8</v>
      </c>
      <c r="G125" s="6">
        <v>8</v>
      </c>
      <c r="H125" s="6">
        <v>8</v>
      </c>
      <c r="I125" s="6"/>
      <c r="J125" s="6">
        <v>8</v>
      </c>
      <c r="K125" s="6">
        <v>8</v>
      </c>
      <c r="L125" s="6"/>
      <c r="M125" s="6"/>
      <c r="N125" s="6"/>
      <c r="O125" s="6">
        <v>10</v>
      </c>
      <c r="P125" s="6"/>
      <c r="Q125" s="6">
        <v>8</v>
      </c>
      <c r="R125" s="6"/>
      <c r="S125" s="35">
        <f>SUM(F125:R125)</f>
        <v>58</v>
      </c>
      <c r="T125" s="35">
        <f>COUNT(F125:R125)</f>
        <v>7</v>
      </c>
      <c r="U125" s="36">
        <f>IF(T125&gt;=2,ROUND((IF(T125=2,0.55,IF(T125&lt;=4,0.7,IF(T125&lt;=6,0.8,IF(T125&lt;=9,0.9,1))))*(S125/T125)+(1-(IF(T125=2,0.55,IF(T125&lt;=4,0.7,IF(T125&lt;=6,0.8,IF(T125&lt;=9,0.9,1))))))*$Y$1),1),"")</f>
        <v>8.3</v>
      </c>
      <c r="V125" s="37">
        <v>7.2</v>
      </c>
      <c r="W125" s="38"/>
    </row>
    <row r="126" ht="24" customHeight="1" spans="1:23" x14ac:dyDescent="0.25">
      <c r="A126" s="31">
        <v>1001</v>
      </c>
      <c r="B126" s="32" t="s">
        <v>173</v>
      </c>
      <c r="C126" s="33" t="s">
        <v>24</v>
      </c>
      <c r="D126" s="34">
        <v>2016</v>
      </c>
      <c r="E126" s="34" t="s">
        <v>27</v>
      </c>
      <c r="F126" s="6">
        <v>8</v>
      </c>
      <c r="G126" s="6">
        <v>8</v>
      </c>
      <c r="H126" s="6"/>
      <c r="I126" s="6"/>
      <c r="J126" s="6">
        <v>9</v>
      </c>
      <c r="K126" s="6">
        <v>8</v>
      </c>
      <c r="L126" s="6"/>
      <c r="M126" s="6"/>
      <c r="N126" s="6"/>
      <c r="O126" s="6"/>
      <c r="P126" s="6">
        <v>8</v>
      </c>
      <c r="Q126" s="6">
        <v>8</v>
      </c>
      <c r="R126" s="6"/>
      <c r="S126" s="35">
        <f>SUM(F126:R126)</f>
        <v>49</v>
      </c>
      <c r="T126" s="35">
        <f>COUNT(F126:R126)</f>
        <v>6</v>
      </c>
      <c r="U126" s="36">
        <f>IF(T126&gt;=2,ROUND((IF(T126=2,0.55,IF(T126&lt;=4,0.7,IF(T126&lt;=6,0.8,IF(T126&lt;=9,0.9,1))))*(S126/T126)+(1-(IF(T126=2,0.55,IF(T126&lt;=4,0.7,IF(T126&lt;=6,0.8,IF(T126&lt;=9,0.9,1))))))*$Y$1),1),"")</f>
        <v>8.2</v>
      </c>
      <c r="V126" s="37">
        <v>7.2</v>
      </c>
      <c r="W126" s="38"/>
    </row>
    <row r="127" ht="24" customHeight="1" spans="1:23" x14ac:dyDescent="0.25">
      <c r="A127" s="31">
        <v>1008</v>
      </c>
      <c r="B127" s="32" t="s">
        <v>174</v>
      </c>
      <c r="C127" s="33" t="s">
        <v>24</v>
      </c>
      <c r="D127" s="34">
        <v>2019</v>
      </c>
      <c r="E127" s="34" t="s">
        <v>30</v>
      </c>
      <c r="F127" s="6"/>
      <c r="G127" s="6"/>
      <c r="H127" s="6">
        <v>6</v>
      </c>
      <c r="I127" s="6">
        <v>6</v>
      </c>
      <c r="J127" s="6">
        <v>6</v>
      </c>
      <c r="K127" s="6">
        <v>8</v>
      </c>
      <c r="L127" s="6">
        <v>7</v>
      </c>
      <c r="M127" s="6"/>
      <c r="N127" s="6"/>
      <c r="O127" s="6">
        <v>8</v>
      </c>
      <c r="P127" s="6"/>
      <c r="Q127" s="6">
        <v>8</v>
      </c>
      <c r="R127" s="6"/>
      <c r="S127" s="35">
        <f>SUM(F127:R127)</f>
        <v>49</v>
      </c>
      <c r="T127" s="35">
        <f>COUNT(F127:R127)</f>
        <v>7</v>
      </c>
      <c r="U127" s="36">
        <f>IF(T127&gt;=2,ROUND((IF(T127=2,0.55,IF(T127&lt;=4,0.7,IF(T127&lt;=6,0.8,IF(T127&lt;=9,0.9,1))))*(S127/T127)+(1-(IF(T127=2,0.55,IF(T127&lt;=4,0.7,IF(T127&lt;=6,0.8,IF(T127&lt;=9,0.9,1))))))*$Y$1),1),"")</f>
        <v>7.1</v>
      </c>
      <c r="V127" s="37">
        <v>6.6</v>
      </c>
      <c r="W127" s="38"/>
    </row>
    <row r="128" ht="24" customHeight="1" spans="1:23" x14ac:dyDescent="0.25">
      <c r="A128" s="31">
        <v>384</v>
      </c>
      <c r="B128" s="32" t="s">
        <v>175</v>
      </c>
      <c r="C128" s="33" t="s">
        <v>24</v>
      </c>
      <c r="D128" s="34">
        <v>2016</v>
      </c>
      <c r="E128" s="34" t="s">
        <v>176</v>
      </c>
      <c r="F128" s="6">
        <v>8</v>
      </c>
      <c r="G128" s="6"/>
      <c r="H128" s="6">
        <v>10</v>
      </c>
      <c r="I128" s="6"/>
      <c r="J128" s="6"/>
      <c r="K128" s="6"/>
      <c r="L128" s="6">
        <v>8</v>
      </c>
      <c r="M128" s="6"/>
      <c r="N128" s="6"/>
      <c r="O128" s="6"/>
      <c r="P128" s="6"/>
      <c r="Q128" s="6"/>
      <c r="R128" s="6"/>
      <c r="S128" s="35">
        <f>SUM(F128:R128)</f>
        <v>26</v>
      </c>
      <c r="T128" s="35">
        <f>COUNT(F128:R128)</f>
        <v>3</v>
      </c>
      <c r="U128" s="36">
        <f>IF(T128&gt;=2,ROUND((IF(T128=2,0.55,IF(T128&lt;=4,0.7,IF(T128&lt;=6,0.8,IF(T128&lt;=9,0.9,1))))*(S128/T128)+(1-(IF(T128=2,0.55,IF(T128&lt;=4,0.7,IF(T128&lt;=6,0.8,IF(T128&lt;=9,0.9,1))))))*$Y$1),1),"")</f>
        <v>8.5</v>
      </c>
      <c r="V128" s="37">
        <v>6.6</v>
      </c>
      <c r="W128" s="38"/>
    </row>
    <row r="129" ht="24" customHeight="1" spans="1:23" x14ac:dyDescent="0.25">
      <c r="A129" s="31">
        <v>890</v>
      </c>
      <c r="B129" s="32" t="s">
        <v>177</v>
      </c>
      <c r="C129" s="33" t="s">
        <v>24</v>
      </c>
      <c r="D129" s="34">
        <v>2009</v>
      </c>
      <c r="E129" s="34" t="s">
        <v>92</v>
      </c>
      <c r="F129" s="6"/>
      <c r="G129" s="6">
        <v>7</v>
      </c>
      <c r="H129" s="6"/>
      <c r="I129" s="6"/>
      <c r="J129" s="6"/>
      <c r="K129" s="6"/>
      <c r="L129" s="6"/>
      <c r="M129" s="6"/>
      <c r="N129" s="6"/>
      <c r="O129" s="6"/>
      <c r="P129" s="6">
        <v>8</v>
      </c>
      <c r="Q129" s="6"/>
      <c r="R129" s="6"/>
      <c r="S129" s="35">
        <f>SUM(F129:R129)</f>
        <v>15</v>
      </c>
      <c r="T129" s="35">
        <f>COUNT(F129:R129)</f>
        <v>2</v>
      </c>
      <c r="U129" s="36">
        <f>IF(T129&gt;=2,ROUND((IF(T129=2,0.55,IF(T129&lt;=4,0.7,IF(T129&lt;=6,0.8,IF(T129&lt;=9,0.9,1))))*(S129/T129)+(1-(IF(T129=2,0.55,IF(T129&lt;=4,0.7,IF(T129&lt;=6,0.8,IF(T129&lt;=9,0.9,1))))))*$Y$1),1),"")</f>
        <v>7.8</v>
      </c>
      <c r="V129" s="37">
        <v>7</v>
      </c>
      <c r="W129" s="38"/>
    </row>
    <row r="130" ht="24" customHeight="1" spans="1:23" x14ac:dyDescent="0.25">
      <c r="A130" s="31">
        <v>447</v>
      </c>
      <c r="B130" s="32" t="s">
        <v>178</v>
      </c>
      <c r="C130" s="33" t="s">
        <v>24</v>
      </c>
      <c r="D130" s="34">
        <v>2018</v>
      </c>
      <c r="E130" s="34" t="s">
        <v>179</v>
      </c>
      <c r="F130" s="6"/>
      <c r="G130" s="6"/>
      <c r="H130" s="6">
        <v>6</v>
      </c>
      <c r="I130" s="6"/>
      <c r="J130" s="6"/>
      <c r="K130" s="6"/>
      <c r="L130" s="6">
        <v>6</v>
      </c>
      <c r="M130" s="6"/>
      <c r="N130" s="6"/>
      <c r="O130" s="6"/>
      <c r="P130" s="6"/>
      <c r="Q130" s="6"/>
      <c r="R130" s="6"/>
      <c r="S130" s="35">
        <f>SUM(F130:R130)</f>
        <v>12</v>
      </c>
      <c r="T130" s="35">
        <f>COUNT(F130:R130)</f>
        <v>2</v>
      </c>
      <c r="U130" s="36">
        <f>IF(T130&gt;=2,ROUND((IF(T130=2,0.55,IF(T130&lt;=4,0.7,IF(T130&lt;=6,0.8,IF(T130&lt;=9,0.9,1))))*(S130/T130)+(1-(IF(T130=2,0.55,IF(T130&lt;=4,0.7,IF(T130&lt;=6,0.8,IF(T130&lt;=9,0.9,1))))))*$Y$1),1),"")</f>
        <v>6.9</v>
      </c>
      <c r="V130" s="37">
        <v>6.2</v>
      </c>
      <c r="W130" s="38"/>
    </row>
    <row r="131" ht="24" customHeight="1" spans="1:23" x14ac:dyDescent="0.25">
      <c r="A131" s="42">
        <v>137</v>
      </c>
      <c r="B131" s="32" t="s">
        <v>180</v>
      </c>
      <c r="C131" s="43" t="s">
        <v>24</v>
      </c>
      <c r="D131" s="44">
        <v>2015</v>
      </c>
      <c r="E131" s="44" t="s">
        <v>30</v>
      </c>
      <c r="F131" s="6">
        <v>8</v>
      </c>
      <c r="G131" s="6">
        <v>8</v>
      </c>
      <c r="H131" s="6">
        <v>8</v>
      </c>
      <c r="I131" s="6">
        <v>8</v>
      </c>
      <c r="J131" s="6">
        <v>8</v>
      </c>
      <c r="K131" s="6">
        <v>8</v>
      </c>
      <c r="L131" s="6">
        <v>8</v>
      </c>
      <c r="M131" s="6">
        <v>10</v>
      </c>
      <c r="N131" s="6">
        <v>10</v>
      </c>
      <c r="O131" s="6"/>
      <c r="P131" s="6">
        <v>8</v>
      </c>
      <c r="Q131" s="6">
        <v>8</v>
      </c>
      <c r="R131" s="6">
        <v>10</v>
      </c>
      <c r="S131" s="45">
        <f>SUM(F131:R131)</f>
        <v>102</v>
      </c>
      <c r="T131" s="45">
        <f>COUNT(F131:R131)</f>
        <v>12</v>
      </c>
      <c r="U131" s="36">
        <f>IF(T131&gt;=2,ROUND((IF(T131=2,0.55,IF(T131&lt;=4,0.7,IF(T131&lt;=6,0.8,IF(T131&lt;=9,0.9,1))))*(S131/T131)+(1-(IF(T131=2,0.55,IF(T131&lt;=4,0.7,IF(T131&lt;=6,0.8,IF(T131&lt;=9,0.9,1))))))*$Y$1),1),"")</f>
        <v>8.5</v>
      </c>
      <c r="V131" s="37">
        <v>7.1</v>
      </c>
      <c r="W131" s="38" t="s">
        <v>44</v>
      </c>
    </row>
    <row r="132" ht="24" customHeight="1" spans="1:23" x14ac:dyDescent="0.25">
      <c r="A132" s="31">
        <v>136</v>
      </c>
      <c r="B132" s="32" t="s">
        <v>181</v>
      </c>
      <c r="C132" s="33" t="s">
        <v>24</v>
      </c>
      <c r="D132" s="34">
        <v>2018</v>
      </c>
      <c r="E132" s="34" t="s">
        <v>30</v>
      </c>
      <c r="F132" s="6">
        <v>8</v>
      </c>
      <c r="G132" s="6"/>
      <c r="H132" s="6">
        <v>8</v>
      </c>
      <c r="I132" s="6">
        <v>8</v>
      </c>
      <c r="J132" s="6">
        <v>8</v>
      </c>
      <c r="K132" s="6">
        <v>8</v>
      </c>
      <c r="L132" s="6">
        <v>8</v>
      </c>
      <c r="M132" s="6">
        <v>6</v>
      </c>
      <c r="N132" s="6">
        <v>6</v>
      </c>
      <c r="O132" s="6">
        <v>8</v>
      </c>
      <c r="P132" s="6"/>
      <c r="Q132" s="6">
        <v>8</v>
      </c>
      <c r="R132" s="6">
        <v>8</v>
      </c>
      <c r="S132" s="35">
        <f>SUM(F132:R132)</f>
        <v>84</v>
      </c>
      <c r="T132" s="35">
        <f>COUNT(F132:R132)</f>
        <v>11</v>
      </c>
      <c r="U132" s="36">
        <f>IF(T132&gt;=2,ROUND((IF(T132=2,0.55,IF(T132&lt;=4,0.7,IF(T132&lt;=6,0.8,IF(T132&lt;=9,0.9,1))))*(S132/T132)+(1-(IF(T132=2,0.55,IF(T132&lt;=4,0.7,IF(T132&lt;=6,0.8,IF(T132&lt;=9,0.9,1))))))*$Y$1),1),"")</f>
        <v>7.6</v>
      </c>
      <c r="V132" s="37">
        <v>7.2</v>
      </c>
      <c r="W132" s="38"/>
    </row>
    <row r="133" ht="24" customHeight="1" spans="1:23" x14ac:dyDescent="0.25">
      <c r="A133" s="31">
        <v>767</v>
      </c>
      <c r="B133" s="32" t="s">
        <v>182</v>
      </c>
      <c r="C133" s="33" t="s">
        <v>24</v>
      </c>
      <c r="D133" s="34">
        <v>2000</v>
      </c>
      <c r="E133" s="34" t="s">
        <v>183</v>
      </c>
      <c r="F133" s="6"/>
      <c r="G133" s="6"/>
      <c r="H133" s="6"/>
      <c r="I133" s="6"/>
      <c r="J133" s="6"/>
      <c r="K133" s="6">
        <v>6</v>
      </c>
      <c r="L133" s="6">
        <v>8</v>
      </c>
      <c r="M133" s="6">
        <v>8</v>
      </c>
      <c r="N133" s="6"/>
      <c r="O133" s="6"/>
      <c r="P133" s="6"/>
      <c r="Q133" s="6">
        <v>6</v>
      </c>
      <c r="R133" s="6"/>
      <c r="S133" s="35">
        <f>SUM(F133:R133)</f>
        <v>28</v>
      </c>
      <c r="T133" s="35">
        <f>COUNT(F133:R133)</f>
        <v>4</v>
      </c>
      <c r="U133" s="36">
        <f>IF(T133&gt;=2,ROUND((IF(T133=2,0.55,IF(T133&lt;=4,0.7,IF(T133&lt;=6,0.8,IF(T133&lt;=9,0.9,1))))*(S133/T133)+(1-(IF(T133=2,0.55,IF(T133&lt;=4,0.7,IF(T133&lt;=6,0.8,IF(T133&lt;=9,0.9,1))))))*$Y$1),1),"")</f>
        <v>7.3</v>
      </c>
      <c r="V133" s="37">
        <v>6.9</v>
      </c>
      <c r="W133" s="38"/>
    </row>
    <row r="134" ht="24" customHeight="1" spans="1:23" x14ac:dyDescent="0.25">
      <c r="A134" s="31">
        <v>766</v>
      </c>
      <c r="B134" s="32" t="s">
        <v>182</v>
      </c>
      <c r="C134" s="33" t="s">
        <v>24</v>
      </c>
      <c r="D134" s="34">
        <v>2016</v>
      </c>
      <c r="E134" s="34" t="s">
        <v>183</v>
      </c>
      <c r="F134" s="6"/>
      <c r="G134" s="6"/>
      <c r="H134" s="6"/>
      <c r="I134" s="6"/>
      <c r="J134" s="6">
        <v>8</v>
      </c>
      <c r="K134" s="6">
        <v>8</v>
      </c>
      <c r="L134" s="6">
        <v>8</v>
      </c>
      <c r="M134" s="6"/>
      <c r="N134" s="6"/>
      <c r="O134" s="6"/>
      <c r="P134" s="6"/>
      <c r="Q134" s="6">
        <v>8</v>
      </c>
      <c r="R134" s="6"/>
      <c r="S134" s="35">
        <f>SUM(F134:R134)</f>
        <v>32</v>
      </c>
      <c r="T134" s="35">
        <f>COUNT(F134:R134)</f>
        <v>4</v>
      </c>
      <c r="U134" s="36">
        <f>IF(T134&gt;=2,ROUND((IF(T134=2,0.55,IF(T134&lt;=4,0.7,IF(T134&lt;=6,0.8,IF(T134&lt;=9,0.9,1))))*(S134/T134)+(1-(IF(T134=2,0.55,IF(T134&lt;=4,0.7,IF(T134&lt;=6,0.8,IF(T134&lt;=9,0.9,1))))))*$Y$1),1),"")</f>
        <v>8</v>
      </c>
      <c r="V134" s="37">
        <v>6.5</v>
      </c>
      <c r="W134" s="38"/>
    </row>
    <row r="135" ht="24" customHeight="1" spans="1:23" x14ac:dyDescent="0.25">
      <c r="A135" s="31">
        <v>1721</v>
      </c>
      <c r="B135" s="32" t="s">
        <v>184</v>
      </c>
      <c r="C135" s="33" t="s">
        <v>24</v>
      </c>
      <c r="D135" s="34">
        <v>2022</v>
      </c>
      <c r="E135" s="34" t="s">
        <v>30</v>
      </c>
      <c r="F135" s="6"/>
      <c r="G135" s="6"/>
      <c r="H135" s="6"/>
      <c r="I135" s="6"/>
      <c r="J135" s="6"/>
      <c r="K135" s="6"/>
      <c r="L135" s="6"/>
      <c r="M135" s="6">
        <v>8</v>
      </c>
      <c r="N135" s="6"/>
      <c r="O135" s="6"/>
      <c r="P135" s="6"/>
      <c r="Q135" s="6"/>
      <c r="R135" s="6"/>
      <c r="S135" s="35">
        <f>SUM(F135:R135)</f>
        <v>8</v>
      </c>
      <c r="T135" s="35">
        <f>COUNT(F135:R135)</f>
        <v>1</v>
      </c>
      <c r="U135" s="36">
        <f>IF(T135&gt;=2,ROUND((IF(T135=2,0.55,IF(T135&lt;=4,0.7,IF(T135&lt;=6,0.8,IF(T135&lt;=9,0.9,1))))*(S135/T135)+(1-(IF(T135=2,0.55,IF(T135&lt;=4,0.7,IF(T135&lt;=6,0.8,IF(T135&lt;=9,0.9,1))))))*$Y$1),1),"")</f>
      </c>
      <c r="V135" s="37">
        <v>6.4</v>
      </c>
      <c r="W135" s="38"/>
    </row>
    <row r="136" ht="24" customHeight="1" spans="1:23" x14ac:dyDescent="0.25">
      <c r="A136" s="31">
        <v>557</v>
      </c>
      <c r="B136" s="32" t="s">
        <v>185</v>
      </c>
      <c r="C136" s="33" t="s">
        <v>24</v>
      </c>
      <c r="D136" s="34">
        <v>2005</v>
      </c>
      <c r="E136" s="34" t="s">
        <v>25</v>
      </c>
      <c r="F136" s="6"/>
      <c r="G136" s="6">
        <v>8</v>
      </c>
      <c r="H136" s="6"/>
      <c r="I136" s="6"/>
      <c r="J136" s="6"/>
      <c r="K136" s="6"/>
      <c r="L136" s="6"/>
      <c r="M136" s="6"/>
      <c r="N136" s="6"/>
      <c r="O136" s="6"/>
      <c r="P136" s="6">
        <v>8</v>
      </c>
      <c r="Q136" s="6"/>
      <c r="R136" s="6"/>
      <c r="S136" s="35">
        <f>SUM(F136:R136)</f>
        <v>16</v>
      </c>
      <c r="T136" s="35">
        <f>COUNT(F136:R136)</f>
        <v>2</v>
      </c>
      <c r="U136" s="36">
        <f>IF(T136&gt;=2,ROUND((IF(T136=2,0.55,IF(T136&lt;=4,0.7,IF(T136&lt;=6,0.8,IF(T136&lt;=9,0.9,1))))*(S136/T136)+(1-(IF(T136=2,0.55,IF(T136&lt;=4,0.7,IF(T136&lt;=6,0.8,IF(T136&lt;=9,0.9,1))))))*$Y$1),1),"")</f>
        <v>8</v>
      </c>
      <c r="V136" s="37">
        <v>7.8</v>
      </c>
      <c r="W136" s="38"/>
    </row>
    <row r="137" ht="24" customHeight="1" spans="1:23" x14ac:dyDescent="0.25">
      <c r="A137" s="31">
        <v>1057</v>
      </c>
      <c r="B137" s="32" t="s">
        <v>186</v>
      </c>
      <c r="C137" s="33" t="s">
        <v>24</v>
      </c>
      <c r="D137" s="34">
        <v>2017</v>
      </c>
      <c r="E137" s="34" t="s">
        <v>27</v>
      </c>
      <c r="F137" s="6"/>
      <c r="G137" s="6"/>
      <c r="H137" s="6"/>
      <c r="I137" s="6"/>
      <c r="J137" s="6"/>
      <c r="K137" s="6"/>
      <c r="L137" s="6"/>
      <c r="M137" s="6"/>
      <c r="N137" s="6"/>
      <c r="O137" s="6">
        <v>8</v>
      </c>
      <c r="P137" s="6"/>
      <c r="Q137" s="6"/>
      <c r="R137" s="6"/>
      <c r="S137" s="35">
        <f>SUM(F137:R137)</f>
        <v>8</v>
      </c>
      <c r="T137" s="35">
        <f>COUNT(F137:R137)</f>
        <v>1</v>
      </c>
      <c r="U137" s="36">
        <f>IF(T137&gt;=2,ROUND((IF(T137=2,0.55,IF(T137&lt;=4,0.7,IF(T137&lt;=6,0.8,IF(T137&lt;=9,0.9,1))))*(S137/T137)+(1-(IF(T137=2,0.55,IF(T137&lt;=4,0.7,IF(T137&lt;=6,0.8,IF(T137&lt;=9,0.9,1))))))*$Y$1),1),"")</f>
      </c>
      <c r="V137" s="37">
        <v>5.2</v>
      </c>
      <c r="W137" s="38"/>
    </row>
    <row r="138" ht="24" customHeight="1" spans="1:23" s="39" customFormat="1" x14ac:dyDescent="0.25">
      <c r="A138" s="31">
        <v>1585</v>
      </c>
      <c r="B138" s="32" t="s">
        <v>187</v>
      </c>
      <c r="C138" s="33" t="s">
        <v>24</v>
      </c>
      <c r="D138" s="34">
        <v>2022</v>
      </c>
      <c r="E138" s="34" t="s">
        <v>27</v>
      </c>
      <c r="F138" s="6">
        <v>8</v>
      </c>
      <c r="G138" s="6"/>
      <c r="H138" s="6">
        <v>8</v>
      </c>
      <c r="I138" s="6"/>
      <c r="J138" s="6"/>
      <c r="K138" s="6">
        <v>8</v>
      </c>
      <c r="L138" s="6"/>
      <c r="M138" s="6"/>
      <c r="N138" s="6"/>
      <c r="O138" s="6">
        <v>8</v>
      </c>
      <c r="P138" s="6"/>
      <c r="Q138" s="6">
        <v>8</v>
      </c>
      <c r="R138" s="6">
        <v>9</v>
      </c>
      <c r="S138" s="35">
        <f>SUM(F138:R138)</f>
        <v>49</v>
      </c>
      <c r="T138" s="35">
        <f>COUNT(F138:R138)</f>
        <v>6</v>
      </c>
      <c r="U138" s="36">
        <f>IF(T138&gt;=2,ROUND((IF(T138=2,0.55,IF(T138&lt;=4,0.7,IF(T138&lt;=6,0.8,IF(T138&lt;=9,0.9,1))))*(S138/T138)+(1-(IF(T138=2,0.55,IF(T138&lt;=4,0.7,IF(T138&lt;=6,0.8,IF(T138&lt;=9,0.9,1))))))*$Y$1),1),"")</f>
        <v>8.2</v>
      </c>
      <c r="V138" s="37">
        <v>6.5</v>
      </c>
      <c r="W138" s="38"/>
    </row>
    <row r="139" ht="24" customHeight="1" spans="1:23" x14ac:dyDescent="0.25">
      <c r="A139" s="31">
        <v>135</v>
      </c>
      <c r="B139" s="32" t="s">
        <v>188</v>
      </c>
      <c r="C139" s="33" t="s">
        <v>24</v>
      </c>
      <c r="D139" s="34">
        <v>1975</v>
      </c>
      <c r="E139" s="34" t="s">
        <v>27</v>
      </c>
      <c r="F139" s="6">
        <v>10</v>
      </c>
      <c r="G139" s="6">
        <v>9</v>
      </c>
      <c r="H139" s="6">
        <v>10</v>
      </c>
      <c r="I139" s="6">
        <v>10</v>
      </c>
      <c r="J139" s="6">
        <v>10</v>
      </c>
      <c r="K139" s="6">
        <v>10</v>
      </c>
      <c r="L139" s="6">
        <v>10</v>
      </c>
      <c r="M139" s="6">
        <v>10</v>
      </c>
      <c r="N139" s="6">
        <v>10</v>
      </c>
      <c r="O139" s="6"/>
      <c r="P139" s="6">
        <v>8</v>
      </c>
      <c r="Q139" s="6">
        <v>10</v>
      </c>
      <c r="R139" s="6">
        <v>10</v>
      </c>
      <c r="S139" s="35">
        <f>SUM(F139:R139)</f>
        <v>117</v>
      </c>
      <c r="T139" s="35">
        <f>COUNT(F139:R139)</f>
        <v>12</v>
      </c>
      <c r="U139" s="36">
        <f>IF(T139&gt;=2,ROUND((IF(T139=2,0.55,IF(T139&lt;=4,0.7,IF(T139&lt;=6,0.8,IF(T139&lt;=9,0.9,1))))*(S139/T139)+(1-(IF(T139=2,0.55,IF(T139&lt;=4,0.7,IF(T139&lt;=6,0.8,IF(T139&lt;=9,0.9,1))))))*$Y$1),1),"")</f>
        <v>9.8</v>
      </c>
      <c r="V139" s="37">
        <v>8.6</v>
      </c>
      <c r="W139" s="38"/>
    </row>
    <row r="140" ht="24" customHeight="1" spans="1:23" x14ac:dyDescent="0.25">
      <c r="A140" s="31">
        <v>858</v>
      </c>
      <c r="B140" s="32" t="s">
        <v>189</v>
      </c>
      <c r="C140" s="33" t="s">
        <v>24</v>
      </c>
      <c r="D140" s="34">
        <v>2012</v>
      </c>
      <c r="E140" s="34" t="s">
        <v>27</v>
      </c>
      <c r="F140" s="6"/>
      <c r="G140" s="6"/>
      <c r="H140" s="6"/>
      <c r="I140" s="6"/>
      <c r="J140" s="6">
        <v>6</v>
      </c>
      <c r="K140" s="6">
        <v>8</v>
      </c>
      <c r="L140" s="6">
        <v>8</v>
      </c>
      <c r="M140" s="6"/>
      <c r="N140" s="6"/>
      <c r="O140" s="6">
        <v>8</v>
      </c>
      <c r="P140" s="6"/>
      <c r="Q140" s="6">
        <v>8</v>
      </c>
      <c r="R140" s="6"/>
      <c r="S140" s="35">
        <f>SUM(F140:R140)</f>
        <v>38</v>
      </c>
      <c r="T140" s="35">
        <f>COUNT(F140:R140)</f>
        <v>5</v>
      </c>
      <c r="U140" s="36">
        <f>IF(T140&gt;=2,ROUND((IF(T140=2,0.55,IF(T140&lt;=4,0.7,IF(T140&lt;=6,0.8,IF(T140&lt;=9,0.9,1))))*(S140/T140)+(1-(IF(T140=2,0.55,IF(T140&lt;=4,0.7,IF(T140&lt;=6,0.8,IF(T140&lt;=9,0.9,1))))))*$Y$1),1),"")</f>
        <v>7.7</v>
      </c>
      <c r="V140" s="37">
        <v>6.3</v>
      </c>
      <c r="W140" s="38"/>
    </row>
    <row r="141" ht="24" customHeight="1" spans="1:23" x14ac:dyDescent="0.25">
      <c r="A141" s="40">
        <v>2419</v>
      </c>
      <c r="B141" s="32" t="s">
        <v>190</v>
      </c>
      <c r="C141" s="33" t="s">
        <v>24</v>
      </c>
      <c r="D141" s="34">
        <v>2025</v>
      </c>
      <c r="E141" s="41"/>
      <c r="F141" s="6"/>
      <c r="G141" s="6"/>
      <c r="H141" s="6"/>
      <c r="I141" s="6"/>
      <c r="J141" s="6"/>
      <c r="K141" s="6"/>
      <c r="L141" s="6">
        <v>8</v>
      </c>
      <c r="M141" s="6"/>
      <c r="N141" s="6"/>
      <c r="O141" s="6">
        <v>8</v>
      </c>
      <c r="P141" s="6"/>
      <c r="Q141" s="6"/>
      <c r="R141" s="6"/>
      <c r="S141" s="35">
        <f>SUM(F141:R141)</f>
        <v>16</v>
      </c>
      <c r="T141" s="35">
        <f>COUNT(F141:R141)</f>
        <v>2</v>
      </c>
      <c r="U141" s="36">
        <f>IF(T141&gt;=2,ROUND((IF(T141=2,0.55,IF(T141&lt;=4,0.7,IF(T141&lt;=6,0.8,IF(T141&lt;=9,0.9,1))))*(S141/T141)+(1-(IF(T141=2,0.55,IF(T141&lt;=4,0.7,IF(T141&lt;=6,0.8,IF(T141&lt;=9,0.9,1))))))*$Y$1),1),"")</f>
        <v>8</v>
      </c>
      <c r="V141" s="37">
        <v>7.8</v>
      </c>
      <c r="W141" s="38"/>
    </row>
    <row r="142" ht="24" customHeight="1" spans="1:23" x14ac:dyDescent="0.25">
      <c r="A142" s="31">
        <v>1651</v>
      </c>
      <c r="B142" s="32" t="s">
        <v>191</v>
      </c>
      <c r="C142" s="33" t="s">
        <v>24</v>
      </c>
      <c r="D142" s="34">
        <v>2023</v>
      </c>
      <c r="E142" s="34" t="s">
        <v>30</v>
      </c>
      <c r="F142" s="6"/>
      <c r="G142" s="6"/>
      <c r="H142" s="6"/>
      <c r="I142" s="6"/>
      <c r="J142" s="6"/>
      <c r="K142" s="6"/>
      <c r="L142" s="6"/>
      <c r="M142" s="6"/>
      <c r="N142" s="6"/>
      <c r="O142" s="6">
        <v>7</v>
      </c>
      <c r="P142" s="6"/>
      <c r="Q142" s="6"/>
      <c r="R142" s="6"/>
      <c r="S142" s="35">
        <f>SUM(F142:R142)</f>
        <v>7</v>
      </c>
      <c r="T142" s="35">
        <f>COUNT(F142:R142)</f>
        <v>1</v>
      </c>
      <c r="U142" s="36">
        <f>IF(T142&gt;=2,ROUND((IF(T142=2,0.55,IF(T142&lt;=4,0.7,IF(T142&lt;=6,0.8,IF(T142&lt;=9,0.9,1))))*(S142/T142)+(1-(IF(T142=2,0.55,IF(T142&lt;=4,0.7,IF(T142&lt;=6,0.8,IF(T142&lt;=9,0.9,1))))))*$Y$1),1),"")</f>
      </c>
      <c r="V142" s="37">
        <v>5.8</v>
      </c>
      <c r="W142" s="38"/>
    </row>
    <row r="143" ht="24" customHeight="1" spans="1:23" x14ac:dyDescent="0.25">
      <c r="A143" s="46">
        <v>1256</v>
      </c>
      <c r="B143" s="32" t="s">
        <v>192</v>
      </c>
      <c r="C143" s="33" t="s">
        <v>24</v>
      </c>
      <c r="D143" s="34">
        <v>2022</v>
      </c>
      <c r="E143" s="34" t="s">
        <v>30</v>
      </c>
      <c r="F143" s="6">
        <v>6</v>
      </c>
      <c r="G143" s="6"/>
      <c r="H143" s="6"/>
      <c r="I143" s="6"/>
      <c r="J143" s="6"/>
      <c r="K143" s="6">
        <v>5</v>
      </c>
      <c r="L143" s="6"/>
      <c r="M143" s="6"/>
      <c r="N143" s="6">
        <v>6</v>
      </c>
      <c r="O143" s="6"/>
      <c r="P143" s="6"/>
      <c r="Q143" s="6">
        <v>5</v>
      </c>
      <c r="R143" s="6"/>
      <c r="S143" s="35">
        <f>SUM(F143:R143)</f>
        <v>22</v>
      </c>
      <c r="T143" s="35">
        <f>COUNT(F143:R143)</f>
        <v>4</v>
      </c>
      <c r="U143" s="36">
        <f>IF(T143&gt;=2,ROUND((IF(T143=2,0.55,IF(T143&lt;=4,0.7,IF(T143&lt;=6,0.8,IF(T143&lt;=9,0.9,1))))*(S143/T143)+(1-(IF(T143=2,0.55,IF(T143&lt;=4,0.7,IF(T143&lt;=6,0.8,IF(T143&lt;=9,0.9,1))))))*$Y$1),1),"")</f>
        <v>6.3</v>
      </c>
      <c r="V143" s="37">
        <v>5.9</v>
      </c>
      <c r="W143" s="38"/>
    </row>
    <row r="144" ht="24" customHeight="1" spans="1:23" x14ac:dyDescent="0.25">
      <c r="A144" s="31">
        <v>271</v>
      </c>
      <c r="B144" s="32" t="s">
        <v>193</v>
      </c>
      <c r="C144" s="33" t="s">
        <v>24</v>
      </c>
      <c r="D144" s="34">
        <v>2019</v>
      </c>
      <c r="E144" s="34" t="s">
        <v>33</v>
      </c>
      <c r="F144" s="6"/>
      <c r="G144" s="6"/>
      <c r="H144" s="6"/>
      <c r="I144" s="6"/>
      <c r="J144" s="6">
        <v>8</v>
      </c>
      <c r="K144" s="6"/>
      <c r="L144" s="6">
        <v>8</v>
      </c>
      <c r="M144" s="6"/>
      <c r="N144" s="6"/>
      <c r="O144" s="6"/>
      <c r="P144" s="6"/>
      <c r="Q144" s="6"/>
      <c r="R144" s="6"/>
      <c r="S144" s="35">
        <f>SUM(F144:R144)</f>
        <v>16</v>
      </c>
      <c r="T144" s="35">
        <f>COUNT(F144:R144)</f>
        <v>2</v>
      </c>
      <c r="U144" s="36">
        <f>IF(T144&gt;=2,ROUND((IF(T144=2,0.55,IF(T144&lt;=4,0.7,IF(T144&lt;=6,0.8,IF(T144&lt;=9,0.9,1))))*(S144/T144)+(1-(IF(T144=2,0.55,IF(T144&lt;=4,0.7,IF(T144&lt;=6,0.8,IF(T144&lt;=9,0.9,1))))))*$Y$1),1),"")</f>
        <v>8</v>
      </c>
      <c r="V144" s="37">
        <v>6.4</v>
      </c>
      <c r="W144" s="38"/>
    </row>
    <row r="145" ht="24" customHeight="1" spans="1:23" x14ac:dyDescent="0.25">
      <c r="A145" s="31">
        <v>1756</v>
      </c>
      <c r="B145" s="32" t="s">
        <v>194</v>
      </c>
      <c r="C145" s="33" t="s">
        <v>29</v>
      </c>
      <c r="D145" s="34">
        <v>2024</v>
      </c>
      <c r="E145" s="34" t="s">
        <v>30</v>
      </c>
      <c r="F145" s="6"/>
      <c r="G145" s="6"/>
      <c r="H145" s="6"/>
      <c r="I145" s="6"/>
      <c r="J145" s="6"/>
      <c r="K145" s="6">
        <v>8</v>
      </c>
      <c r="L145" s="6"/>
      <c r="M145" s="6"/>
      <c r="N145" s="6"/>
      <c r="O145" s="6">
        <v>8</v>
      </c>
      <c r="P145" s="6"/>
      <c r="Q145" s="6">
        <v>8</v>
      </c>
      <c r="R145" s="6"/>
      <c r="S145" s="35">
        <f>SUM(F145:R145)</f>
        <v>24</v>
      </c>
      <c r="T145" s="35">
        <f>COUNT(F145:R145)</f>
        <v>3</v>
      </c>
      <c r="U145" s="36">
        <f>IF(T145&gt;=2,ROUND((IF(T145=2,0.55,IF(T145&lt;=4,0.7,IF(T145&lt;=6,0.8,IF(T145&lt;=9,0.9,1))))*(S145/T145)+(1-(IF(T145=2,0.55,IF(T145&lt;=4,0.7,IF(T145&lt;=6,0.8,IF(T145&lt;=9,0.9,1))))))*$Y$1),1),"")</f>
        <v>8</v>
      </c>
      <c r="V145" s="37">
        <v>8</v>
      </c>
      <c r="W145" s="38"/>
    </row>
    <row r="146" ht="24" customHeight="1" spans="1:23" x14ac:dyDescent="0.25">
      <c r="A146" s="42">
        <v>1333</v>
      </c>
      <c r="B146" s="32" t="s">
        <v>194</v>
      </c>
      <c r="C146" s="43" t="s">
        <v>24</v>
      </c>
      <c r="D146" s="44">
        <v>2011</v>
      </c>
      <c r="E146" s="44" t="s">
        <v>30</v>
      </c>
      <c r="F146" s="6">
        <v>8</v>
      </c>
      <c r="G146" s="6">
        <v>7</v>
      </c>
      <c r="H146" s="6">
        <v>8</v>
      </c>
      <c r="I146" s="6">
        <v>7</v>
      </c>
      <c r="J146" s="6">
        <v>8</v>
      </c>
      <c r="K146" s="6">
        <v>8</v>
      </c>
      <c r="L146" s="6">
        <v>8</v>
      </c>
      <c r="M146" s="6">
        <v>8</v>
      </c>
      <c r="N146" s="6">
        <v>8</v>
      </c>
      <c r="O146" s="6">
        <v>8</v>
      </c>
      <c r="P146" s="6">
        <v>7</v>
      </c>
      <c r="Q146" s="6">
        <v>8</v>
      </c>
      <c r="R146" s="6"/>
      <c r="S146" s="45">
        <f>SUM(F146:R146)</f>
        <v>93</v>
      </c>
      <c r="T146" s="45">
        <f>COUNT(F146:R146)</f>
        <v>12</v>
      </c>
      <c r="U146" s="36">
        <f>IF(T146&gt;=2,ROUND((IF(T146=2,0.55,IF(T146&lt;=4,0.7,IF(T146&lt;=6,0.8,IF(T146&lt;=9,0.9,1))))*(S146/T146)+(1-(IF(T146=2,0.55,IF(T146&lt;=4,0.7,IF(T146&lt;=6,0.8,IF(T146&lt;=9,0.9,1))))))*$Y$1),1),"")</f>
        <v>7.8</v>
      </c>
      <c r="V146" s="37">
        <v>7</v>
      </c>
      <c r="W146" s="38" t="s">
        <v>44</v>
      </c>
    </row>
    <row r="147" ht="24" customHeight="1" spans="1:23" x14ac:dyDescent="0.25">
      <c r="A147" s="31">
        <v>1190</v>
      </c>
      <c r="B147" s="32" t="s">
        <v>195</v>
      </c>
      <c r="C147" s="33" t="s">
        <v>24</v>
      </c>
      <c r="D147" s="34">
        <v>2007</v>
      </c>
      <c r="E147" s="34" t="s">
        <v>30</v>
      </c>
      <c r="F147" s="6">
        <v>8</v>
      </c>
      <c r="G147" s="6">
        <v>8</v>
      </c>
      <c r="H147" s="6">
        <v>8</v>
      </c>
      <c r="I147" s="6">
        <v>10</v>
      </c>
      <c r="J147" s="6">
        <v>8</v>
      </c>
      <c r="K147" s="6">
        <v>8</v>
      </c>
      <c r="L147" s="6">
        <v>8</v>
      </c>
      <c r="M147" s="6"/>
      <c r="N147" s="6">
        <v>8</v>
      </c>
      <c r="O147" s="6">
        <v>8</v>
      </c>
      <c r="P147" s="6">
        <v>10</v>
      </c>
      <c r="Q147" s="6">
        <v>8</v>
      </c>
      <c r="R147" s="6"/>
      <c r="S147" s="35">
        <f>SUM(F147:R147)</f>
        <v>92</v>
      </c>
      <c r="T147" s="35">
        <f>COUNT(F147:R147)</f>
        <v>11</v>
      </c>
      <c r="U147" s="36">
        <f>IF(T147&gt;=2,ROUND((IF(T147=2,0.55,IF(T147&lt;=4,0.7,IF(T147&lt;=6,0.8,IF(T147&lt;=9,0.9,1))))*(S147/T147)+(1-(IF(T147=2,0.55,IF(T147&lt;=4,0.7,IF(T147&lt;=6,0.8,IF(T147&lt;=9,0.9,1))))))*$Y$1),1),"")</f>
        <v>8.4</v>
      </c>
      <c r="V147" s="37">
        <v>7.2</v>
      </c>
      <c r="W147" s="38"/>
    </row>
    <row r="148" ht="24" customHeight="1" spans="1:23" x14ac:dyDescent="0.25">
      <c r="A148" s="31">
        <v>261</v>
      </c>
      <c r="B148" s="32" t="s">
        <v>196</v>
      </c>
      <c r="C148" s="33" t="s">
        <v>24</v>
      </c>
      <c r="D148" s="34">
        <v>2016</v>
      </c>
      <c r="E148" s="34" t="s">
        <v>30</v>
      </c>
      <c r="F148" s="6">
        <v>8</v>
      </c>
      <c r="G148" s="6">
        <v>8</v>
      </c>
      <c r="H148" s="6">
        <v>8</v>
      </c>
      <c r="I148" s="6"/>
      <c r="J148" s="6">
        <v>8</v>
      </c>
      <c r="K148" s="6">
        <v>10</v>
      </c>
      <c r="L148" s="6">
        <v>10</v>
      </c>
      <c r="M148" s="6">
        <v>8</v>
      </c>
      <c r="N148" s="6">
        <v>8</v>
      </c>
      <c r="O148" s="6"/>
      <c r="P148" s="6">
        <v>8</v>
      </c>
      <c r="Q148" s="6">
        <v>10</v>
      </c>
      <c r="R148" s="6"/>
      <c r="S148" s="35">
        <f>SUM(F148:R148)</f>
        <v>86</v>
      </c>
      <c r="T148" s="35">
        <f>COUNT(F148:R148)</f>
        <v>10</v>
      </c>
      <c r="U148" s="36">
        <f>IF(T148&gt;=2,ROUND((IF(T148=2,0.55,IF(T148&lt;=4,0.7,IF(T148&lt;=6,0.8,IF(T148&lt;=9,0.9,1))))*(S148/T148)+(1-(IF(T148=2,0.55,IF(T148&lt;=4,0.7,IF(T148&lt;=6,0.8,IF(T148&lt;=9,0.9,1))))))*$Y$1),1),"")</f>
        <v>8.6</v>
      </c>
      <c r="V148" s="37">
        <v>8</v>
      </c>
      <c r="W148" s="38"/>
    </row>
    <row r="149" ht="24" customHeight="1" spans="1:23" x14ac:dyDescent="0.25">
      <c r="A149" s="31">
        <v>1638</v>
      </c>
      <c r="B149" s="32" t="s">
        <v>197</v>
      </c>
      <c r="C149" s="33" t="s">
        <v>29</v>
      </c>
      <c r="D149" s="34">
        <v>2023</v>
      </c>
      <c r="E149" s="34" t="s">
        <v>30</v>
      </c>
      <c r="F149" s="6"/>
      <c r="G149" s="6"/>
      <c r="H149" s="6"/>
      <c r="I149" s="6"/>
      <c r="J149" s="6"/>
      <c r="K149" s="6"/>
      <c r="L149" s="6"/>
      <c r="M149" s="6"/>
      <c r="N149" s="6"/>
      <c r="O149" s="6">
        <v>7</v>
      </c>
      <c r="P149" s="6"/>
      <c r="Q149" s="6"/>
      <c r="R149" s="6"/>
      <c r="S149" s="35">
        <f>SUM(F149:R149)</f>
        <v>7</v>
      </c>
      <c r="T149" s="35">
        <f>COUNT(F149:R149)</f>
        <v>1</v>
      </c>
      <c r="U149" s="36">
        <f>IF(T149&gt;=2,ROUND((IF(T149=2,0.55,IF(T149&lt;=4,0.7,IF(T149&lt;=6,0.8,IF(T149&lt;=9,0.9,1))))*(S149/T149)+(1-(IF(T149=2,0.55,IF(T149&lt;=4,0.7,IF(T149&lt;=6,0.8,IF(T149&lt;=9,0.9,1))))))*$Y$1),1),"")</f>
      </c>
      <c r="V149" s="37">
        <v>7.4</v>
      </c>
      <c r="W149" s="38"/>
    </row>
    <row r="150" ht="24" customHeight="1" spans="1:23" x14ac:dyDescent="0.25">
      <c r="A150" s="31">
        <v>1994</v>
      </c>
      <c r="B150" s="32" t="s">
        <v>198</v>
      </c>
      <c r="C150" s="33" t="s">
        <v>24</v>
      </c>
      <c r="D150" s="34">
        <v>2024</v>
      </c>
      <c r="E150" s="34" t="s">
        <v>48</v>
      </c>
      <c r="F150" s="6"/>
      <c r="G150" s="6">
        <v>8</v>
      </c>
      <c r="H150" s="6"/>
      <c r="I150" s="6"/>
      <c r="J150" s="6"/>
      <c r="K150" s="6"/>
      <c r="L150" s="6"/>
      <c r="M150" s="6"/>
      <c r="N150" s="6">
        <v>8</v>
      </c>
      <c r="O150" s="6"/>
      <c r="P150" s="6"/>
      <c r="Q150" s="6"/>
      <c r="R150" s="6"/>
      <c r="S150" s="35">
        <f>SUM(F150:R150)</f>
        <v>16</v>
      </c>
      <c r="T150" s="35">
        <f>COUNT(F150:R150)</f>
        <v>2</v>
      </c>
      <c r="U150" s="36">
        <f>IF(T150&gt;=2,ROUND((IF(T150=2,0.55,IF(T150&lt;=4,0.7,IF(T150&lt;=6,0.8,IF(T150&lt;=9,0.9,1))))*(S150/T150)+(1-(IF(T150=2,0.55,IF(T150&lt;=4,0.7,IF(T150&lt;=6,0.8,IF(T150&lt;=9,0.9,1))))))*$Y$1),1),"")</f>
        <v>8</v>
      </c>
      <c r="V150" s="37">
        <v>7.3</v>
      </c>
      <c r="W150" s="38"/>
    </row>
    <row r="151" ht="24" customHeight="1" spans="1:23" x14ac:dyDescent="0.25">
      <c r="A151" s="31">
        <v>1171</v>
      </c>
      <c r="B151" s="32" t="s">
        <v>199</v>
      </c>
      <c r="C151" s="33" t="s">
        <v>24</v>
      </c>
      <c r="D151" s="34">
        <v>2021</v>
      </c>
      <c r="E151" s="34" t="s">
        <v>30</v>
      </c>
      <c r="F151" s="6"/>
      <c r="G151" s="6"/>
      <c r="H151" s="6"/>
      <c r="I151" s="6"/>
      <c r="J151" s="6"/>
      <c r="K151" s="6"/>
      <c r="L151" s="6"/>
      <c r="M151" s="6">
        <v>8</v>
      </c>
      <c r="N151" s="6"/>
      <c r="O151" s="6">
        <v>8</v>
      </c>
      <c r="P151" s="6"/>
      <c r="Q151" s="6"/>
      <c r="R151" s="6"/>
      <c r="S151" s="35">
        <f>SUM(F151:R151)</f>
        <v>16</v>
      </c>
      <c r="T151" s="35">
        <f>COUNT(F151:R151)</f>
        <v>2</v>
      </c>
      <c r="U151" s="36">
        <f>IF(T151&gt;=2,ROUND((IF(T151=2,0.55,IF(T151&lt;=4,0.7,IF(T151&lt;=6,0.8,IF(T151&lt;=9,0.9,1))))*(S151/T151)+(1-(IF(T151=2,0.55,IF(T151&lt;=4,0.7,IF(T151&lt;=6,0.8,IF(T151&lt;=9,0.9,1))))))*$Y$1),1),"")</f>
        <v>8</v>
      </c>
      <c r="V151" s="37">
        <v>5.6</v>
      </c>
      <c r="W151" s="38"/>
    </row>
    <row r="152" ht="24" customHeight="1" spans="1:23" x14ac:dyDescent="0.25">
      <c r="A152" s="40">
        <v>2121</v>
      </c>
      <c r="B152" s="32" t="s">
        <v>200</v>
      </c>
      <c r="C152" s="33" t="s">
        <v>24</v>
      </c>
      <c r="D152" s="34">
        <v>2001</v>
      </c>
      <c r="E152" s="41"/>
      <c r="F152" s="6"/>
      <c r="G152" s="6">
        <v>7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35">
        <f>SUM(F152:R152)</f>
        <v>7</v>
      </c>
      <c r="T152" s="35">
        <f>COUNT(F152:R152)</f>
        <v>1</v>
      </c>
      <c r="U152" s="36">
        <f>IF(T152&gt;=2,ROUND((IF(T152=2,0.55,IF(T152&lt;=4,0.7,IF(T152&lt;=6,0.8,IF(T152&lt;=9,0.9,1))))*(S152/T152)+(1-(IF(T152=2,0.55,IF(T152&lt;=4,0.7,IF(T152&lt;=6,0.8,IF(T152&lt;=9,0.9,1))))))*$Y$1),1),"")</f>
      </c>
      <c r="V152" s="37">
        <v>7.3</v>
      </c>
      <c r="W152" s="38"/>
    </row>
    <row r="153" ht="24" customHeight="1" spans="1:23" x14ac:dyDescent="0.25">
      <c r="A153" s="31">
        <v>885</v>
      </c>
      <c r="B153" s="32" t="s">
        <v>201</v>
      </c>
      <c r="C153" s="33" t="s">
        <v>24</v>
      </c>
      <c r="D153" s="34">
        <v>2020</v>
      </c>
      <c r="E153" s="34" t="s">
        <v>30</v>
      </c>
      <c r="F153" s="6"/>
      <c r="G153" s="6"/>
      <c r="H153" s="6"/>
      <c r="I153" s="6"/>
      <c r="J153" s="6"/>
      <c r="K153" s="6"/>
      <c r="L153" s="6"/>
      <c r="M153" s="6"/>
      <c r="N153" s="6"/>
      <c r="O153" s="6">
        <v>6</v>
      </c>
      <c r="P153" s="6"/>
      <c r="Q153" s="6"/>
      <c r="R153" s="6"/>
      <c r="S153" s="35">
        <f>SUM(F153:R153)</f>
        <v>6</v>
      </c>
      <c r="T153" s="35">
        <f>COUNT(F153:R153)</f>
        <v>1</v>
      </c>
      <c r="U153" s="36">
        <f>IF(T153&gt;=2,ROUND((IF(T153=2,0.55,IF(T153&lt;=4,0.7,IF(T153&lt;=6,0.8,IF(T153&lt;=9,0.9,1))))*(S153/T153)+(1-(IF(T153=2,0.55,IF(T153&lt;=4,0.7,IF(T153&lt;=6,0.8,IF(T153&lt;=9,0.9,1))))))*$Y$1),1),"")</f>
      </c>
      <c r="V153" s="37">
        <v>5.9</v>
      </c>
      <c r="W153" s="38"/>
    </row>
    <row r="154" ht="24" customHeight="1" spans="1:23" s="39" customFormat="1" x14ac:dyDescent="0.25">
      <c r="A154" s="31">
        <v>556</v>
      </c>
      <c r="B154" s="32" t="s">
        <v>202</v>
      </c>
      <c r="C154" s="33" t="s">
        <v>24</v>
      </c>
      <c r="D154" s="34">
        <v>2006</v>
      </c>
      <c r="E154" s="34" t="s">
        <v>179</v>
      </c>
      <c r="F154" s="6"/>
      <c r="G154" s="6">
        <v>8</v>
      </c>
      <c r="H154" s="6"/>
      <c r="I154" s="6"/>
      <c r="J154" s="6"/>
      <c r="K154" s="6">
        <v>10</v>
      </c>
      <c r="L154" s="6"/>
      <c r="M154" s="6"/>
      <c r="N154" s="6"/>
      <c r="O154" s="6"/>
      <c r="P154" s="6">
        <v>8</v>
      </c>
      <c r="Q154" s="6">
        <v>10</v>
      </c>
      <c r="R154" s="6"/>
      <c r="S154" s="35">
        <f>SUM(F154:R154)</f>
        <v>36</v>
      </c>
      <c r="T154" s="35">
        <f>COUNT(F154:R154)</f>
        <v>4</v>
      </c>
      <c r="U154" s="36">
        <f>IF(T154&gt;=2,ROUND((IF(T154=2,0.55,IF(T154&lt;=4,0.7,IF(T154&lt;=6,0.8,IF(T154&lt;=9,0.9,1))))*(S154/T154)+(1-(IF(T154=2,0.55,IF(T154&lt;=4,0.7,IF(T154&lt;=6,0.8,IF(T154&lt;=9,0.9,1))))))*$Y$1),1),"")</f>
        <v>8.7</v>
      </c>
      <c r="V154" s="37">
        <v>6.9</v>
      </c>
      <c r="W154" s="38"/>
    </row>
    <row r="155" ht="24" customHeight="1" spans="1:23" x14ac:dyDescent="0.25">
      <c r="A155" s="31">
        <v>963</v>
      </c>
      <c r="B155" s="32" t="s">
        <v>203</v>
      </c>
      <c r="C155" s="33" t="s">
        <v>24</v>
      </c>
      <c r="D155" s="34">
        <v>2013</v>
      </c>
      <c r="E155" s="34" t="s">
        <v>27</v>
      </c>
      <c r="F155" s="6">
        <v>7</v>
      </c>
      <c r="G155" s="6"/>
      <c r="H155" s="6"/>
      <c r="I155" s="6"/>
      <c r="J155" s="6"/>
      <c r="K155" s="6">
        <v>6</v>
      </c>
      <c r="L155" s="6">
        <v>6</v>
      </c>
      <c r="M155" s="6"/>
      <c r="N155" s="6"/>
      <c r="O155" s="6">
        <v>6</v>
      </c>
      <c r="P155" s="6"/>
      <c r="Q155" s="6">
        <v>6</v>
      </c>
      <c r="R155" s="6"/>
      <c r="S155" s="35">
        <f>SUM(F155:R155)</f>
        <v>31</v>
      </c>
      <c r="T155" s="35">
        <f>COUNT(F155:R155)</f>
        <v>5</v>
      </c>
      <c r="U155" s="36">
        <f>IF(T155&gt;=2,ROUND((IF(T155=2,0.55,IF(T155&lt;=4,0.7,IF(T155&lt;=6,0.8,IF(T155&lt;=9,0.9,1))))*(S155/T155)+(1-(IF(T155=2,0.55,IF(T155&lt;=4,0.7,IF(T155&lt;=6,0.8,IF(T155&lt;=9,0.9,1))))))*$Y$1),1),"")</f>
        <v>6.6</v>
      </c>
      <c r="V155" s="37">
        <v>6.3</v>
      </c>
      <c r="W155" s="38"/>
    </row>
    <row r="156" ht="24" customHeight="1" spans="1:23" x14ac:dyDescent="0.25">
      <c r="A156" s="31">
        <v>1339</v>
      </c>
      <c r="B156" s="32" t="s">
        <v>204</v>
      </c>
      <c r="C156" s="33" t="s">
        <v>24</v>
      </c>
      <c r="D156" s="34">
        <v>2018</v>
      </c>
      <c r="E156" s="34" t="s">
        <v>30</v>
      </c>
      <c r="F156" s="6"/>
      <c r="G156" s="6"/>
      <c r="H156" s="6"/>
      <c r="I156" s="6">
        <v>8</v>
      </c>
      <c r="J156" s="6"/>
      <c r="K156" s="6">
        <v>8</v>
      </c>
      <c r="L156" s="6"/>
      <c r="M156" s="6"/>
      <c r="N156" s="6"/>
      <c r="O156" s="6"/>
      <c r="P156" s="6"/>
      <c r="Q156" s="6">
        <v>8</v>
      </c>
      <c r="R156" s="6"/>
      <c r="S156" s="35">
        <f>SUM(F156:R156)</f>
        <v>24</v>
      </c>
      <c r="T156" s="35">
        <f>COUNT(F156:R156)</f>
        <v>3</v>
      </c>
      <c r="U156" s="36">
        <f>IF(T156&gt;=2,ROUND((IF(T156=2,0.55,IF(T156&lt;=4,0.7,IF(T156&lt;=6,0.8,IF(T156&lt;=9,0.9,1))))*(S156/T156)+(1-(IF(T156=2,0.55,IF(T156&lt;=4,0.7,IF(T156&lt;=6,0.8,IF(T156&lt;=9,0.9,1))))))*$Y$1),1),"")</f>
        <v>8</v>
      </c>
      <c r="V156" s="37">
        <v>6.9</v>
      </c>
      <c r="W156" s="38"/>
    </row>
    <row r="157" ht="24" customHeight="1" spans="1:23" x14ac:dyDescent="0.25">
      <c r="A157" s="31">
        <v>1133</v>
      </c>
      <c r="B157" s="32" t="s">
        <v>205</v>
      </c>
      <c r="C157" s="33" t="s">
        <v>24</v>
      </c>
      <c r="D157" s="34">
        <v>2010</v>
      </c>
      <c r="E157" s="34" t="s">
        <v>27</v>
      </c>
      <c r="F157" s="6">
        <v>8</v>
      </c>
      <c r="G157" s="6"/>
      <c r="H157" s="6"/>
      <c r="I157" s="6"/>
      <c r="J157" s="6">
        <v>8</v>
      </c>
      <c r="K157" s="6">
        <v>6</v>
      </c>
      <c r="L157" s="6">
        <v>6</v>
      </c>
      <c r="M157" s="6"/>
      <c r="N157" s="6"/>
      <c r="O157" s="6">
        <v>8</v>
      </c>
      <c r="P157" s="6"/>
      <c r="Q157" s="6">
        <v>6</v>
      </c>
      <c r="R157" s="6"/>
      <c r="S157" s="35">
        <f>SUM(F157:R157)</f>
        <v>42</v>
      </c>
      <c r="T157" s="35">
        <f>COUNT(F157:R157)</f>
        <v>6</v>
      </c>
      <c r="U157" s="36">
        <f>IF(T157&gt;=2,ROUND((IF(T157=2,0.55,IF(T157&lt;=4,0.7,IF(T157&lt;=6,0.8,IF(T157&lt;=9,0.9,1))))*(S157/T157)+(1-(IF(T157=2,0.55,IF(T157&lt;=4,0.7,IF(T157&lt;=6,0.8,IF(T157&lt;=9,0.9,1))))))*$Y$1),1),"")</f>
        <v>7.2</v>
      </c>
      <c r="V157" s="37">
        <v>7</v>
      </c>
      <c r="W157" s="38"/>
    </row>
    <row r="158" ht="24" customHeight="1" spans="1:23" s="39" customFormat="1" x14ac:dyDescent="0.25">
      <c r="A158" s="31">
        <v>657</v>
      </c>
      <c r="B158" s="32" t="s">
        <v>206</v>
      </c>
      <c r="C158" s="33" t="s">
        <v>24</v>
      </c>
      <c r="D158" s="34">
        <v>2017</v>
      </c>
      <c r="E158" s="34" t="s">
        <v>52</v>
      </c>
      <c r="F158" s="6">
        <v>7</v>
      </c>
      <c r="G158" s="6"/>
      <c r="H158" s="6"/>
      <c r="I158" s="6"/>
      <c r="J158" s="6">
        <v>8</v>
      </c>
      <c r="K158" s="6">
        <v>10</v>
      </c>
      <c r="L158" s="6"/>
      <c r="M158" s="6"/>
      <c r="N158" s="6"/>
      <c r="O158" s="6">
        <v>7</v>
      </c>
      <c r="P158" s="6"/>
      <c r="Q158" s="6">
        <v>10</v>
      </c>
      <c r="R158" s="6"/>
      <c r="S158" s="35">
        <f>SUM(F158:R158)</f>
        <v>42</v>
      </c>
      <c r="T158" s="35">
        <f>COUNT(F158:R158)</f>
        <v>5</v>
      </c>
      <c r="U158" s="36">
        <f>IF(T158&gt;=2,ROUND((IF(T158=2,0.55,IF(T158&lt;=4,0.7,IF(T158&lt;=6,0.8,IF(T158&lt;=9,0.9,1))))*(S158/T158)+(1-(IF(T158=2,0.55,IF(T158&lt;=4,0.7,IF(T158&lt;=6,0.8,IF(T158&lt;=9,0.9,1))))))*$Y$1),1),"")</f>
        <v>8.3</v>
      </c>
      <c r="V158" s="37">
        <v>6.7</v>
      </c>
      <c r="W158" s="38"/>
    </row>
    <row r="159" ht="24" customHeight="1" spans="1:23" x14ac:dyDescent="0.25">
      <c r="A159" s="31">
        <v>301</v>
      </c>
      <c r="B159" s="32" t="s">
        <v>207</v>
      </c>
      <c r="C159" s="33" t="s">
        <v>24</v>
      </c>
      <c r="D159" s="34">
        <v>2002</v>
      </c>
      <c r="E159" s="34" t="s">
        <v>137</v>
      </c>
      <c r="F159" s="6"/>
      <c r="G159" s="6"/>
      <c r="H159" s="6"/>
      <c r="I159" s="6"/>
      <c r="J159" s="6"/>
      <c r="K159" s="6">
        <v>6</v>
      </c>
      <c r="L159" s="6"/>
      <c r="M159" s="6"/>
      <c r="N159" s="6"/>
      <c r="O159" s="6"/>
      <c r="P159" s="6"/>
      <c r="Q159" s="6">
        <v>6</v>
      </c>
      <c r="R159" s="6"/>
      <c r="S159" s="35">
        <f>SUM(F159:R159)</f>
        <v>12</v>
      </c>
      <c r="T159" s="35">
        <f>COUNT(F159:R159)</f>
        <v>2</v>
      </c>
      <c r="U159" s="36">
        <f>IF(T159&gt;=2,ROUND((IF(T159=2,0.55,IF(T159&lt;=4,0.7,IF(T159&lt;=6,0.8,IF(T159&lt;=9,0.9,1))))*(S159/T159)+(1-(IF(T159=2,0.55,IF(T159&lt;=4,0.7,IF(T159&lt;=6,0.8,IF(T159&lt;=9,0.9,1))))))*$Y$1),1),"")</f>
        <v>6.9</v>
      </c>
      <c r="V159" s="37">
        <v>7.1</v>
      </c>
      <c r="W159" s="38"/>
    </row>
    <row r="160" ht="24" customHeight="1" spans="1:23" x14ac:dyDescent="0.25">
      <c r="A160" s="40">
        <v>2265</v>
      </c>
      <c r="B160" s="32" t="s">
        <v>208</v>
      </c>
      <c r="C160" s="33" t="s">
        <v>24</v>
      </c>
      <c r="D160" s="34">
        <v>2010</v>
      </c>
      <c r="E160" s="41"/>
      <c r="F160" s="6"/>
      <c r="G160" s="6">
        <v>7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35">
        <f>SUM(F160:R160)</f>
        <v>7</v>
      </c>
      <c r="T160" s="35">
        <f>COUNT(F160:R160)</f>
        <v>1</v>
      </c>
      <c r="U160" s="36">
        <f>IF(T160&gt;=2,ROUND((IF(T160=2,0.55,IF(T160&lt;=4,0.7,IF(T160&lt;=6,0.8,IF(T160&lt;=9,0.9,1))))*(S160/T160)+(1-(IF(T160=2,0.55,IF(T160&lt;=4,0.7,IF(T160&lt;=6,0.8,IF(T160&lt;=9,0.9,1))))))*$Y$1),1),"")</f>
      </c>
      <c r="V160" s="37">
        <v>7.4</v>
      </c>
      <c r="W160" s="38"/>
    </row>
    <row r="161" ht="24" customHeight="1" spans="1:23" x14ac:dyDescent="0.25">
      <c r="A161" s="31">
        <v>1817</v>
      </c>
      <c r="B161" s="32" t="s">
        <v>209</v>
      </c>
      <c r="C161" s="33" t="s">
        <v>24</v>
      </c>
      <c r="D161" s="34">
        <v>1990</v>
      </c>
      <c r="E161" s="34" t="s">
        <v>25</v>
      </c>
      <c r="F161" s="6"/>
      <c r="G161" s="6"/>
      <c r="H161" s="6"/>
      <c r="I161" s="6"/>
      <c r="J161" s="6"/>
      <c r="K161" s="6"/>
      <c r="L161" s="6">
        <v>8</v>
      </c>
      <c r="M161" s="6"/>
      <c r="N161" s="6"/>
      <c r="O161" s="6">
        <v>7</v>
      </c>
      <c r="P161" s="6"/>
      <c r="Q161" s="6"/>
      <c r="R161" s="6"/>
      <c r="S161" s="35">
        <f>SUM(F161:R161)</f>
        <v>15</v>
      </c>
      <c r="T161" s="35">
        <f>COUNT(F161:R161)</f>
        <v>2</v>
      </c>
      <c r="U161" s="36">
        <f>IF(T161&gt;=2,ROUND((IF(T161=2,0.55,IF(T161&lt;=4,0.7,IF(T161&lt;=6,0.8,IF(T161&lt;=9,0.9,1))))*(S161/T161)+(1-(IF(T161=2,0.55,IF(T161&lt;=4,0.7,IF(T161&lt;=6,0.8,IF(T161&lt;=9,0.9,1))))))*$Y$1),1),"")</f>
        <v>7.8</v>
      </c>
      <c r="V161" s="37">
        <v>7.4</v>
      </c>
      <c r="W161" s="38"/>
    </row>
    <row r="162" ht="24" customHeight="1" spans="1:23" x14ac:dyDescent="0.25">
      <c r="A162" s="42">
        <v>274</v>
      </c>
      <c r="B162" s="32" t="s">
        <v>210</v>
      </c>
      <c r="C162" s="43" t="s">
        <v>24</v>
      </c>
      <c r="D162" s="44">
        <v>2018</v>
      </c>
      <c r="E162" s="44" t="s">
        <v>211</v>
      </c>
      <c r="F162" s="6">
        <v>10</v>
      </c>
      <c r="G162" s="6">
        <v>8</v>
      </c>
      <c r="H162" s="6">
        <v>10</v>
      </c>
      <c r="I162" s="6">
        <v>10</v>
      </c>
      <c r="J162" s="6">
        <v>10</v>
      </c>
      <c r="K162" s="6">
        <v>10</v>
      </c>
      <c r="L162" s="6">
        <v>8</v>
      </c>
      <c r="M162" s="6">
        <v>10</v>
      </c>
      <c r="N162" s="6">
        <v>10</v>
      </c>
      <c r="O162" s="6"/>
      <c r="P162" s="6">
        <v>6</v>
      </c>
      <c r="Q162" s="6">
        <v>10</v>
      </c>
      <c r="R162" s="6">
        <v>10</v>
      </c>
      <c r="S162" s="45">
        <f>SUM(F162:R162)</f>
        <v>112</v>
      </c>
      <c r="T162" s="45">
        <f>COUNT(F162:R162)</f>
        <v>12</v>
      </c>
      <c r="U162" s="36">
        <f>IF(T162&gt;=2,ROUND((IF(T162=2,0.55,IF(T162&lt;=4,0.7,IF(T162&lt;=6,0.8,IF(T162&lt;=9,0.9,1))))*(S162/T162)+(1-(IF(T162=2,0.55,IF(T162&lt;=4,0.7,IF(T162&lt;=6,0.8,IF(T162&lt;=9,0.9,1))))))*$Y$1),1),"")</f>
        <v>9.3</v>
      </c>
      <c r="V162" s="37">
        <v>7</v>
      </c>
      <c r="W162" s="38" t="s">
        <v>44</v>
      </c>
    </row>
    <row r="163" ht="24" customHeight="1" spans="1:23" x14ac:dyDescent="0.25">
      <c r="A163" s="31">
        <v>280</v>
      </c>
      <c r="B163" s="32" t="s">
        <v>212</v>
      </c>
      <c r="C163" s="33" t="s">
        <v>24</v>
      </c>
      <c r="D163" s="34">
        <v>2018</v>
      </c>
      <c r="E163" s="34" t="s">
        <v>27</v>
      </c>
      <c r="F163" s="6"/>
      <c r="G163" s="6"/>
      <c r="H163" s="6"/>
      <c r="I163" s="6"/>
      <c r="J163" s="6"/>
      <c r="K163" s="6">
        <v>4</v>
      </c>
      <c r="L163" s="6"/>
      <c r="M163" s="6"/>
      <c r="N163" s="6"/>
      <c r="O163" s="6"/>
      <c r="P163" s="6"/>
      <c r="Q163" s="6">
        <v>4</v>
      </c>
      <c r="R163" s="6"/>
      <c r="S163" s="35">
        <f>SUM(F163:R163)</f>
        <v>8</v>
      </c>
      <c r="T163" s="35">
        <f>COUNT(F163:R163)</f>
        <v>2</v>
      </c>
      <c r="U163" s="36">
        <f>IF(T163&gt;=2,ROUND((IF(T163=2,0.55,IF(T163&lt;=4,0.7,IF(T163&lt;=6,0.8,IF(T163&lt;=9,0.9,1))))*(S163/T163)+(1-(IF(T163=2,0.55,IF(T163&lt;=4,0.7,IF(T163&lt;=6,0.8,IF(T163&lt;=9,0.9,1))))))*$Y$1),1),"")</f>
        <v>5.8</v>
      </c>
      <c r="V163" s="37">
        <v>5.2</v>
      </c>
      <c r="W163" s="38"/>
    </row>
    <row r="164" ht="24" customHeight="1" spans="1:23" x14ac:dyDescent="0.25">
      <c r="A164" s="31">
        <v>1978</v>
      </c>
      <c r="B164" s="32" t="s">
        <v>213</v>
      </c>
      <c r="C164" s="33" t="s">
        <v>24</v>
      </c>
      <c r="D164" s="34">
        <v>2012</v>
      </c>
      <c r="E164" s="34" t="s">
        <v>25</v>
      </c>
      <c r="F164" s="6"/>
      <c r="G164" s="6">
        <v>6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35">
        <f>SUM(F164:R164)</f>
        <v>6</v>
      </c>
      <c r="T164" s="35">
        <f>COUNT(F164:R164)</f>
        <v>1</v>
      </c>
      <c r="U164" s="36">
        <f>IF(T164&gt;=2,ROUND((IF(T164=2,0.55,IF(T164&lt;=4,0.7,IF(T164&lt;=6,0.8,IF(T164&lt;=9,0.9,1))))*(S164/T164)+(1-(IF(T164=2,0.55,IF(T164&lt;=4,0.7,IF(T164&lt;=6,0.8,IF(T164&lt;=9,0.9,1))))))*$Y$1),1),"")</f>
      </c>
      <c r="V164" s="37">
        <v>7</v>
      </c>
      <c r="W164" s="38"/>
    </row>
    <row r="165" ht="24" customHeight="1" spans="1:23" x14ac:dyDescent="0.25">
      <c r="A165" s="31">
        <v>1699</v>
      </c>
      <c r="B165" s="32" t="s">
        <v>214</v>
      </c>
      <c r="C165" s="33" t="s">
        <v>24</v>
      </c>
      <c r="D165" s="34">
        <v>2023</v>
      </c>
      <c r="E165" s="34" t="s">
        <v>30</v>
      </c>
      <c r="F165" s="6"/>
      <c r="G165" s="6"/>
      <c r="H165" s="6"/>
      <c r="I165" s="6"/>
      <c r="J165" s="6"/>
      <c r="K165" s="6"/>
      <c r="L165" s="6"/>
      <c r="M165" s="6">
        <v>7</v>
      </c>
      <c r="N165" s="6"/>
      <c r="O165" s="6">
        <v>7</v>
      </c>
      <c r="P165" s="6"/>
      <c r="Q165" s="6"/>
      <c r="R165" s="6"/>
      <c r="S165" s="35">
        <f>SUM(F165:R165)</f>
        <v>14</v>
      </c>
      <c r="T165" s="35">
        <f>COUNT(F165:R165)</f>
        <v>2</v>
      </c>
      <c r="U165" s="36">
        <f>IF(T165&gt;=2,ROUND((IF(T165=2,0.55,IF(T165&lt;=4,0.7,IF(T165&lt;=6,0.8,IF(T165&lt;=9,0.9,1))))*(S165/T165)+(1-(IF(T165=2,0.55,IF(T165&lt;=4,0.7,IF(T165&lt;=6,0.8,IF(T165&lt;=9,0.9,1))))))*$Y$1),1),"")</f>
        <v>7.5</v>
      </c>
      <c r="V165" s="37">
        <v>5.3</v>
      </c>
      <c r="W165" s="38"/>
    </row>
    <row r="166" ht="24" customHeight="1" spans="1:23" x14ac:dyDescent="0.25">
      <c r="A166" s="31">
        <v>133</v>
      </c>
      <c r="B166" s="32" t="s">
        <v>215</v>
      </c>
      <c r="C166" s="33" t="s">
        <v>24</v>
      </c>
      <c r="D166" s="34">
        <v>2018</v>
      </c>
      <c r="E166" s="34" t="s">
        <v>27</v>
      </c>
      <c r="F166" s="6"/>
      <c r="G166" s="6"/>
      <c r="H166" s="6"/>
      <c r="I166" s="6"/>
      <c r="J166" s="6">
        <v>8</v>
      </c>
      <c r="K166" s="6">
        <v>6</v>
      </c>
      <c r="L166" s="6">
        <v>6</v>
      </c>
      <c r="M166" s="6"/>
      <c r="N166" s="6"/>
      <c r="O166" s="6"/>
      <c r="P166" s="6"/>
      <c r="Q166" s="6">
        <v>6</v>
      </c>
      <c r="R166" s="6"/>
      <c r="S166" s="35">
        <f>SUM(F166:R166)</f>
        <v>26</v>
      </c>
      <c r="T166" s="35">
        <f>COUNT(F166:R166)</f>
        <v>4</v>
      </c>
      <c r="U166" s="36">
        <f>IF(T166&gt;=2,ROUND((IF(T166=2,0.55,IF(T166&lt;=4,0.7,IF(T166&lt;=6,0.8,IF(T166&lt;=9,0.9,1))))*(S166/T166)+(1-(IF(T166=2,0.55,IF(T166&lt;=4,0.7,IF(T166&lt;=6,0.8,IF(T166&lt;=9,0.9,1))))))*$Y$1),1),"")</f>
        <v>7</v>
      </c>
      <c r="V166" s="37">
        <v>6.9</v>
      </c>
      <c r="W166" s="38"/>
    </row>
    <row r="167" ht="24" customHeight="1" spans="1:23" x14ac:dyDescent="0.25">
      <c r="A167" s="31">
        <v>2044</v>
      </c>
      <c r="B167" s="32" t="s">
        <v>216</v>
      </c>
      <c r="C167" s="33" t="s">
        <v>29</v>
      </c>
      <c r="D167" s="34">
        <v>2025</v>
      </c>
      <c r="E167" s="41"/>
      <c r="F167" s="6"/>
      <c r="G167" s="6"/>
      <c r="H167" s="6"/>
      <c r="I167" s="6"/>
      <c r="J167" s="6"/>
      <c r="K167" s="6"/>
      <c r="L167" s="6"/>
      <c r="M167" s="6">
        <v>8</v>
      </c>
      <c r="N167" s="6"/>
      <c r="O167" s="6">
        <v>8</v>
      </c>
      <c r="P167" s="6"/>
      <c r="Q167" s="6"/>
      <c r="R167" s="6"/>
      <c r="S167" s="35">
        <f>SUM(F167:R167)</f>
        <v>16</v>
      </c>
      <c r="T167" s="35">
        <f>COUNT(F167:R167)</f>
        <v>2</v>
      </c>
      <c r="U167" s="36">
        <f>IF(T167&gt;=2,ROUND((IF(T167=2,0.55,IF(T167&lt;=4,0.7,IF(T167&lt;=6,0.8,IF(T167&lt;=9,0.9,1))))*(S167/T167)+(1-(IF(T167=2,0.55,IF(T167&lt;=4,0.7,IF(T167&lt;=6,0.8,IF(T167&lt;=9,0.9,1))))))*$Y$1),1),"")</f>
        <v>8</v>
      </c>
      <c r="V167" s="37">
        <v>6.3</v>
      </c>
      <c r="W167" s="38"/>
    </row>
    <row r="168" ht="24" customHeight="1" spans="1:23" s="39" customFormat="1" x14ac:dyDescent="0.25">
      <c r="A168" s="31">
        <v>273</v>
      </c>
      <c r="B168" s="32" t="s">
        <v>217</v>
      </c>
      <c r="C168" s="33" t="s">
        <v>24</v>
      </c>
      <c r="D168" s="34">
        <v>1999</v>
      </c>
      <c r="E168" s="34" t="s">
        <v>52</v>
      </c>
      <c r="F168" s="6"/>
      <c r="G168" s="6">
        <v>8</v>
      </c>
      <c r="H168" s="6"/>
      <c r="I168" s="6"/>
      <c r="J168" s="6">
        <v>8</v>
      </c>
      <c r="K168" s="6">
        <v>10</v>
      </c>
      <c r="L168" s="6">
        <v>8</v>
      </c>
      <c r="M168" s="6"/>
      <c r="N168" s="6"/>
      <c r="O168" s="6"/>
      <c r="P168" s="6">
        <v>10</v>
      </c>
      <c r="Q168" s="6">
        <v>10</v>
      </c>
      <c r="R168" s="6"/>
      <c r="S168" s="35">
        <f>SUM(F168:R168)</f>
        <v>54</v>
      </c>
      <c r="T168" s="35">
        <f>COUNT(F168:R168)</f>
        <v>6</v>
      </c>
      <c r="U168" s="36">
        <f>IF(T168&gt;=2,ROUND((IF(T168=2,0.55,IF(T168&lt;=4,0.7,IF(T168&lt;=6,0.8,IF(T168&lt;=9,0.9,1))))*(S168/T168)+(1-(IF(T168=2,0.55,IF(T168&lt;=4,0.7,IF(T168&lt;=6,0.8,IF(T168&lt;=9,0.9,1))))))*$Y$1),1),"")</f>
        <v>8.8</v>
      </c>
      <c r="V168" s="37">
        <v>7.8</v>
      </c>
      <c r="W168" s="38"/>
    </row>
    <row r="169" ht="24" customHeight="1" spans="1:23" x14ac:dyDescent="0.25">
      <c r="A169" s="31">
        <v>745</v>
      </c>
      <c r="B169" s="32" t="s">
        <v>218</v>
      </c>
      <c r="C169" s="33" t="s">
        <v>24</v>
      </c>
      <c r="D169" s="34">
        <v>2008</v>
      </c>
      <c r="E169" s="34" t="s">
        <v>27</v>
      </c>
      <c r="F169" s="6"/>
      <c r="G169" s="6"/>
      <c r="H169" s="6"/>
      <c r="I169" s="6"/>
      <c r="J169" s="6"/>
      <c r="K169" s="6">
        <v>8</v>
      </c>
      <c r="L169" s="6"/>
      <c r="M169" s="6"/>
      <c r="N169" s="6"/>
      <c r="O169" s="6"/>
      <c r="P169" s="6"/>
      <c r="Q169" s="6">
        <v>8</v>
      </c>
      <c r="R169" s="6"/>
      <c r="S169" s="35">
        <f>SUM(F169:R169)</f>
        <v>16</v>
      </c>
      <c r="T169" s="35">
        <f>COUNT(F169:R169)</f>
        <v>2</v>
      </c>
      <c r="U169" s="36">
        <f>IF(T169&gt;=2,ROUND((IF(T169=2,0.55,IF(T169&lt;=4,0.7,IF(T169&lt;=6,0.8,IF(T169&lt;=9,0.9,1))))*(S169/T169)+(1-(IF(T169=2,0.55,IF(T169&lt;=4,0.7,IF(T169&lt;=6,0.8,IF(T169&lt;=9,0.9,1))))))*$Y$1),1),"")</f>
        <v>8</v>
      </c>
      <c r="V169" s="37">
        <v>7.1</v>
      </c>
      <c r="W169" s="38"/>
    </row>
    <row r="170" ht="24" customHeight="1" spans="1:23" s="39" customFormat="1" x14ac:dyDescent="0.25">
      <c r="A170" s="40">
        <v>2170</v>
      </c>
      <c r="B170" s="32" t="s">
        <v>219</v>
      </c>
      <c r="C170" s="33" t="s">
        <v>24</v>
      </c>
      <c r="D170" s="34">
        <v>2005</v>
      </c>
      <c r="E170" s="41"/>
      <c r="F170" s="6"/>
      <c r="G170" s="6">
        <v>7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35">
        <f>SUM(F170:R170)</f>
        <v>7</v>
      </c>
      <c r="T170" s="35">
        <f>COUNT(F170:R170)</f>
        <v>1</v>
      </c>
      <c r="U170" s="36">
        <f>IF(T170&gt;=2,ROUND((IF(T170=2,0.55,IF(T170&lt;=4,0.7,IF(T170&lt;=6,0.8,IF(T170&lt;=9,0.9,1))))*(S170/T170)+(1-(IF(T170=2,0.55,IF(T170&lt;=4,0.7,IF(T170&lt;=6,0.8,IF(T170&lt;=9,0.9,1))))))*$Y$1),1),"")</f>
      </c>
      <c r="V170" s="37">
        <v>6.2</v>
      </c>
      <c r="W170" s="38"/>
    </row>
    <row r="171" ht="24" customHeight="1" spans="1:23" x14ac:dyDescent="0.25">
      <c r="A171" s="31">
        <v>1285</v>
      </c>
      <c r="B171" s="32" t="s">
        <v>220</v>
      </c>
      <c r="C171" s="33" t="s">
        <v>24</v>
      </c>
      <c r="D171" s="34">
        <v>2009</v>
      </c>
      <c r="E171" s="34" t="s">
        <v>27</v>
      </c>
      <c r="F171" s="6"/>
      <c r="G171" s="6"/>
      <c r="H171" s="6"/>
      <c r="I171" s="6"/>
      <c r="J171" s="6">
        <v>7</v>
      </c>
      <c r="K171" s="6"/>
      <c r="L171" s="6"/>
      <c r="M171" s="6"/>
      <c r="N171" s="6"/>
      <c r="O171" s="6"/>
      <c r="P171" s="6"/>
      <c r="Q171" s="6"/>
      <c r="R171" s="6"/>
      <c r="S171" s="35">
        <f>SUM(F171:R171)</f>
        <v>7</v>
      </c>
      <c r="T171" s="35">
        <f>COUNT(F171:R171)</f>
        <v>1</v>
      </c>
      <c r="U171" s="36">
        <f>IF(T171&gt;=2,ROUND((IF(T171=2,0.55,IF(T171&lt;=4,0.7,IF(T171&lt;=6,0.8,IF(T171&lt;=9,0.9,1))))*(S171/T171)+(1-(IF(T171=2,0.55,IF(T171&lt;=4,0.7,IF(T171&lt;=6,0.8,IF(T171&lt;=9,0.9,1))))))*$Y$1),1),"")</f>
      </c>
      <c r="V171" s="37">
        <v>7.1</v>
      </c>
      <c r="W171" s="38"/>
    </row>
    <row r="172" ht="24" customHeight="1" spans="1:23" s="39" customFormat="1" x14ac:dyDescent="0.25">
      <c r="A172" s="31">
        <v>555</v>
      </c>
      <c r="B172" s="32" t="s">
        <v>221</v>
      </c>
      <c r="C172" s="33" t="s">
        <v>24</v>
      </c>
      <c r="D172" s="34">
        <v>2011</v>
      </c>
      <c r="E172" s="34" t="s">
        <v>25</v>
      </c>
      <c r="F172" s="6"/>
      <c r="G172" s="6">
        <v>8</v>
      </c>
      <c r="H172" s="6"/>
      <c r="I172" s="6"/>
      <c r="J172" s="6"/>
      <c r="K172" s="6"/>
      <c r="L172" s="6"/>
      <c r="M172" s="6"/>
      <c r="N172" s="6"/>
      <c r="O172" s="6"/>
      <c r="P172" s="6">
        <v>8</v>
      </c>
      <c r="Q172" s="6"/>
      <c r="R172" s="6"/>
      <c r="S172" s="35">
        <f>SUM(F172:R172)</f>
        <v>16</v>
      </c>
      <c r="T172" s="35">
        <f>COUNT(F172:R172)</f>
        <v>2</v>
      </c>
      <c r="U172" s="36">
        <f>IF(T172&gt;=2,ROUND((IF(T172=2,0.55,IF(T172&lt;=4,0.7,IF(T172&lt;=6,0.8,IF(T172&lt;=9,0.9,1))))*(S172/T172)+(1-(IF(T172=2,0.55,IF(T172&lt;=4,0.7,IF(T172&lt;=6,0.8,IF(T172&lt;=9,0.9,1))))))*$Y$1),1),"")</f>
        <v>8</v>
      </c>
      <c r="V172" s="37">
        <v>7.1</v>
      </c>
      <c r="W172" s="38"/>
    </row>
    <row r="173" ht="24" customHeight="1" spans="1:23" x14ac:dyDescent="0.25">
      <c r="A173" s="31">
        <v>1774</v>
      </c>
      <c r="B173" s="32" t="s">
        <v>222</v>
      </c>
      <c r="C173" s="33" t="s">
        <v>24</v>
      </c>
      <c r="D173" s="34">
        <v>2023</v>
      </c>
      <c r="E173" s="34" t="s">
        <v>141</v>
      </c>
      <c r="F173" s="6"/>
      <c r="G173" s="6"/>
      <c r="H173" s="6"/>
      <c r="I173" s="6"/>
      <c r="J173" s="6"/>
      <c r="K173" s="6"/>
      <c r="L173" s="6"/>
      <c r="M173" s="6"/>
      <c r="N173" s="6"/>
      <c r="O173" s="6">
        <v>9</v>
      </c>
      <c r="P173" s="6"/>
      <c r="Q173" s="6"/>
      <c r="R173" s="6"/>
      <c r="S173" s="35">
        <f>SUM(F173:R173)</f>
        <v>9</v>
      </c>
      <c r="T173" s="35">
        <f>COUNT(F173:R173)</f>
        <v>1</v>
      </c>
      <c r="U173" s="36">
        <f>IF(T173&gt;=2,ROUND((IF(T173=2,0.55,IF(T173&lt;=4,0.7,IF(T173&lt;=6,0.8,IF(T173&lt;=9,0.9,1))))*(S173/T173)+(1-(IF(T173=2,0.55,IF(T173&lt;=4,0.7,IF(T173&lt;=6,0.8,IF(T173&lt;=9,0.9,1))))))*$Y$1),1),"")</f>
      </c>
      <c r="V173" s="37">
        <v>6.5</v>
      </c>
      <c r="W173" s="38"/>
    </row>
    <row r="174" ht="24" customHeight="1" spans="1:23" x14ac:dyDescent="0.25">
      <c r="A174" s="31">
        <v>1546</v>
      </c>
      <c r="B174" s="32" t="s">
        <v>223</v>
      </c>
      <c r="C174" s="33" t="s">
        <v>24</v>
      </c>
      <c r="D174" s="34">
        <v>2016</v>
      </c>
      <c r="E174" s="34" t="s">
        <v>30</v>
      </c>
      <c r="F174" s="6">
        <v>6</v>
      </c>
      <c r="G174" s="6"/>
      <c r="H174" s="6"/>
      <c r="I174" s="6"/>
      <c r="J174" s="6"/>
      <c r="K174" s="6"/>
      <c r="L174" s="6"/>
      <c r="M174" s="6"/>
      <c r="N174" s="6"/>
      <c r="O174" s="6">
        <v>6</v>
      </c>
      <c r="P174" s="6"/>
      <c r="Q174" s="6"/>
      <c r="R174" s="6"/>
      <c r="S174" s="35">
        <f>SUM(F174:R174)</f>
        <v>12</v>
      </c>
      <c r="T174" s="35">
        <f>COUNT(F174:R174)</f>
        <v>2</v>
      </c>
      <c r="U174" s="36">
        <f>IF(T174&gt;=2,ROUND((IF(T174=2,0.55,IF(T174&lt;=4,0.7,IF(T174&lt;=6,0.8,IF(T174&lt;=9,0.9,1))))*(S174/T174)+(1-(IF(T174=2,0.55,IF(T174&lt;=4,0.7,IF(T174&lt;=6,0.8,IF(T174&lt;=9,0.9,1))))))*$Y$1),1),"")</f>
        <v>6.9</v>
      </c>
      <c r="V174" s="37">
        <v>6</v>
      </c>
      <c r="W174" s="38"/>
    </row>
    <row r="175" ht="24" customHeight="1" spans="1:23" s="39" customFormat="1" x14ac:dyDescent="0.25">
      <c r="A175" s="31">
        <v>1409</v>
      </c>
      <c r="B175" s="32" t="s">
        <v>224</v>
      </c>
      <c r="C175" s="33" t="s">
        <v>24</v>
      </c>
      <c r="D175" s="34">
        <v>2022</v>
      </c>
      <c r="E175" s="34" t="s">
        <v>27</v>
      </c>
      <c r="F175" s="6">
        <v>7</v>
      </c>
      <c r="G175" s="6">
        <v>7</v>
      </c>
      <c r="H175" s="6">
        <v>6</v>
      </c>
      <c r="I175" s="6"/>
      <c r="J175" s="6"/>
      <c r="K175" s="6">
        <v>6</v>
      </c>
      <c r="L175" s="6"/>
      <c r="M175" s="6">
        <v>6</v>
      </c>
      <c r="N175" s="6">
        <v>8</v>
      </c>
      <c r="O175" s="6"/>
      <c r="P175" s="6">
        <v>6</v>
      </c>
      <c r="Q175" s="6">
        <v>6</v>
      </c>
      <c r="R175" s="6"/>
      <c r="S175" s="35">
        <f>SUM(F175:R175)</f>
        <v>52</v>
      </c>
      <c r="T175" s="35">
        <f>COUNT(F175:R175)</f>
        <v>8</v>
      </c>
      <c r="U175" s="36">
        <f>IF(T175&gt;=2,ROUND((IF(T175=2,0.55,IF(T175&lt;=4,0.7,IF(T175&lt;=6,0.8,IF(T175&lt;=9,0.9,1))))*(S175/T175)+(1-(IF(T175=2,0.55,IF(T175&lt;=4,0.7,IF(T175&lt;=6,0.8,IF(T175&lt;=9,0.9,1))))))*$Y$1),1),"")</f>
        <v>6.7</v>
      </c>
      <c r="V175" s="37">
        <v>7.7</v>
      </c>
      <c r="W175" s="38"/>
    </row>
    <row r="176" ht="24" customHeight="1" spans="1:23" x14ac:dyDescent="0.25">
      <c r="A176" s="31">
        <v>1819</v>
      </c>
      <c r="B176" s="67" t="s">
        <v>225</v>
      </c>
      <c r="C176" s="33" t="s">
        <v>24</v>
      </c>
      <c r="D176" s="34">
        <v>2024</v>
      </c>
      <c r="E176" s="34" t="s">
        <v>30</v>
      </c>
      <c r="F176" s="6"/>
      <c r="G176" s="6"/>
      <c r="H176" s="6"/>
      <c r="I176" s="6"/>
      <c r="J176" s="6"/>
      <c r="K176" s="6">
        <v>6</v>
      </c>
      <c r="L176" s="6"/>
      <c r="M176" s="6"/>
      <c r="N176" s="6"/>
      <c r="O176" s="6"/>
      <c r="P176" s="6"/>
      <c r="Q176" s="6">
        <v>6</v>
      </c>
      <c r="R176" s="6"/>
      <c r="S176" s="35">
        <f>SUM(F176:R176)</f>
        <v>12</v>
      </c>
      <c r="T176" s="35">
        <f>COUNT(F176:R176)</f>
        <v>2</v>
      </c>
      <c r="U176" s="36">
        <f>IF(T176&gt;=2,ROUND((IF(T176=2,0.55,IF(T176&lt;=4,0.7,IF(T176&lt;=6,0.8,IF(T176&lt;=9,0.9,1))))*(S176/T176)+(1-(IF(T176=2,0.55,IF(T176&lt;=4,0.7,IF(T176&lt;=6,0.8,IF(T176&lt;=9,0.9,1))))))*$Y$1),1),"")</f>
        <v>6.9</v>
      </c>
      <c r="V176" s="37">
        <v>5.4</v>
      </c>
      <c r="W176" s="38"/>
    </row>
    <row r="177" ht="24" customHeight="1" spans="1:23" x14ac:dyDescent="0.25">
      <c r="A177" s="31">
        <v>554</v>
      </c>
      <c r="B177" s="32" t="s">
        <v>226</v>
      </c>
      <c r="C177" s="33" t="s">
        <v>24</v>
      </c>
      <c r="D177" s="34">
        <v>1975</v>
      </c>
      <c r="E177" s="34" t="s">
        <v>30</v>
      </c>
      <c r="F177" s="6"/>
      <c r="G177" s="6">
        <v>8</v>
      </c>
      <c r="H177" s="6"/>
      <c r="I177" s="6"/>
      <c r="J177" s="6"/>
      <c r="K177" s="6"/>
      <c r="L177" s="6">
        <v>8</v>
      </c>
      <c r="M177" s="6">
        <v>6</v>
      </c>
      <c r="N177" s="6">
        <v>6</v>
      </c>
      <c r="O177" s="6"/>
      <c r="P177" s="6">
        <v>8</v>
      </c>
      <c r="Q177" s="6"/>
      <c r="R177" s="6"/>
      <c r="S177" s="35">
        <f>SUM(F177:R177)</f>
        <v>36</v>
      </c>
      <c r="T177" s="35">
        <f>COUNT(F177:R177)</f>
        <v>5</v>
      </c>
      <c r="U177" s="36">
        <f>IF(T177&gt;=2,ROUND((IF(T177=2,0.55,IF(T177&lt;=4,0.7,IF(T177&lt;=6,0.8,IF(T177&lt;=9,0.9,1))))*(S177/T177)+(1-(IF(T177=2,0.55,IF(T177&lt;=4,0.7,IF(T177&lt;=6,0.8,IF(T177&lt;=9,0.9,1))))))*$Y$1),1),"")</f>
        <v>7.4</v>
      </c>
      <c r="V177" s="37">
        <v>8.1</v>
      </c>
      <c r="W177" s="38"/>
    </row>
    <row r="178" ht="24" customHeight="1" spans="1:23" x14ac:dyDescent="0.25">
      <c r="A178" s="31">
        <v>553</v>
      </c>
      <c r="B178" s="32" t="s">
        <v>227</v>
      </c>
      <c r="C178" s="33" t="s">
        <v>24</v>
      </c>
      <c r="D178" s="34">
        <v>2010</v>
      </c>
      <c r="E178" s="34" t="s">
        <v>92</v>
      </c>
      <c r="F178" s="6"/>
      <c r="G178" s="6">
        <v>8</v>
      </c>
      <c r="H178" s="6"/>
      <c r="I178" s="6"/>
      <c r="J178" s="6"/>
      <c r="K178" s="6">
        <v>8</v>
      </c>
      <c r="L178" s="6">
        <v>8.5</v>
      </c>
      <c r="M178" s="6"/>
      <c r="N178" s="6">
        <v>8</v>
      </c>
      <c r="O178" s="6"/>
      <c r="P178" s="6">
        <v>8</v>
      </c>
      <c r="Q178" s="6">
        <v>8</v>
      </c>
      <c r="R178" s="6"/>
      <c r="S178" s="35">
        <f>SUM(F178:R178)</f>
        <v>48.5</v>
      </c>
      <c r="T178" s="35">
        <f>COUNT(F178:R178)</f>
        <v>6</v>
      </c>
      <c r="U178" s="36">
        <f>IF(T178&gt;=2,ROUND((IF(T178=2,0.55,IF(T178&lt;=4,0.7,IF(T178&lt;=6,0.8,IF(T178&lt;=9,0.9,1))))*(S178/T178)+(1-(IF(T178=2,0.55,IF(T178&lt;=4,0.7,IF(T178&lt;=6,0.8,IF(T178&lt;=9,0.9,1))))))*$Y$1),1),"")</f>
        <v>8.1</v>
      </c>
      <c r="V178" s="37">
        <v>8</v>
      </c>
      <c r="W178" s="38"/>
    </row>
    <row r="179" ht="47.25" customHeight="1" spans="1:23" x14ac:dyDescent="0.25">
      <c r="A179" s="40">
        <v>2209</v>
      </c>
      <c r="B179" s="32" t="s">
        <v>228</v>
      </c>
      <c r="C179" s="33" t="s">
        <v>24</v>
      </c>
      <c r="D179" s="34">
        <v>2007</v>
      </c>
      <c r="E179" s="41"/>
      <c r="F179" s="6"/>
      <c r="G179" s="6">
        <v>7</v>
      </c>
      <c r="H179" s="6"/>
      <c r="I179" s="6"/>
      <c r="J179" s="6"/>
      <c r="K179" s="6"/>
      <c r="L179" s="6">
        <v>8</v>
      </c>
      <c r="M179" s="6"/>
      <c r="N179" s="6"/>
      <c r="O179" s="6"/>
      <c r="P179" s="6"/>
      <c r="Q179" s="6"/>
      <c r="R179" s="6"/>
      <c r="S179" s="35">
        <f>SUM(F179:R179)</f>
        <v>15</v>
      </c>
      <c r="T179" s="35">
        <f>COUNT(F179:R179)</f>
        <v>2</v>
      </c>
      <c r="U179" s="36">
        <f>IF(T179&gt;=2,ROUND((IF(T179=2,0.55,IF(T179&lt;=4,0.7,IF(T179&lt;=6,0.8,IF(T179&lt;=9,0.9,1))))*(S179/T179)+(1-(IF(T179=2,0.55,IF(T179&lt;=4,0.7,IF(T179&lt;=6,0.8,IF(T179&lt;=9,0.9,1))))))*$Y$1),1),"")</f>
        <v>7.8</v>
      </c>
      <c r="V179" s="37">
        <v>8</v>
      </c>
      <c r="W179" s="38"/>
    </row>
    <row r="180" ht="24" customHeight="1" spans="1:23" x14ac:dyDescent="0.25">
      <c r="A180" s="31">
        <v>1798</v>
      </c>
      <c r="B180" s="32" t="s">
        <v>229</v>
      </c>
      <c r="C180" s="33" t="s">
        <v>24</v>
      </c>
      <c r="D180" s="34">
        <v>2023</v>
      </c>
      <c r="E180" s="34" t="s">
        <v>30</v>
      </c>
      <c r="F180" s="6">
        <v>8</v>
      </c>
      <c r="G180" s="6"/>
      <c r="H180" s="6">
        <v>8</v>
      </c>
      <c r="I180" s="6"/>
      <c r="J180" s="6">
        <v>8</v>
      </c>
      <c r="K180" s="6"/>
      <c r="L180" s="6">
        <v>8</v>
      </c>
      <c r="M180" s="6">
        <v>8</v>
      </c>
      <c r="N180" s="6"/>
      <c r="O180" s="6"/>
      <c r="P180" s="6"/>
      <c r="Q180" s="6"/>
      <c r="R180" s="6"/>
      <c r="S180" s="35">
        <f>SUM(F180:R180)</f>
        <v>40</v>
      </c>
      <c r="T180" s="35">
        <f>COUNT(F180:R180)</f>
        <v>5</v>
      </c>
      <c r="U180" s="36">
        <f>IF(T180&gt;=2,ROUND((IF(T180=2,0.55,IF(T180&lt;=4,0.7,IF(T180&lt;=6,0.8,IF(T180&lt;=9,0.9,1))))*(S180/T180)+(1-(IF(T180=2,0.55,IF(T180&lt;=4,0.7,IF(T180&lt;=6,0.8,IF(T180&lt;=9,0.9,1))))))*$Y$1),1),"")</f>
        <v>8</v>
      </c>
      <c r="V180" s="37">
        <v>8.3</v>
      </c>
      <c r="W180" s="38"/>
    </row>
    <row r="181" ht="24" customHeight="1" spans="1:23" x14ac:dyDescent="0.25">
      <c r="A181" s="31">
        <v>1489</v>
      </c>
      <c r="B181" s="32" t="s">
        <v>230</v>
      </c>
      <c r="C181" s="33" t="s">
        <v>24</v>
      </c>
      <c r="D181" s="34">
        <v>2022</v>
      </c>
      <c r="E181" s="34" t="s">
        <v>25</v>
      </c>
      <c r="F181" s="6">
        <v>6</v>
      </c>
      <c r="G181" s="6">
        <v>7</v>
      </c>
      <c r="H181" s="6">
        <v>7</v>
      </c>
      <c r="I181" s="6">
        <v>6</v>
      </c>
      <c r="J181" s="6">
        <v>8</v>
      </c>
      <c r="K181" s="6">
        <v>6</v>
      </c>
      <c r="L181" s="6"/>
      <c r="M181" s="6">
        <v>6</v>
      </c>
      <c r="N181" s="6">
        <v>6</v>
      </c>
      <c r="O181" s="6">
        <v>6</v>
      </c>
      <c r="P181" s="6"/>
      <c r="Q181" s="6">
        <v>6</v>
      </c>
      <c r="R181" s="6">
        <v>8</v>
      </c>
      <c r="S181" s="35">
        <f>SUM(F181:R181)</f>
        <v>72</v>
      </c>
      <c r="T181" s="35">
        <f>COUNT(F181:R181)</f>
        <v>11</v>
      </c>
      <c r="U181" s="36">
        <f>IF(T181&gt;=2,ROUND((IF(T181=2,0.55,IF(T181&lt;=4,0.7,IF(T181&lt;=6,0.8,IF(T181&lt;=9,0.9,1))))*(S181/T181)+(1-(IF(T181=2,0.55,IF(T181&lt;=4,0.7,IF(T181&lt;=6,0.8,IF(T181&lt;=9,0.9,1))))))*$Y$1),1),"")</f>
        <v>6.5</v>
      </c>
      <c r="V181" s="37">
        <v>7.2</v>
      </c>
      <c r="W181" s="38"/>
    </row>
    <row r="182" ht="24" customHeight="1" spans="1:23" x14ac:dyDescent="0.25">
      <c r="A182" s="31">
        <v>1374</v>
      </c>
      <c r="B182" s="32" t="s">
        <v>231</v>
      </c>
      <c r="C182" s="33" t="s">
        <v>24</v>
      </c>
      <c r="D182" s="34">
        <v>2022</v>
      </c>
      <c r="E182" s="34" t="s">
        <v>27</v>
      </c>
      <c r="F182" s="6"/>
      <c r="G182" s="6"/>
      <c r="H182" s="6"/>
      <c r="I182" s="6"/>
      <c r="J182" s="6"/>
      <c r="K182" s="6"/>
      <c r="L182" s="6">
        <v>8</v>
      </c>
      <c r="M182" s="6"/>
      <c r="N182" s="6"/>
      <c r="O182" s="6">
        <v>8</v>
      </c>
      <c r="P182" s="6"/>
      <c r="Q182" s="6"/>
      <c r="R182" s="6"/>
      <c r="S182" s="35">
        <f>SUM(F182:R182)</f>
        <v>16</v>
      </c>
      <c r="T182" s="35">
        <f>COUNT(F182:R182)</f>
        <v>2</v>
      </c>
      <c r="U182" s="36">
        <f>IF(T182&gt;=2,ROUND((IF(T182=2,0.55,IF(T182&lt;=4,0.7,IF(T182&lt;=6,0.8,IF(T182&lt;=9,0.9,1))))*(S182/T182)+(1-(IF(T182=2,0.55,IF(T182&lt;=4,0.7,IF(T182&lt;=6,0.8,IF(T182&lt;=9,0.9,1))))))*$Y$1),1),"")</f>
        <v>8</v>
      </c>
      <c r="V182" s="37">
        <v>7.8</v>
      </c>
      <c r="W182" s="38"/>
    </row>
    <row r="183" ht="24" customHeight="1" spans="1:23" s="39" customFormat="1" x14ac:dyDescent="0.25">
      <c r="A183" s="31">
        <v>1561</v>
      </c>
      <c r="B183" s="32" t="s">
        <v>232</v>
      </c>
      <c r="C183" s="33" t="s">
        <v>29</v>
      </c>
      <c r="D183" s="34">
        <v>2023</v>
      </c>
      <c r="E183" s="34" t="s">
        <v>30</v>
      </c>
      <c r="F183" s="6"/>
      <c r="G183" s="6"/>
      <c r="H183" s="6"/>
      <c r="I183" s="6"/>
      <c r="J183" s="6">
        <v>9</v>
      </c>
      <c r="K183" s="6"/>
      <c r="L183" s="6"/>
      <c r="M183" s="6"/>
      <c r="N183" s="6"/>
      <c r="O183" s="6"/>
      <c r="P183" s="6"/>
      <c r="Q183" s="6"/>
      <c r="R183" s="6"/>
      <c r="S183" s="35">
        <f>SUM(F183:R183)</f>
        <v>9</v>
      </c>
      <c r="T183" s="35">
        <f>COUNT(F183:R183)</f>
        <v>1</v>
      </c>
      <c r="U183" s="36">
        <f>IF(T183&gt;=2,ROUND((IF(T183=2,0.55,IF(T183&lt;=4,0.7,IF(T183&lt;=6,0.8,IF(T183&lt;=9,0.9,1))))*(S183/T183)+(1-(IF(T183=2,0.55,IF(T183&lt;=4,0.7,IF(T183&lt;=6,0.8,IF(T183&lt;=9,0.9,1))))))*$Y$1),1),"")</f>
      </c>
      <c r="V183" s="37">
        <v>8</v>
      </c>
      <c r="W183" s="38"/>
    </row>
    <row r="184" ht="24" customHeight="1" spans="1:23" x14ac:dyDescent="0.25">
      <c r="A184" s="31">
        <v>1966</v>
      </c>
      <c r="B184" s="32" t="s">
        <v>233</v>
      </c>
      <c r="C184" s="33" t="s">
        <v>24</v>
      </c>
      <c r="D184" s="34">
        <v>1966</v>
      </c>
      <c r="E184" s="34" t="s">
        <v>48</v>
      </c>
      <c r="F184" s="6"/>
      <c r="G184" s="6">
        <v>10</v>
      </c>
      <c r="H184" s="6"/>
      <c r="I184" s="6"/>
      <c r="J184" s="6">
        <v>8</v>
      </c>
      <c r="K184" s="6"/>
      <c r="L184" s="6"/>
      <c r="M184" s="6"/>
      <c r="N184" s="6"/>
      <c r="O184" s="6"/>
      <c r="P184" s="6"/>
      <c r="Q184" s="6"/>
      <c r="R184" s="6"/>
      <c r="S184" s="35">
        <f>SUM(F184:R184)</f>
        <v>18</v>
      </c>
      <c r="T184" s="35">
        <f>COUNT(F184:R184)</f>
        <v>2</v>
      </c>
      <c r="U184" s="36">
        <f>IF(T184&gt;=2,ROUND((IF(T184=2,0.55,IF(T184&lt;=4,0.7,IF(T184&lt;=6,0.8,IF(T184&lt;=9,0.9,1))))*(S184/T184)+(1-(IF(T184=2,0.55,IF(T184&lt;=4,0.7,IF(T184&lt;=6,0.8,IF(T184&lt;=9,0.9,1))))))*$Y$1),1),"")</f>
        <v>8.6</v>
      </c>
      <c r="V184" s="37">
        <v>8.8</v>
      </c>
      <c r="W184" s="38"/>
    </row>
    <row r="185" ht="24" customHeight="1" spans="1:23" x14ac:dyDescent="0.25">
      <c r="A185" s="42">
        <v>1056</v>
      </c>
      <c r="B185" s="32" t="s">
        <v>234</v>
      </c>
      <c r="C185" s="43" t="s">
        <v>24</v>
      </c>
      <c r="D185" s="44">
        <v>2018</v>
      </c>
      <c r="E185" s="44" t="s">
        <v>30</v>
      </c>
      <c r="F185" s="6">
        <v>8</v>
      </c>
      <c r="G185" s="6">
        <v>8</v>
      </c>
      <c r="H185" s="6">
        <v>8</v>
      </c>
      <c r="I185" s="6">
        <v>8</v>
      </c>
      <c r="J185" s="6">
        <v>8</v>
      </c>
      <c r="K185" s="6">
        <v>8</v>
      </c>
      <c r="L185" s="6">
        <v>8</v>
      </c>
      <c r="M185" s="6">
        <v>8</v>
      </c>
      <c r="N185" s="6">
        <v>8</v>
      </c>
      <c r="O185" s="6"/>
      <c r="P185" s="6">
        <v>8</v>
      </c>
      <c r="Q185" s="6">
        <v>8</v>
      </c>
      <c r="R185" s="6">
        <v>10</v>
      </c>
      <c r="S185" s="45">
        <f>SUM(F185:R185)</f>
        <v>98</v>
      </c>
      <c r="T185" s="45">
        <f>COUNT(F185:R185)</f>
        <v>12</v>
      </c>
      <c r="U185" s="36">
        <f>IF(T185&gt;=2,ROUND((IF(T185=2,0.55,IF(T185&lt;=4,0.7,IF(T185&lt;=6,0.8,IF(T185&lt;=9,0.9,1))))*(S185/T185)+(1-(IF(T185=2,0.55,IF(T185&lt;=4,0.7,IF(T185&lt;=6,0.8,IF(T185&lt;=9,0.9,1))))))*$Y$1),1),"")</f>
        <v>8.2</v>
      </c>
      <c r="V185" s="37">
        <v>7.6</v>
      </c>
      <c r="W185" s="38" t="s">
        <v>44</v>
      </c>
    </row>
    <row r="186" ht="24" customHeight="1" spans="1:23" s="39" customFormat="1" x14ac:dyDescent="0.25">
      <c r="A186" s="31">
        <v>1459</v>
      </c>
      <c r="B186" s="32" t="s">
        <v>235</v>
      </c>
      <c r="C186" s="33" t="s">
        <v>24</v>
      </c>
      <c r="D186" s="34">
        <v>2017</v>
      </c>
      <c r="E186" s="34" t="s">
        <v>30</v>
      </c>
      <c r="F186" s="6">
        <v>8</v>
      </c>
      <c r="G186" s="6"/>
      <c r="H186" s="6"/>
      <c r="I186" s="6">
        <v>9</v>
      </c>
      <c r="J186" s="6">
        <v>8</v>
      </c>
      <c r="K186" s="6">
        <v>8</v>
      </c>
      <c r="L186" s="6"/>
      <c r="M186" s="6"/>
      <c r="N186" s="6"/>
      <c r="O186" s="6">
        <v>8</v>
      </c>
      <c r="P186" s="6"/>
      <c r="Q186" s="6">
        <v>8</v>
      </c>
      <c r="R186" s="6"/>
      <c r="S186" s="35">
        <f>SUM(F186:R186)</f>
        <v>49</v>
      </c>
      <c r="T186" s="35">
        <f>COUNT(F186:R186)</f>
        <v>6</v>
      </c>
      <c r="U186" s="36">
        <f>IF(T186&gt;=2,ROUND((IF(T186=2,0.55,IF(T186&lt;=4,0.7,IF(T186&lt;=6,0.8,IF(T186&lt;=9,0.9,1))))*(S186/T186)+(1-(IF(T186=2,0.55,IF(T186&lt;=4,0.7,IF(T186&lt;=6,0.8,IF(T186&lt;=9,0.9,1))))))*$Y$1),1),"")</f>
        <v>8.2</v>
      </c>
      <c r="V186" s="37">
        <v>6.3</v>
      </c>
      <c r="W186" s="38"/>
    </row>
    <row r="187" ht="24" customHeight="1" spans="1:23" x14ac:dyDescent="0.25">
      <c r="A187" s="31">
        <v>552</v>
      </c>
      <c r="B187" s="32" t="s">
        <v>236</v>
      </c>
      <c r="C187" s="33" t="s">
        <v>24</v>
      </c>
      <c r="D187" s="34">
        <v>2017</v>
      </c>
      <c r="E187" s="34" t="s">
        <v>237</v>
      </c>
      <c r="F187" s="6"/>
      <c r="G187" s="6">
        <v>8</v>
      </c>
      <c r="H187" s="6"/>
      <c r="I187" s="6"/>
      <c r="J187" s="6"/>
      <c r="K187" s="6"/>
      <c r="L187" s="6">
        <v>8</v>
      </c>
      <c r="M187" s="6"/>
      <c r="N187" s="6"/>
      <c r="O187" s="6"/>
      <c r="P187" s="6">
        <v>8</v>
      </c>
      <c r="Q187" s="6"/>
      <c r="R187" s="6"/>
      <c r="S187" s="35">
        <f>SUM(F187:R187)</f>
        <v>24</v>
      </c>
      <c r="T187" s="35">
        <f>COUNT(F187:R187)</f>
        <v>3</v>
      </c>
      <c r="U187" s="36">
        <f>IF(T187&gt;=2,ROUND((IF(T187=2,0.55,IF(T187&lt;=4,0.7,IF(T187&lt;=6,0.8,IF(T187&lt;=9,0.9,1))))*(S187/T187)+(1-(IF(T187=2,0.55,IF(T187&lt;=4,0.7,IF(T187&lt;=6,0.8,IF(T187&lt;=9,0.9,1))))))*$Y$1),1),"")</f>
        <v>8</v>
      </c>
      <c r="V187" s="37">
        <v>8.1</v>
      </c>
      <c r="W187" s="38"/>
    </row>
    <row r="188" ht="24" customHeight="1" spans="1:23" x14ac:dyDescent="0.25">
      <c r="A188" s="31">
        <v>2047</v>
      </c>
      <c r="B188" s="32" t="s">
        <v>238</v>
      </c>
      <c r="C188" s="33" t="s">
        <v>24</v>
      </c>
      <c r="D188" s="34">
        <v>2024</v>
      </c>
      <c r="E188" s="41"/>
      <c r="F188" s="6"/>
      <c r="G188" s="6"/>
      <c r="H188" s="6"/>
      <c r="I188" s="6"/>
      <c r="J188" s="6">
        <v>8</v>
      </c>
      <c r="K188" s="6"/>
      <c r="L188" s="6"/>
      <c r="M188" s="6"/>
      <c r="N188" s="6"/>
      <c r="O188" s="6"/>
      <c r="P188" s="6"/>
      <c r="Q188" s="6"/>
      <c r="R188" s="6"/>
      <c r="S188" s="35">
        <f>SUM(F188:R188)</f>
        <v>8</v>
      </c>
      <c r="T188" s="35">
        <f>COUNT(F188:R188)</f>
        <v>1</v>
      </c>
      <c r="U188" s="36">
        <f>IF(T188&gt;=2,ROUND((IF(T188=2,0.55,IF(T188&lt;=4,0.7,IF(T188&lt;=6,0.8,IF(T188&lt;=9,0.9,1))))*(S188/T188)+(1-(IF(T188=2,0.55,IF(T188&lt;=4,0.7,IF(T188&lt;=6,0.8,IF(T188&lt;=9,0.9,1))))))*$Y$1),1),"")</f>
      </c>
      <c r="V188" s="37">
        <v>6.6</v>
      </c>
      <c r="W188" s="38"/>
    </row>
    <row r="189" ht="24" customHeight="1" spans="1:23" x14ac:dyDescent="0.25">
      <c r="A189" s="31">
        <v>1499</v>
      </c>
      <c r="B189" s="32" t="s">
        <v>239</v>
      </c>
      <c r="C189" s="33" t="s">
        <v>24</v>
      </c>
      <c r="D189" s="34">
        <v>2013</v>
      </c>
      <c r="E189" s="34" t="s">
        <v>30</v>
      </c>
      <c r="F189" s="6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35">
        <f>SUM(F189:R189)</f>
        <v>7</v>
      </c>
      <c r="T189" s="35">
        <f>COUNT(F189:R189)</f>
        <v>1</v>
      </c>
      <c r="U189" s="36">
        <f>IF(T189&gt;=2,ROUND((IF(T189=2,0.55,IF(T189&lt;=4,0.7,IF(T189&lt;=6,0.8,IF(T189&lt;=9,0.9,1))))*(S189/T189)+(1-(IF(T189=2,0.55,IF(T189&lt;=4,0.7,IF(T189&lt;=6,0.8,IF(T189&lt;=9,0.9,1))))))*$Y$1),1),"")</f>
      </c>
      <c r="V189" s="37">
        <v>6.8</v>
      </c>
      <c r="W189" s="38"/>
    </row>
    <row r="190" ht="24" customHeight="1" spans="1:23" s="39" customFormat="1" x14ac:dyDescent="0.25">
      <c r="A190" s="31">
        <v>1455</v>
      </c>
      <c r="B190" s="32" t="s">
        <v>240</v>
      </c>
      <c r="C190" s="33" t="s">
        <v>29</v>
      </c>
      <c r="D190" s="34">
        <v>2015</v>
      </c>
      <c r="E190" s="34" t="s">
        <v>30</v>
      </c>
      <c r="F190" s="6"/>
      <c r="G190" s="6"/>
      <c r="H190" s="6"/>
      <c r="I190" s="6"/>
      <c r="J190" s="6"/>
      <c r="K190" s="6"/>
      <c r="L190" s="6"/>
      <c r="M190" s="6">
        <v>8</v>
      </c>
      <c r="N190" s="6">
        <v>8</v>
      </c>
      <c r="O190" s="6"/>
      <c r="P190" s="6"/>
      <c r="Q190" s="6"/>
      <c r="R190" s="6"/>
      <c r="S190" s="35">
        <f>SUM(F190:R190)</f>
        <v>16</v>
      </c>
      <c r="T190" s="35">
        <f>COUNT(F190:R190)</f>
        <v>2</v>
      </c>
      <c r="U190" s="36">
        <f>IF(T190&gt;=2,ROUND((IF(T190=2,0.55,IF(T190&lt;=4,0.7,IF(T190&lt;=6,0.8,IF(T190&lt;=9,0.9,1))))*(S190/T190)+(1-(IF(T190=2,0.55,IF(T190&lt;=4,0.7,IF(T190&lt;=6,0.8,IF(T190&lt;=9,0.9,1))))))*$Y$1),1),"")</f>
        <v>8</v>
      </c>
      <c r="V190" s="37">
        <v>8</v>
      </c>
      <c r="W190" s="38"/>
    </row>
    <row r="191" ht="24" customHeight="1" spans="1:23" x14ac:dyDescent="0.25">
      <c r="A191" s="40">
        <v>2297</v>
      </c>
      <c r="B191" s="32" t="s">
        <v>241</v>
      </c>
      <c r="C191" s="33" t="s">
        <v>24</v>
      </c>
      <c r="D191" s="34">
        <v>2013</v>
      </c>
      <c r="E191" s="41"/>
      <c r="F191" s="6"/>
      <c r="G191" s="6">
        <v>8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35">
        <f>SUM(F191:R191)</f>
        <v>8</v>
      </c>
      <c r="T191" s="35">
        <f>COUNT(F191:R191)</f>
        <v>1</v>
      </c>
      <c r="U191" s="36">
        <f>IF(T191&gt;=2,ROUND((IF(T191=2,0.55,IF(T191&lt;=4,0.7,IF(T191&lt;=6,0.8,IF(T191&lt;=9,0.9,1))))*(S191/T191)+(1-(IF(T191=2,0.55,IF(T191&lt;=4,0.7,IF(T191&lt;=6,0.8,IF(T191&lt;=9,0.9,1))))))*$Y$1),1),"")</f>
      </c>
      <c r="V191" s="37">
        <v>7.2</v>
      </c>
      <c r="W191" s="38"/>
    </row>
    <row r="192" ht="24" customHeight="1" spans="1:23" x14ac:dyDescent="0.25">
      <c r="A192" s="31">
        <v>1562</v>
      </c>
      <c r="B192" s="32" t="s">
        <v>242</v>
      </c>
      <c r="C192" s="33" t="s">
        <v>29</v>
      </c>
      <c r="D192" s="34">
        <v>2023</v>
      </c>
      <c r="E192" s="34" t="s">
        <v>30</v>
      </c>
      <c r="F192" s="6">
        <v>8</v>
      </c>
      <c r="G192" s="6"/>
      <c r="H192" s="6">
        <v>8</v>
      </c>
      <c r="I192" s="6"/>
      <c r="J192" s="6"/>
      <c r="K192" s="6"/>
      <c r="L192" s="6"/>
      <c r="M192" s="6"/>
      <c r="N192" s="6">
        <v>8</v>
      </c>
      <c r="O192" s="6">
        <v>8</v>
      </c>
      <c r="P192" s="6"/>
      <c r="Q192" s="6"/>
      <c r="R192" s="6"/>
      <c r="S192" s="35">
        <f>SUM(F192:R192)</f>
        <v>32</v>
      </c>
      <c r="T192" s="35">
        <f>COUNT(F192:R192)</f>
        <v>4</v>
      </c>
      <c r="U192" s="36">
        <f>IF(T192&gt;=2,ROUND((IF(T192=2,0.55,IF(T192&lt;=4,0.7,IF(T192&lt;=6,0.8,IF(T192&lt;=9,0.9,1))))*(S192/T192)+(1-(IF(T192=2,0.55,IF(T192&lt;=4,0.7,IF(T192&lt;=6,0.8,IF(T192&lt;=9,0.9,1))))))*$Y$1),1),"")</f>
        <v>8</v>
      </c>
      <c r="V192" s="37">
        <v>6.6</v>
      </c>
      <c r="W192" s="38"/>
    </row>
    <row r="193" ht="24" customHeight="1" spans="1:23" x14ac:dyDescent="0.25">
      <c r="A193" s="31">
        <v>132</v>
      </c>
      <c r="B193" s="32" t="s">
        <v>243</v>
      </c>
      <c r="C193" s="33" t="s">
        <v>24</v>
      </c>
      <c r="D193" s="34">
        <v>2017</v>
      </c>
      <c r="E193" s="34" t="s">
        <v>244</v>
      </c>
      <c r="F193" s="6">
        <v>8</v>
      </c>
      <c r="G193" s="6">
        <v>8</v>
      </c>
      <c r="H193" s="6">
        <v>8</v>
      </c>
      <c r="I193" s="6">
        <v>8</v>
      </c>
      <c r="J193" s="6">
        <v>8</v>
      </c>
      <c r="K193" s="6">
        <v>8</v>
      </c>
      <c r="L193" s="6">
        <v>9</v>
      </c>
      <c r="M193" s="6">
        <v>8</v>
      </c>
      <c r="N193" s="6">
        <v>8</v>
      </c>
      <c r="O193" s="6"/>
      <c r="P193" s="6">
        <v>8</v>
      </c>
      <c r="Q193" s="6">
        <v>8</v>
      </c>
      <c r="R193" s="6"/>
      <c r="S193" s="35">
        <f>SUM(F193:R193)</f>
        <v>89</v>
      </c>
      <c r="T193" s="35">
        <f>COUNT(F193:R193)</f>
        <v>11</v>
      </c>
      <c r="U193" s="36">
        <f>IF(T193&gt;=2,ROUND((IF(T193=2,0.55,IF(T193&lt;=4,0.7,IF(T193&lt;=6,0.8,IF(T193&lt;=9,0.9,1))))*(S193/T193)+(1-(IF(T193=2,0.55,IF(T193&lt;=4,0.7,IF(T193&lt;=6,0.8,IF(T193&lt;=9,0.9,1))))))*$Y$1),1),"")</f>
        <v>8.1</v>
      </c>
      <c r="V193" s="37">
        <v>7.4</v>
      </c>
      <c r="W193" s="38"/>
    </row>
    <row r="194" ht="24" customHeight="1" spans="1:23" x14ac:dyDescent="0.25">
      <c r="A194" s="40">
        <v>2096</v>
      </c>
      <c r="B194" s="32" t="s">
        <v>245</v>
      </c>
      <c r="C194" s="33" t="s">
        <v>24</v>
      </c>
      <c r="D194" s="34">
        <v>1996</v>
      </c>
      <c r="E194" s="41"/>
      <c r="F194" s="6"/>
      <c r="G194" s="6">
        <v>7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35">
        <f>SUM(F194:R194)</f>
        <v>7</v>
      </c>
      <c r="T194" s="35">
        <f>COUNT(F194:R194)</f>
        <v>1</v>
      </c>
      <c r="U194" s="36">
        <f>IF(T194&gt;=2,ROUND((IF(T194=2,0.55,IF(T194&lt;=4,0.7,IF(T194&lt;=6,0.8,IF(T194&lt;=9,0.9,1))))*(S194/T194)+(1-(IF(T194=2,0.55,IF(T194&lt;=4,0.7,IF(T194&lt;=6,0.8,IF(T194&lt;=9,0.9,1))))))*$Y$1),1),"")</f>
      </c>
      <c r="V194" s="37">
        <v>8.1</v>
      </c>
      <c r="W194" s="38"/>
    </row>
    <row r="195" ht="24" customHeight="1" spans="1:23" x14ac:dyDescent="0.25">
      <c r="A195" s="31">
        <v>630</v>
      </c>
      <c r="B195" s="32" t="s">
        <v>246</v>
      </c>
      <c r="C195" s="33" t="s">
        <v>24</v>
      </c>
      <c r="D195" s="34">
        <v>2007</v>
      </c>
      <c r="E195" s="34" t="s">
        <v>183</v>
      </c>
      <c r="F195" s="6"/>
      <c r="G195" s="6"/>
      <c r="H195" s="6"/>
      <c r="I195" s="6">
        <v>8</v>
      </c>
      <c r="J195" s="6">
        <v>10</v>
      </c>
      <c r="K195" s="6">
        <v>8</v>
      </c>
      <c r="L195" s="6">
        <v>8</v>
      </c>
      <c r="M195" s="6"/>
      <c r="N195" s="6"/>
      <c r="O195" s="6"/>
      <c r="P195" s="6"/>
      <c r="Q195" s="6">
        <v>8</v>
      </c>
      <c r="R195" s="6">
        <v>6</v>
      </c>
      <c r="S195" s="35">
        <f>SUM(F195:R195)</f>
        <v>48</v>
      </c>
      <c r="T195" s="35">
        <f>COUNT(F195:R195)</f>
        <v>6</v>
      </c>
      <c r="U195" s="36">
        <f>IF(T195&gt;=2,ROUND((IF(T195=2,0.55,IF(T195&lt;=4,0.7,IF(T195&lt;=6,0.8,IF(T195&lt;=9,0.9,1))))*(S195/T195)+(1-(IF(T195=2,0.55,IF(T195&lt;=4,0.7,IF(T195&lt;=6,0.8,IF(T195&lt;=9,0.9,1))))))*$Y$1),1),"")</f>
        <v>8</v>
      </c>
      <c r="V195" s="37">
        <v>6.6</v>
      </c>
      <c r="W195" s="38"/>
    </row>
    <row r="196" ht="24" customHeight="1" spans="1:23" x14ac:dyDescent="0.25">
      <c r="A196" s="31">
        <v>1471</v>
      </c>
      <c r="B196" s="32" t="s">
        <v>247</v>
      </c>
      <c r="C196" s="33" t="s">
        <v>29</v>
      </c>
      <c r="D196" s="34">
        <v>2022</v>
      </c>
      <c r="E196" s="34" t="s">
        <v>30</v>
      </c>
      <c r="F196" s="6">
        <v>7</v>
      </c>
      <c r="G196" s="6"/>
      <c r="H196" s="6"/>
      <c r="I196" s="6"/>
      <c r="J196" s="6"/>
      <c r="K196" s="6"/>
      <c r="L196" s="6"/>
      <c r="M196" s="6">
        <v>8</v>
      </c>
      <c r="N196" s="6">
        <v>8</v>
      </c>
      <c r="O196" s="6"/>
      <c r="P196" s="6"/>
      <c r="Q196" s="6"/>
      <c r="R196" s="6"/>
      <c r="S196" s="35">
        <f>SUM(F196:R196)</f>
        <v>23</v>
      </c>
      <c r="T196" s="35">
        <f>COUNT(F196:R196)</f>
        <v>3</v>
      </c>
      <c r="U196" s="36">
        <f>IF(T196&gt;=2,ROUND((IF(T196=2,0.55,IF(T196&lt;=4,0.7,IF(T196&lt;=6,0.8,IF(T196&lt;=9,0.9,1))))*(S196/T196)+(1-(IF(T196=2,0.55,IF(T196&lt;=4,0.7,IF(T196&lt;=6,0.8,IF(T196&lt;=9,0.9,1))))))*$Y$1),1),"")</f>
        <v>7.8</v>
      </c>
      <c r="V196" s="37">
        <v>6.4</v>
      </c>
      <c r="W196" s="38"/>
    </row>
    <row r="197" ht="47.25" customHeight="1" spans="1:23" x14ac:dyDescent="0.25">
      <c r="A197" s="40">
        <v>2263</v>
      </c>
      <c r="B197" s="32" t="s">
        <v>248</v>
      </c>
      <c r="C197" s="33" t="s">
        <v>24</v>
      </c>
      <c r="D197" s="34">
        <v>2010</v>
      </c>
      <c r="E197" s="41"/>
      <c r="F197" s="6"/>
      <c r="G197" s="6">
        <v>7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35">
        <f>SUM(F197:R197)</f>
        <v>7</v>
      </c>
      <c r="T197" s="35">
        <f>COUNT(F197:R197)</f>
        <v>1</v>
      </c>
      <c r="U197" s="36">
        <f>IF(T197&gt;=2,ROUND((IF(T197=2,0.55,IF(T197&lt;=4,0.7,IF(T197&lt;=6,0.8,IF(T197&lt;=9,0.9,1))))*(S197/T197)+(1-(IF(T197=2,0.55,IF(T197&lt;=4,0.7,IF(T197&lt;=6,0.8,IF(T197&lt;=9,0.9,1))))))*$Y$1),1),"")</f>
      </c>
      <c r="V197" s="37">
        <v>8.3</v>
      </c>
      <c r="W197" s="38"/>
    </row>
    <row r="198" ht="24" customHeight="1" spans="1:23" x14ac:dyDescent="0.25">
      <c r="A198" s="47">
        <v>2491</v>
      </c>
      <c r="B198" s="32" t="s">
        <v>249</v>
      </c>
      <c r="C198" s="48" t="s">
        <v>24</v>
      </c>
      <c r="D198" s="49">
        <v>2024</v>
      </c>
      <c r="E198" s="52"/>
      <c r="F198" s="6">
        <v>8</v>
      </c>
      <c r="G198" s="6"/>
      <c r="H198" s="6">
        <v>8</v>
      </c>
      <c r="I198" s="6"/>
      <c r="J198" s="6">
        <v>8</v>
      </c>
      <c r="K198" s="6">
        <v>8</v>
      </c>
      <c r="L198" s="6">
        <v>8</v>
      </c>
      <c r="M198" s="6">
        <v>8</v>
      </c>
      <c r="N198" s="6"/>
      <c r="O198" s="6">
        <v>8</v>
      </c>
      <c r="P198" s="6">
        <v>8</v>
      </c>
      <c r="Q198" s="6">
        <v>8</v>
      </c>
      <c r="R198" s="6">
        <v>8</v>
      </c>
      <c r="S198" s="50">
        <f>SUM(F198:R198)</f>
        <v>80</v>
      </c>
      <c r="T198" s="50">
        <f>COUNT(F198:R198)</f>
        <v>10</v>
      </c>
      <c r="U198" s="36">
        <f>IF(T198&gt;=2,ROUND((IF(T198=2,0.55,IF(T198&lt;=4,0.7,IF(T198&lt;=6,0.8,IF(T198&lt;=9,0.9,1))))*(S198/T198)+(1-(IF(T198=2,0.55,IF(T198&lt;=4,0.7,IF(T198&lt;=6,0.8,IF(T198&lt;=9,0.9,1))))))*$Y$1),1),"")</f>
        <v>8</v>
      </c>
      <c r="V198" s="37">
        <v>7.4</v>
      </c>
      <c r="W198" s="38" t="s">
        <v>44</v>
      </c>
    </row>
    <row r="199" ht="24" customHeight="1" spans="1:23" x14ac:dyDescent="0.25">
      <c r="A199" s="31">
        <v>1319</v>
      </c>
      <c r="B199" s="32" t="s">
        <v>250</v>
      </c>
      <c r="C199" s="33" t="s">
        <v>24</v>
      </c>
      <c r="D199" s="34">
        <v>2022</v>
      </c>
      <c r="E199" s="34" t="s">
        <v>30</v>
      </c>
      <c r="F199" s="6"/>
      <c r="G199" s="6"/>
      <c r="H199" s="6"/>
      <c r="I199" s="6">
        <v>7</v>
      </c>
      <c r="J199" s="6"/>
      <c r="K199" s="6"/>
      <c r="L199" s="6">
        <v>6</v>
      </c>
      <c r="M199" s="6">
        <v>8</v>
      </c>
      <c r="N199" s="6"/>
      <c r="O199" s="6">
        <v>8</v>
      </c>
      <c r="P199" s="6"/>
      <c r="Q199" s="6"/>
      <c r="R199" s="6"/>
      <c r="S199" s="35">
        <f>SUM(F199:R199)</f>
        <v>29</v>
      </c>
      <c r="T199" s="35">
        <f>COUNT(F199:R199)</f>
        <v>4</v>
      </c>
      <c r="U199" s="36">
        <f>IF(T199&gt;=2,ROUND((IF(T199=2,0.55,IF(T199&lt;=4,0.7,IF(T199&lt;=6,0.8,IF(T199&lt;=9,0.9,1))))*(S199/T199)+(1-(IF(T199=2,0.55,IF(T199&lt;=4,0.7,IF(T199&lt;=6,0.8,IF(T199&lt;=9,0.9,1))))))*$Y$1),1),"")</f>
        <v>7.5</v>
      </c>
      <c r="V199" s="37">
        <v>5.7</v>
      </c>
      <c r="W199" s="38"/>
    </row>
    <row r="200" ht="47.25" customHeight="1" spans="1:23" x14ac:dyDescent="0.25">
      <c r="A200" s="31">
        <v>1677</v>
      </c>
      <c r="B200" s="32" t="s">
        <v>251</v>
      </c>
      <c r="C200" s="33" t="s">
        <v>24</v>
      </c>
      <c r="D200" s="34">
        <v>2022</v>
      </c>
      <c r="E200" s="34" t="s">
        <v>69</v>
      </c>
      <c r="F200" s="6"/>
      <c r="G200" s="6">
        <v>8</v>
      </c>
      <c r="H200" s="6"/>
      <c r="I200" s="6"/>
      <c r="J200" s="6">
        <v>10</v>
      </c>
      <c r="K200" s="6"/>
      <c r="L200" s="6"/>
      <c r="M200" s="6"/>
      <c r="N200" s="6"/>
      <c r="O200" s="6"/>
      <c r="P200" s="6"/>
      <c r="Q200" s="6"/>
      <c r="R200" s="6"/>
      <c r="S200" s="35">
        <f>SUM(F200:R200)</f>
        <v>18</v>
      </c>
      <c r="T200" s="35">
        <f>COUNT(F200:R200)</f>
        <v>2</v>
      </c>
      <c r="U200" s="36">
        <f>IF(T200&gt;=2,ROUND((IF(T200=2,0.55,IF(T200&lt;=4,0.7,IF(T200&lt;=6,0.8,IF(T200&lt;=9,0.9,1))))*(S200/T200)+(1-(IF(T200=2,0.55,IF(T200&lt;=4,0.7,IF(T200&lt;=6,0.8,IF(T200&lt;=9,0.9,1))))))*$Y$1),1),"")</f>
        <v>8.6</v>
      </c>
      <c r="V200" s="37">
        <v>8.2</v>
      </c>
      <c r="W200" s="38"/>
    </row>
    <row r="201" ht="24" customHeight="1" spans="1:23" x14ac:dyDescent="0.25">
      <c r="A201" s="31">
        <v>1390</v>
      </c>
      <c r="B201" s="32" t="s">
        <v>252</v>
      </c>
      <c r="C201" s="33" t="s">
        <v>24</v>
      </c>
      <c r="D201" s="34">
        <v>1986</v>
      </c>
      <c r="E201" s="34" t="s">
        <v>30</v>
      </c>
      <c r="F201" s="6"/>
      <c r="G201" s="6"/>
      <c r="H201" s="6"/>
      <c r="I201" s="6"/>
      <c r="J201" s="6">
        <v>8</v>
      </c>
      <c r="K201" s="6"/>
      <c r="L201" s="6"/>
      <c r="M201" s="6"/>
      <c r="N201" s="6"/>
      <c r="O201" s="6"/>
      <c r="P201" s="6"/>
      <c r="Q201" s="6"/>
      <c r="R201" s="6"/>
      <c r="S201" s="35">
        <f>SUM(F201:R201)</f>
        <v>8</v>
      </c>
      <c r="T201" s="35">
        <f>COUNT(F201:R201)</f>
        <v>1</v>
      </c>
      <c r="U201" s="36">
        <f>IF(T201&gt;=2,ROUND((IF(T201=2,0.55,IF(T201&lt;=4,0.7,IF(T201&lt;=6,0.8,IF(T201&lt;=9,0.9,1))))*(S201/T201)+(1-(IF(T201=2,0.55,IF(T201&lt;=4,0.7,IF(T201&lt;=6,0.8,IF(T201&lt;=9,0.9,1))))))*$Y$1),1),"")</f>
      </c>
      <c r="V201" s="37">
        <v>7</v>
      </c>
      <c r="W201" s="38"/>
    </row>
    <row r="202" ht="47.25" customHeight="1" spans="1:23" x14ac:dyDescent="0.25">
      <c r="A202" s="40">
        <v>2229</v>
      </c>
      <c r="B202" s="32" t="s">
        <v>253</v>
      </c>
      <c r="C202" s="33" t="s">
        <v>24</v>
      </c>
      <c r="D202" s="34">
        <v>2008</v>
      </c>
      <c r="E202" s="41"/>
      <c r="F202" s="6"/>
      <c r="G202" s="6">
        <v>7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35">
        <f>SUM(F202:R202)</f>
        <v>7</v>
      </c>
      <c r="T202" s="35">
        <f>COUNT(F202:R202)</f>
        <v>1</v>
      </c>
      <c r="U202" s="36">
        <f>IF(T202&gt;=2,ROUND((IF(T202=2,0.55,IF(T202&lt;=4,0.7,IF(T202&lt;=6,0.8,IF(T202&lt;=9,0.9,1))))*(S202/T202)+(1-(IF(T202=2,0.55,IF(T202&lt;=4,0.7,IF(T202&lt;=6,0.8,IF(T202&lt;=9,0.9,1))))))*$Y$1),1),"")</f>
      </c>
      <c r="V202" s="37">
        <v>6.8</v>
      </c>
      <c r="W202" s="38"/>
    </row>
    <row r="203" ht="24" customHeight="1" spans="1:23" x14ac:dyDescent="0.25">
      <c r="A203" s="42">
        <v>302</v>
      </c>
      <c r="B203" s="32" t="s">
        <v>254</v>
      </c>
      <c r="C203" s="43" t="s">
        <v>24</v>
      </c>
      <c r="D203" s="44">
        <v>1991</v>
      </c>
      <c r="E203" s="44" t="s">
        <v>137</v>
      </c>
      <c r="F203" s="6">
        <v>8</v>
      </c>
      <c r="G203" s="6">
        <v>9</v>
      </c>
      <c r="H203" s="6">
        <v>8</v>
      </c>
      <c r="I203" s="6">
        <v>10</v>
      </c>
      <c r="J203" s="6">
        <v>8</v>
      </c>
      <c r="K203" s="6">
        <v>10</v>
      </c>
      <c r="L203" s="6">
        <v>10</v>
      </c>
      <c r="M203" s="6">
        <v>8</v>
      </c>
      <c r="N203" s="6">
        <v>8</v>
      </c>
      <c r="O203" s="6">
        <v>10</v>
      </c>
      <c r="P203" s="6">
        <v>10</v>
      </c>
      <c r="Q203" s="6">
        <v>10</v>
      </c>
      <c r="R203" s="6">
        <v>10</v>
      </c>
      <c r="S203" s="45">
        <f>SUM(F203:R203)</f>
        <v>119</v>
      </c>
      <c r="T203" s="45">
        <f>COUNT(F203:R203)</f>
        <v>13</v>
      </c>
      <c r="U203" s="36">
        <f>IF(T203&gt;=2,ROUND((IF(T203=2,0.55,IF(T203&lt;=4,0.7,IF(T203&lt;=6,0.8,IF(T203&lt;=9,0.9,1))))*(S203/T203)+(1-(IF(T203=2,0.55,IF(T203&lt;=4,0.7,IF(T203&lt;=6,0.8,IF(T203&lt;=9,0.9,1))))))*$Y$1),1),"")</f>
        <v>9.2</v>
      </c>
      <c r="V203" s="37">
        <v>7.7</v>
      </c>
      <c r="W203" s="38" t="s">
        <v>44</v>
      </c>
    </row>
    <row r="204" ht="24" customHeight="1" spans="1:23" x14ac:dyDescent="0.25">
      <c r="A204" s="31">
        <v>1871</v>
      </c>
      <c r="B204" s="32" t="s">
        <v>255</v>
      </c>
      <c r="C204" s="33" t="s">
        <v>24</v>
      </c>
      <c r="D204" s="34">
        <v>2023</v>
      </c>
      <c r="E204" s="34" t="s">
        <v>25</v>
      </c>
      <c r="F204" s="6">
        <v>8</v>
      </c>
      <c r="G204" s="6"/>
      <c r="H204" s="6"/>
      <c r="I204" s="6"/>
      <c r="J204" s="6">
        <v>8</v>
      </c>
      <c r="K204" s="6"/>
      <c r="L204" s="6"/>
      <c r="M204" s="6"/>
      <c r="N204" s="6"/>
      <c r="O204" s="6"/>
      <c r="P204" s="6"/>
      <c r="Q204" s="6"/>
      <c r="R204" s="6"/>
      <c r="S204" s="35">
        <f>SUM(F204:R204)</f>
        <v>16</v>
      </c>
      <c r="T204" s="35">
        <f>COUNT(F204:R204)</f>
        <v>2</v>
      </c>
      <c r="U204" s="36">
        <f>IF(T204&gt;=2,ROUND((IF(T204=2,0.55,IF(T204&lt;=4,0.7,IF(T204&lt;=6,0.8,IF(T204&lt;=9,0.9,1))))*(S204/T204)+(1-(IF(T204=2,0.55,IF(T204&lt;=4,0.7,IF(T204&lt;=6,0.8,IF(T204&lt;=9,0.9,1))))))*$Y$1),1),"")</f>
        <v>8</v>
      </c>
      <c r="V204" s="37">
        <v>7.6</v>
      </c>
      <c r="W204" s="38"/>
    </row>
    <row r="205" ht="24" customHeight="1" spans="1:23" x14ac:dyDescent="0.25">
      <c r="A205" s="31">
        <v>260</v>
      </c>
      <c r="B205" s="32" t="s">
        <v>256</v>
      </c>
      <c r="C205" s="33" t="s">
        <v>24</v>
      </c>
      <c r="D205" s="34">
        <v>2018</v>
      </c>
      <c r="E205" s="34" t="s">
        <v>27</v>
      </c>
      <c r="F205" s="6"/>
      <c r="G205" s="6"/>
      <c r="H205" s="6"/>
      <c r="I205" s="6"/>
      <c r="J205" s="6">
        <v>6</v>
      </c>
      <c r="K205" s="6">
        <v>6</v>
      </c>
      <c r="L205" s="6">
        <v>8</v>
      </c>
      <c r="M205" s="6">
        <v>6</v>
      </c>
      <c r="N205" s="6">
        <v>6</v>
      </c>
      <c r="O205" s="6"/>
      <c r="P205" s="6"/>
      <c r="Q205" s="6">
        <v>6</v>
      </c>
      <c r="R205" s="6"/>
      <c r="S205" s="35">
        <f>SUM(F205:R205)</f>
        <v>38</v>
      </c>
      <c r="T205" s="35">
        <f>COUNT(F205:R205)</f>
        <v>6</v>
      </c>
      <c r="U205" s="36">
        <f>IF(T205&gt;=2,ROUND((IF(T205=2,0.55,IF(T205&lt;=4,0.7,IF(T205&lt;=6,0.8,IF(T205&lt;=9,0.9,1))))*(S205/T205)+(1-(IF(T205=2,0.55,IF(T205&lt;=4,0.7,IF(T205&lt;=6,0.8,IF(T205&lt;=9,0.9,1))))))*$Y$1),1),"")</f>
        <v>6.7</v>
      </c>
      <c r="V205" s="37">
        <v>6.9</v>
      </c>
      <c r="W205" s="38"/>
    </row>
    <row r="206" ht="24" customHeight="1" spans="1:23" x14ac:dyDescent="0.25">
      <c r="A206" s="31">
        <v>1984</v>
      </c>
      <c r="B206" s="32" t="s">
        <v>257</v>
      </c>
      <c r="C206" s="33" t="s">
        <v>24</v>
      </c>
      <c r="D206" s="34">
        <v>2024</v>
      </c>
      <c r="E206" s="34" t="s">
        <v>25</v>
      </c>
      <c r="F206" s="6">
        <v>7</v>
      </c>
      <c r="G206" s="6">
        <v>6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35">
        <f>SUM(F206:R206)</f>
        <v>13</v>
      </c>
      <c r="T206" s="35">
        <f>COUNT(F206:R206)</f>
        <v>2</v>
      </c>
      <c r="U206" s="36">
        <f>IF(T206&gt;=2,ROUND((IF(T206=2,0.55,IF(T206&lt;=4,0.7,IF(T206&lt;=6,0.8,IF(T206&lt;=9,0.9,1))))*(S206/T206)+(1-(IF(T206=2,0.55,IF(T206&lt;=4,0.7,IF(T206&lt;=6,0.8,IF(T206&lt;=9,0.9,1))))))*$Y$1),1),"")</f>
        <v>7.2</v>
      </c>
      <c r="V206" s="37">
        <v>7</v>
      </c>
      <c r="W206" s="38"/>
    </row>
    <row r="207" ht="24" customHeight="1" spans="1:23" s="39" customFormat="1" x14ac:dyDescent="0.25">
      <c r="A207" s="40">
        <v>2143</v>
      </c>
      <c r="B207" s="32" t="s">
        <v>258</v>
      </c>
      <c r="C207" s="33" t="s">
        <v>24</v>
      </c>
      <c r="D207" s="34">
        <v>2004</v>
      </c>
      <c r="E207" s="41"/>
      <c r="F207" s="6"/>
      <c r="G207" s="6">
        <v>7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35">
        <f>SUM(F207:R207)</f>
        <v>7</v>
      </c>
      <c r="T207" s="35">
        <f>COUNT(F207:R207)</f>
        <v>1</v>
      </c>
      <c r="U207" s="36">
        <f>IF(T207&gt;=2,ROUND((IF(T207=2,0.55,IF(T207&lt;=4,0.7,IF(T207&lt;=6,0.8,IF(T207&lt;=9,0.9,1))))*(S207/T207)+(1-(IF(T207=2,0.55,IF(T207&lt;=4,0.7,IF(T207&lt;=6,0.8,IF(T207&lt;=9,0.9,1))))))*$Y$1),1),"")</f>
      </c>
      <c r="V207" s="37">
        <v>7.8</v>
      </c>
      <c r="W207" s="38"/>
    </row>
    <row r="208" ht="24" customHeight="1" spans="1:23" x14ac:dyDescent="0.25">
      <c r="A208" s="31">
        <v>1687</v>
      </c>
      <c r="B208" s="32" t="s">
        <v>259</v>
      </c>
      <c r="C208" s="33" t="s">
        <v>260</v>
      </c>
      <c r="D208" s="34">
        <v>2023</v>
      </c>
      <c r="E208" s="34" t="s">
        <v>30</v>
      </c>
      <c r="F208" s="6"/>
      <c r="G208" s="6"/>
      <c r="H208" s="6">
        <v>9</v>
      </c>
      <c r="I208" s="6"/>
      <c r="J208" s="6">
        <v>9</v>
      </c>
      <c r="K208" s="6"/>
      <c r="L208" s="6"/>
      <c r="M208" s="6"/>
      <c r="N208" s="6"/>
      <c r="O208" s="6">
        <v>8</v>
      </c>
      <c r="P208" s="6"/>
      <c r="Q208" s="6"/>
      <c r="R208" s="6"/>
      <c r="S208" s="35">
        <f>SUM(F208:R208)</f>
        <v>17</v>
      </c>
      <c r="T208" s="35">
        <f>COUNT(F208:R208)</f>
        <v>2</v>
      </c>
      <c r="U208" s="36">
        <f>IF(T208&gt;=2,ROUND((IF(T208=2,0.55,IF(T208&lt;=4,0.7,IF(T208&lt;=6,0.8,IF(T208&lt;=9,0.9,1))))*(S208/T208)+(1-(IF(T208=2,0.55,IF(T208&lt;=4,0.7,IF(T208&lt;=6,0.8,IF(T208&lt;=9,0.9,1))))))*$Y$1),1),"")</f>
        <v>8.3</v>
      </c>
      <c r="V208" s="37">
        <v>7.5</v>
      </c>
      <c r="W208" s="38"/>
    </row>
    <row r="209" ht="24" customHeight="1" spans="1:23" x14ac:dyDescent="0.25">
      <c r="A209" s="31">
        <v>551</v>
      </c>
      <c r="B209" s="32" t="s">
        <v>261</v>
      </c>
      <c r="C209" s="33" t="s">
        <v>24</v>
      </c>
      <c r="D209" s="34">
        <v>1997</v>
      </c>
      <c r="E209" s="34" t="s">
        <v>52</v>
      </c>
      <c r="F209" s="6">
        <v>10</v>
      </c>
      <c r="G209" s="6">
        <v>8</v>
      </c>
      <c r="H209" s="6">
        <v>10</v>
      </c>
      <c r="I209" s="6">
        <v>8</v>
      </c>
      <c r="J209" s="6">
        <v>10</v>
      </c>
      <c r="K209" s="6">
        <v>10</v>
      </c>
      <c r="L209" s="6">
        <v>10</v>
      </c>
      <c r="M209" s="6">
        <v>10</v>
      </c>
      <c r="N209" s="6">
        <v>10</v>
      </c>
      <c r="O209" s="6"/>
      <c r="P209" s="6">
        <v>8</v>
      </c>
      <c r="Q209" s="6">
        <v>10</v>
      </c>
      <c r="R209" s="6">
        <v>10</v>
      </c>
      <c r="S209" s="35">
        <f>SUM(F209:R209)</f>
        <v>114</v>
      </c>
      <c r="T209" s="35">
        <f>COUNT(F209:R209)</f>
        <v>12</v>
      </c>
      <c r="U209" s="36">
        <f>IF(T209&gt;=2,ROUND((IF(T209=2,0.55,IF(T209&lt;=4,0.7,IF(T209&lt;=6,0.8,IF(T209&lt;=9,0.9,1))))*(S209/T209)+(1-(IF(T209=2,0.55,IF(T209&lt;=4,0.7,IF(T209&lt;=6,0.8,IF(T209&lt;=9,0.9,1))))))*$Y$1),1),"")</f>
        <v>9.5</v>
      </c>
      <c r="V209" s="37">
        <v>8</v>
      </c>
      <c r="W209" s="38"/>
    </row>
    <row r="210" ht="24" customHeight="1" spans="1:23" x14ac:dyDescent="0.25">
      <c r="A210" s="40">
        <v>2131</v>
      </c>
      <c r="B210" s="32" t="s">
        <v>262</v>
      </c>
      <c r="C210" s="33" t="s">
        <v>24</v>
      </c>
      <c r="D210" s="34">
        <v>2002</v>
      </c>
      <c r="E210" s="41"/>
      <c r="F210" s="6"/>
      <c r="G210" s="6">
        <v>7</v>
      </c>
      <c r="H210" s="6"/>
      <c r="I210" s="6"/>
      <c r="J210" s="6"/>
      <c r="K210" s="6"/>
      <c r="L210" s="6">
        <v>7.5</v>
      </c>
      <c r="M210" s="6"/>
      <c r="N210" s="6"/>
      <c r="O210" s="6"/>
      <c r="P210" s="6"/>
      <c r="Q210" s="6"/>
      <c r="R210" s="6"/>
      <c r="S210" s="35">
        <f>SUM(F210:R210)</f>
        <v>14.5</v>
      </c>
      <c r="T210" s="35">
        <f>COUNT(F210:R210)</f>
        <v>2</v>
      </c>
      <c r="U210" s="36">
        <f>IF(T210&gt;=2,ROUND((IF(T210=2,0.55,IF(T210&lt;=4,0.7,IF(T210&lt;=6,0.8,IF(T210&lt;=9,0.9,1))))*(S210/T210)+(1-(IF(T210=2,0.55,IF(T210&lt;=4,0.7,IF(T210&lt;=6,0.8,IF(T210&lt;=9,0.9,1))))))*$Y$1),1),"")</f>
        <v>7.6</v>
      </c>
      <c r="V210" s="37">
        <v>7.9</v>
      </c>
      <c r="W210" s="38"/>
    </row>
    <row r="211" ht="24" customHeight="1" spans="1:23" x14ac:dyDescent="0.25">
      <c r="A211" s="31">
        <v>903</v>
      </c>
      <c r="B211" s="32" t="s">
        <v>263</v>
      </c>
      <c r="C211" s="33" t="s">
        <v>24</v>
      </c>
      <c r="D211" s="34">
        <v>2020</v>
      </c>
      <c r="E211" s="34" t="s">
        <v>27</v>
      </c>
      <c r="F211" s="6">
        <v>8</v>
      </c>
      <c r="G211" s="6"/>
      <c r="H211" s="6"/>
      <c r="I211" s="6"/>
      <c r="J211" s="6"/>
      <c r="K211" s="6"/>
      <c r="L211" s="6">
        <v>6</v>
      </c>
      <c r="M211" s="6"/>
      <c r="N211" s="6"/>
      <c r="O211" s="6"/>
      <c r="P211" s="6"/>
      <c r="Q211" s="6"/>
      <c r="R211" s="6"/>
      <c r="S211" s="35">
        <f>SUM(F211:R211)</f>
        <v>14</v>
      </c>
      <c r="T211" s="35">
        <f>COUNT(F211:R211)</f>
        <v>2</v>
      </c>
      <c r="U211" s="36">
        <f>IF(T211&gt;=2,ROUND((IF(T211=2,0.55,IF(T211&lt;=4,0.7,IF(T211&lt;=6,0.8,IF(T211&lt;=9,0.9,1))))*(S211/T211)+(1-(IF(T211=2,0.55,IF(T211&lt;=4,0.7,IF(T211&lt;=6,0.8,IF(T211&lt;=9,0.9,1))))))*$Y$1),1),"")</f>
        <v>7.5</v>
      </c>
      <c r="V211" s="37">
        <v>7.3</v>
      </c>
      <c r="W211" s="38"/>
    </row>
    <row r="212" ht="24" customHeight="1" spans="1:23" x14ac:dyDescent="0.25">
      <c r="A212" s="31">
        <v>231</v>
      </c>
      <c r="B212" s="32" t="s">
        <v>264</v>
      </c>
      <c r="C212" s="33" t="s">
        <v>24</v>
      </c>
      <c r="D212" s="34">
        <v>2008</v>
      </c>
      <c r="E212" s="34" t="s">
        <v>27</v>
      </c>
      <c r="F212" s="6"/>
      <c r="G212" s="6"/>
      <c r="H212" s="6"/>
      <c r="I212" s="6"/>
      <c r="J212" s="6">
        <v>8</v>
      </c>
      <c r="K212" s="6">
        <v>10</v>
      </c>
      <c r="L212" s="6"/>
      <c r="M212" s="6"/>
      <c r="N212" s="6"/>
      <c r="O212" s="6"/>
      <c r="P212" s="6"/>
      <c r="Q212" s="6">
        <v>10</v>
      </c>
      <c r="R212" s="6"/>
      <c r="S212" s="35">
        <f>SUM(F212:R212)</f>
        <v>28</v>
      </c>
      <c r="T212" s="35">
        <f>COUNT(F212:R212)</f>
        <v>3</v>
      </c>
      <c r="U212" s="36">
        <f>IF(T212&gt;=2,ROUND((IF(T212=2,0.55,IF(T212&lt;=4,0.7,IF(T212&lt;=6,0.8,IF(T212&lt;=9,0.9,1))))*(S212/T212)+(1-(IF(T212=2,0.55,IF(T212&lt;=4,0.7,IF(T212&lt;=6,0.8,IF(T212&lt;=9,0.9,1))))))*$Y$1),1),"")</f>
        <v>9</v>
      </c>
      <c r="V212" s="37">
        <v>6.6</v>
      </c>
      <c r="W212" s="38"/>
    </row>
    <row r="213" ht="24" customHeight="1" spans="1:23" x14ac:dyDescent="0.25">
      <c r="A213" s="47">
        <v>1607</v>
      </c>
      <c r="B213" s="32" t="s">
        <v>265</v>
      </c>
      <c r="C213" s="48" t="s">
        <v>24</v>
      </c>
      <c r="D213" s="49">
        <v>2022</v>
      </c>
      <c r="E213" s="49" t="s">
        <v>27</v>
      </c>
      <c r="F213" s="6">
        <v>8</v>
      </c>
      <c r="G213" s="6">
        <v>8</v>
      </c>
      <c r="H213" s="6">
        <v>8</v>
      </c>
      <c r="I213" s="6">
        <v>8</v>
      </c>
      <c r="J213" s="6">
        <v>8</v>
      </c>
      <c r="K213" s="6">
        <v>8</v>
      </c>
      <c r="L213" s="6"/>
      <c r="M213" s="6">
        <v>9</v>
      </c>
      <c r="N213" s="6">
        <v>9</v>
      </c>
      <c r="O213" s="6">
        <v>8</v>
      </c>
      <c r="P213" s="6">
        <v>8</v>
      </c>
      <c r="Q213" s="6">
        <v>8</v>
      </c>
      <c r="R213" s="6"/>
      <c r="S213" s="50">
        <f>SUM(F213:R213)</f>
        <v>90</v>
      </c>
      <c r="T213" s="50">
        <f>COUNT(F213:R213)</f>
        <v>11</v>
      </c>
      <c r="U213" s="36">
        <f>IF(T213&gt;=2,ROUND((IF(T213=2,0.55,IF(T213&lt;=4,0.7,IF(T213&lt;=6,0.8,IF(T213&lt;=9,0.9,1))))*(S213/T213)+(1-(IF(T213=2,0.55,IF(T213&lt;=4,0.7,IF(T213&lt;=6,0.8,IF(T213&lt;=9,0.9,1))))))*$Y$1),1),"")</f>
        <v>8.2</v>
      </c>
      <c r="V213" s="37">
        <v>7.2</v>
      </c>
      <c r="W213" s="38" t="s">
        <v>44</v>
      </c>
    </row>
    <row r="214" ht="24" customHeight="1" spans="1:23" x14ac:dyDescent="0.25">
      <c r="A214" s="31">
        <v>848</v>
      </c>
      <c r="B214" s="32" t="s">
        <v>266</v>
      </c>
      <c r="C214" s="33" t="s">
        <v>29</v>
      </c>
      <c r="D214" s="34">
        <v>2016</v>
      </c>
      <c r="E214" s="34" t="s">
        <v>27</v>
      </c>
      <c r="F214" s="6">
        <v>8</v>
      </c>
      <c r="G214" s="6"/>
      <c r="H214" s="6"/>
      <c r="I214" s="6"/>
      <c r="J214" s="6">
        <v>8</v>
      </c>
      <c r="K214" s="6"/>
      <c r="L214" s="6"/>
      <c r="M214" s="6"/>
      <c r="N214" s="6"/>
      <c r="O214" s="6"/>
      <c r="P214" s="6"/>
      <c r="Q214" s="6"/>
      <c r="R214" s="6"/>
      <c r="S214" s="35">
        <f>SUM(F214:R214)</f>
        <v>16</v>
      </c>
      <c r="T214" s="35">
        <f>COUNT(F214:R214)</f>
        <v>2</v>
      </c>
      <c r="U214" s="36">
        <f>IF(T214&gt;=2,ROUND((IF(T214=2,0.55,IF(T214&lt;=4,0.7,IF(T214&lt;=6,0.8,IF(T214&lt;=9,0.9,1))))*(S214/T214)+(1-(IF(T214=2,0.55,IF(T214&lt;=4,0.7,IF(T214&lt;=6,0.8,IF(T214&lt;=9,0.9,1))))))*$Y$1),1),"")</f>
        <v>8</v>
      </c>
      <c r="V214" s="37">
        <v>8.7</v>
      </c>
      <c r="W214" s="38"/>
    </row>
    <row r="215" ht="70.5" customHeight="1" spans="1:23" x14ac:dyDescent="0.25">
      <c r="A215" s="31">
        <v>868</v>
      </c>
      <c r="B215" s="32" t="s">
        <v>267</v>
      </c>
      <c r="C215" s="33" t="s">
        <v>24</v>
      </c>
      <c r="D215" s="34">
        <v>1991</v>
      </c>
      <c r="E215" s="34" t="s">
        <v>33</v>
      </c>
      <c r="F215" s="6">
        <v>8</v>
      </c>
      <c r="G215" s="6">
        <v>8</v>
      </c>
      <c r="H215" s="6">
        <v>8</v>
      </c>
      <c r="I215" s="6">
        <v>6</v>
      </c>
      <c r="J215" s="6">
        <v>8</v>
      </c>
      <c r="K215" s="6">
        <v>8</v>
      </c>
      <c r="L215" s="6">
        <v>8</v>
      </c>
      <c r="M215" s="6">
        <v>8</v>
      </c>
      <c r="N215" s="6">
        <v>6</v>
      </c>
      <c r="O215" s="6">
        <v>8</v>
      </c>
      <c r="P215" s="6">
        <v>8</v>
      </c>
      <c r="Q215" s="6">
        <v>8</v>
      </c>
      <c r="R215" s="6">
        <v>8</v>
      </c>
      <c r="S215" s="35">
        <f>SUM(F215:R215)</f>
        <v>100</v>
      </c>
      <c r="T215" s="35">
        <f>COUNT(F215:R215)</f>
        <v>13</v>
      </c>
      <c r="U215" s="36">
        <f>IF(T215&gt;=2,ROUND((IF(T215=2,0.55,IF(T215&lt;=4,0.7,IF(T215&lt;=6,0.8,IF(T215&lt;=9,0.9,1))))*(S215/T215)+(1-(IF(T215=2,0.55,IF(T215&lt;=4,0.7,IF(T215&lt;=6,0.8,IF(T215&lt;=9,0.9,1))))))*$Y$1),1),"")</f>
        <v>7.7</v>
      </c>
      <c r="V215" s="37">
        <v>7.6</v>
      </c>
      <c r="W215" s="38"/>
    </row>
    <row r="216" ht="24" customHeight="1" spans="1:23" x14ac:dyDescent="0.25">
      <c r="A216" s="31">
        <v>1837</v>
      </c>
      <c r="B216" s="32" t="s">
        <v>268</v>
      </c>
      <c r="C216" s="33" t="s">
        <v>29</v>
      </c>
      <c r="D216" s="34">
        <v>2017</v>
      </c>
      <c r="E216" s="34" t="s">
        <v>48</v>
      </c>
      <c r="F216" s="6"/>
      <c r="G216" s="6"/>
      <c r="H216" s="6">
        <v>9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35">
        <f>SUM(F216:R216)</f>
        <v>9</v>
      </c>
      <c r="T216" s="35">
        <f>COUNT(F216:R216)</f>
        <v>1</v>
      </c>
      <c r="U216" s="36">
        <f>IF(T216&gt;=2,ROUND((IF(T216=2,0.55,IF(T216&lt;=4,0.7,IF(T216&lt;=6,0.8,IF(T216&lt;=9,0.9,1))))*(S216/T216)+(1-(IF(T216=2,0.55,IF(T216&lt;=4,0.7,IF(T216&lt;=6,0.8,IF(T216&lt;=9,0.9,1))))))*$Y$1),1),"")</f>
      </c>
      <c r="V216" s="37">
        <v>7.5</v>
      </c>
      <c r="W216" s="38"/>
    </row>
    <row r="217" ht="24" customHeight="1" spans="1:23" s="39" customFormat="1" x14ac:dyDescent="0.25">
      <c r="A217" s="31">
        <v>1371</v>
      </c>
      <c r="B217" s="32" t="s">
        <v>269</v>
      </c>
      <c r="C217" s="33" t="s">
        <v>270</v>
      </c>
      <c r="D217" s="34">
        <v>2021</v>
      </c>
      <c r="E217" s="34" t="s">
        <v>106</v>
      </c>
      <c r="F217" s="6"/>
      <c r="G217" s="6"/>
      <c r="H217" s="6"/>
      <c r="I217" s="6"/>
      <c r="J217" s="6"/>
      <c r="K217" s="6"/>
      <c r="L217" s="6">
        <v>8</v>
      </c>
      <c r="M217" s="6"/>
      <c r="N217" s="6"/>
      <c r="O217" s="6"/>
      <c r="P217" s="6"/>
      <c r="Q217" s="6"/>
      <c r="R217" s="6"/>
      <c r="S217" s="35">
        <f>SUM(F217:R217)</f>
        <v>8</v>
      </c>
      <c r="T217" s="35">
        <f>COUNT(F217:R217)</f>
        <v>1</v>
      </c>
      <c r="U217" s="36">
        <f>IF(T217&gt;=2,ROUND((IF(T217=2,0.55,IF(T217&lt;=4,0.7,IF(T217&lt;=6,0.8,IF(T217&lt;=9,0.9,1))))*(S217/T217)+(1-(IF(T217=2,0.55,IF(T217&lt;=4,0.7,IF(T217&lt;=6,0.8,IF(T217&lt;=9,0.9,1))))))*$Y$1),1),"")</f>
      </c>
      <c r="V217" s="37">
        <v>8</v>
      </c>
      <c r="W217" s="38"/>
    </row>
    <row r="218" ht="24" customHeight="1" spans="1:23" x14ac:dyDescent="0.25">
      <c r="A218" s="31">
        <v>987</v>
      </c>
      <c r="B218" s="32" t="s">
        <v>271</v>
      </c>
      <c r="C218" s="33" t="s">
        <v>29</v>
      </c>
      <c r="D218" s="34">
        <v>2020</v>
      </c>
      <c r="E218" s="34" t="s">
        <v>106</v>
      </c>
      <c r="F218" s="6">
        <v>8</v>
      </c>
      <c r="G218" s="6"/>
      <c r="H218" s="6"/>
      <c r="I218" s="6"/>
      <c r="J218" s="6"/>
      <c r="K218" s="6"/>
      <c r="L218" s="6">
        <v>8</v>
      </c>
      <c r="M218" s="6"/>
      <c r="N218" s="6"/>
      <c r="O218" s="6"/>
      <c r="P218" s="6"/>
      <c r="Q218" s="6"/>
      <c r="R218" s="6"/>
      <c r="S218" s="35">
        <f>SUM(F218:R218)</f>
        <v>16</v>
      </c>
      <c r="T218" s="35">
        <f>COUNT(F218:R218)</f>
        <v>2</v>
      </c>
      <c r="U218" s="36">
        <f>IF(T218&gt;=2,ROUND((IF(T218=2,0.55,IF(T218&lt;=4,0.7,IF(T218&lt;=6,0.8,IF(T218&lt;=9,0.9,1))))*(S218/T218)+(1-(IF(T218=2,0.55,IF(T218&lt;=4,0.7,IF(T218&lt;=6,0.8,IF(T218&lt;=9,0.9,1))))))*$Y$1),1),"")</f>
        <v>8</v>
      </c>
      <c r="V218" s="37">
        <v>7.4</v>
      </c>
      <c r="W218" s="38"/>
    </row>
    <row r="219" ht="24" customHeight="1" spans="1:23" x14ac:dyDescent="0.25">
      <c r="A219" s="31">
        <v>1032</v>
      </c>
      <c r="B219" s="32" t="s">
        <v>272</v>
      </c>
      <c r="C219" s="33" t="s">
        <v>29</v>
      </c>
      <c r="D219" s="34">
        <v>2021</v>
      </c>
      <c r="E219" s="34" t="s">
        <v>27</v>
      </c>
      <c r="F219" s="6">
        <v>6</v>
      </c>
      <c r="G219" s="6"/>
      <c r="H219" s="6"/>
      <c r="I219" s="6">
        <v>8</v>
      </c>
      <c r="J219" s="6"/>
      <c r="K219" s="6">
        <v>8</v>
      </c>
      <c r="L219" s="6"/>
      <c r="M219" s="6"/>
      <c r="N219" s="6"/>
      <c r="O219" s="6"/>
      <c r="P219" s="6"/>
      <c r="Q219" s="6">
        <v>8</v>
      </c>
      <c r="R219" s="6"/>
      <c r="S219" s="35">
        <f>SUM(F219:R219)</f>
        <v>30</v>
      </c>
      <c r="T219" s="35">
        <f>COUNT(F219:R219)</f>
        <v>4</v>
      </c>
      <c r="U219" s="36">
        <f>IF(T219&gt;=2,ROUND((IF(T219=2,0.55,IF(T219&lt;=4,0.7,IF(T219&lt;=6,0.8,IF(T219&lt;=9,0.9,1))))*(S219/T219)+(1-(IF(T219=2,0.55,IF(T219&lt;=4,0.7,IF(T219&lt;=6,0.8,IF(T219&lt;=9,0.9,1))))))*$Y$1),1),"")</f>
        <v>7.7</v>
      </c>
      <c r="V219" s="37">
        <v>7.4</v>
      </c>
      <c r="W219" s="38"/>
    </row>
    <row r="220" ht="24" customHeight="1" spans="1:23" x14ac:dyDescent="0.25">
      <c r="A220" s="31">
        <v>131</v>
      </c>
      <c r="B220" s="32" t="s">
        <v>273</v>
      </c>
      <c r="C220" s="33" t="s">
        <v>29</v>
      </c>
      <c r="D220" s="34">
        <v>2007</v>
      </c>
      <c r="E220" s="34" t="s">
        <v>43</v>
      </c>
      <c r="F220" s="6"/>
      <c r="G220" s="6"/>
      <c r="H220" s="6">
        <v>10</v>
      </c>
      <c r="I220" s="6">
        <v>8</v>
      </c>
      <c r="J220" s="6"/>
      <c r="K220" s="6">
        <v>10</v>
      </c>
      <c r="L220" s="6"/>
      <c r="M220" s="6"/>
      <c r="N220" s="6"/>
      <c r="O220" s="6"/>
      <c r="P220" s="6"/>
      <c r="Q220" s="6">
        <v>10</v>
      </c>
      <c r="R220" s="6"/>
      <c r="S220" s="35">
        <f>SUM(F220:R220)</f>
        <v>38</v>
      </c>
      <c r="T220" s="35">
        <f>COUNT(F220:R220)</f>
        <v>4</v>
      </c>
      <c r="U220" s="36">
        <f>IF(T220&gt;=2,ROUND((IF(T220=2,0.55,IF(T220&lt;=4,0.7,IF(T220&lt;=6,0.8,IF(T220&lt;=9,0.9,1))))*(S220/T220)+(1-(IF(T220=2,0.55,IF(T220&lt;=4,0.7,IF(T220&lt;=6,0.8,IF(T220&lt;=9,0.9,1))))))*$Y$1),1),"")</f>
        <v>9.1</v>
      </c>
      <c r="V220" s="37">
        <v>8.1</v>
      </c>
      <c r="W220" s="38"/>
    </row>
    <row r="221" ht="24" customHeight="1" spans="1:23" x14ac:dyDescent="0.25">
      <c r="A221" s="31">
        <v>1956</v>
      </c>
      <c r="B221" s="32" t="s">
        <v>274</v>
      </c>
      <c r="C221" s="33" t="s">
        <v>29</v>
      </c>
      <c r="D221" s="34">
        <v>2024</v>
      </c>
      <c r="E221" s="34" t="s">
        <v>48</v>
      </c>
      <c r="F221" s="6">
        <v>10</v>
      </c>
      <c r="G221" s="6"/>
      <c r="H221" s="6">
        <v>10</v>
      </c>
      <c r="I221" s="6"/>
      <c r="J221" s="6">
        <v>10</v>
      </c>
      <c r="K221" s="6"/>
      <c r="L221" s="6"/>
      <c r="M221" s="6"/>
      <c r="N221" s="6">
        <v>10</v>
      </c>
      <c r="O221" s="6"/>
      <c r="P221" s="6"/>
      <c r="Q221" s="6"/>
      <c r="R221" s="6"/>
      <c r="S221" s="35">
        <f>SUM(F221:R221)</f>
        <v>40</v>
      </c>
      <c r="T221" s="35">
        <f>COUNT(F221:R221)</f>
        <v>4</v>
      </c>
      <c r="U221" s="36">
        <f>IF(T221&gt;=2,ROUND((IF(T221=2,0.55,IF(T221&lt;=4,0.7,IF(T221&lt;=6,0.8,IF(T221&lt;=9,0.9,1))))*(S221/T221)+(1-(IF(T221=2,0.55,IF(T221&lt;=4,0.7,IF(T221&lt;=6,0.8,IF(T221&lt;=9,0.9,1))))))*$Y$1),1),"")</f>
        <v>9.4</v>
      </c>
      <c r="V221" s="37">
        <v>8</v>
      </c>
      <c r="W221" s="38"/>
    </row>
    <row r="222" ht="24" customHeight="1" spans="1:23" x14ac:dyDescent="0.25">
      <c r="A222" s="31">
        <v>1867</v>
      </c>
      <c r="B222" s="32" t="s">
        <v>275</v>
      </c>
      <c r="C222" s="33" t="s">
        <v>29</v>
      </c>
      <c r="D222" s="34">
        <v>2019</v>
      </c>
      <c r="E222" s="34" t="s">
        <v>25</v>
      </c>
      <c r="F222" s="6"/>
      <c r="G222" s="6"/>
      <c r="H222" s="6">
        <v>9</v>
      </c>
      <c r="I222" s="6"/>
      <c r="J222" s="6"/>
      <c r="K222" s="6">
        <v>8</v>
      </c>
      <c r="L222" s="6"/>
      <c r="M222" s="6"/>
      <c r="N222" s="6"/>
      <c r="O222" s="6"/>
      <c r="P222" s="6"/>
      <c r="Q222" s="6">
        <v>8</v>
      </c>
      <c r="R222" s="6"/>
      <c r="S222" s="35">
        <f>SUM(F222:R222)</f>
        <v>25</v>
      </c>
      <c r="T222" s="35">
        <f>COUNT(F222:R222)</f>
        <v>3</v>
      </c>
      <c r="U222" s="36">
        <f>IF(T222&gt;=2,ROUND((IF(T222=2,0.55,IF(T222&lt;=4,0.7,IF(T222&lt;=6,0.8,IF(T222&lt;=9,0.9,1))))*(S222/T222)+(1-(IF(T222=2,0.55,IF(T222&lt;=4,0.7,IF(T222&lt;=6,0.8,IF(T222&lt;=9,0.9,1))))))*$Y$1),1),"")</f>
        <v>8.3</v>
      </c>
      <c r="V222" s="37">
        <v>7</v>
      </c>
      <c r="W222" s="38"/>
    </row>
    <row r="223" ht="24" customHeight="1" spans="1:23" x14ac:dyDescent="0.25">
      <c r="A223" s="31">
        <v>1517</v>
      </c>
      <c r="B223" s="32" t="s">
        <v>276</v>
      </c>
      <c r="C223" s="33" t="s">
        <v>24</v>
      </c>
      <c r="D223" s="34">
        <v>2022</v>
      </c>
      <c r="E223" s="34" t="s">
        <v>30</v>
      </c>
      <c r="F223" s="6"/>
      <c r="G223" s="6"/>
      <c r="H223" s="6"/>
      <c r="I223" s="6"/>
      <c r="J223" s="6">
        <v>6</v>
      </c>
      <c r="K223" s="6"/>
      <c r="L223" s="6"/>
      <c r="M223" s="6"/>
      <c r="N223" s="6"/>
      <c r="O223" s="6"/>
      <c r="P223" s="6"/>
      <c r="Q223" s="6"/>
      <c r="R223" s="6"/>
      <c r="S223" s="35">
        <f>SUM(F223:R223)</f>
        <v>6</v>
      </c>
      <c r="T223" s="35">
        <f>COUNT(F223:R223)</f>
        <v>1</v>
      </c>
      <c r="U223" s="36">
        <f>IF(T223&gt;=2,ROUND((IF(T223=2,0.55,IF(T223&lt;=4,0.7,IF(T223&lt;=6,0.8,IF(T223&lt;=9,0.9,1))))*(S223/T223)+(1-(IF(T223=2,0.55,IF(T223&lt;=4,0.7,IF(T223&lt;=6,0.8,IF(T223&lt;=9,0.9,1))))))*$Y$1),1),"")</f>
      </c>
      <c r="V223" s="37">
        <v>6</v>
      </c>
      <c r="W223" s="38"/>
    </row>
    <row r="224" ht="24" customHeight="1" spans="1:23" x14ac:dyDescent="0.25">
      <c r="A224" s="31">
        <v>683</v>
      </c>
      <c r="B224" s="32" t="s">
        <v>277</v>
      </c>
      <c r="C224" s="33" t="s">
        <v>24</v>
      </c>
      <c r="D224" s="34">
        <v>2017</v>
      </c>
      <c r="E224" s="34" t="s">
        <v>27</v>
      </c>
      <c r="F224" s="6"/>
      <c r="G224" s="6">
        <v>9</v>
      </c>
      <c r="H224" s="6"/>
      <c r="I224" s="6">
        <v>8</v>
      </c>
      <c r="J224" s="6">
        <v>8</v>
      </c>
      <c r="K224" s="6">
        <v>8</v>
      </c>
      <c r="L224" s="6">
        <v>8</v>
      </c>
      <c r="M224" s="6">
        <v>8</v>
      </c>
      <c r="N224" s="6">
        <v>8</v>
      </c>
      <c r="O224" s="6"/>
      <c r="P224" s="6"/>
      <c r="Q224" s="6">
        <v>8</v>
      </c>
      <c r="R224" s="6"/>
      <c r="S224" s="35">
        <f>SUM(F224:R224)</f>
        <v>65</v>
      </c>
      <c r="T224" s="35">
        <f>COUNT(F224:R224)</f>
        <v>8</v>
      </c>
      <c r="U224" s="36">
        <f>IF(T224&gt;=2,ROUND((IF(T224=2,0.55,IF(T224&lt;=4,0.7,IF(T224&lt;=6,0.8,IF(T224&lt;=9,0.9,1))))*(S224/T224)+(1-(IF(T224=2,0.55,IF(T224&lt;=4,0.7,IF(T224&lt;=6,0.8,IF(T224&lt;=9,0.9,1))))))*$Y$1),1),"")</f>
        <v>8.1</v>
      </c>
      <c r="V224" s="37">
        <v>7.2</v>
      </c>
      <c r="W224" s="38"/>
    </row>
    <row r="225" ht="24" customHeight="1" spans="1:23" x14ac:dyDescent="0.25">
      <c r="A225" s="31">
        <v>2005</v>
      </c>
      <c r="B225" s="32" t="s">
        <v>278</v>
      </c>
      <c r="C225" s="33" t="s">
        <v>29</v>
      </c>
      <c r="D225" s="34">
        <v>2012</v>
      </c>
      <c r="E225" s="34"/>
      <c r="F225" s="6"/>
      <c r="G225" s="6"/>
      <c r="H225" s="6">
        <v>9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35">
        <f>SUM(F225:R225)</f>
        <v>9</v>
      </c>
      <c r="T225" s="35">
        <f>COUNT(F225:R225)</f>
        <v>1</v>
      </c>
      <c r="U225" s="36">
        <f>IF(T225&gt;=2,ROUND((IF(T225=2,0.55,IF(T225&lt;=4,0.7,IF(T225&lt;=6,0.8,IF(T225&lt;=9,0.9,1))))*(S225/T225)+(1-(IF(T225=2,0.55,IF(T225&lt;=4,0.7,IF(T225&lt;=6,0.8,IF(T225&lt;=9,0.9,1))))))*$Y$1),1),"")</f>
      </c>
      <c r="V225" s="37">
        <v>7.7</v>
      </c>
      <c r="W225" s="38"/>
    </row>
    <row r="226" ht="24" customHeight="1" spans="1:23" x14ac:dyDescent="0.25">
      <c r="A226" s="31">
        <v>1380</v>
      </c>
      <c r="B226" s="32" t="s">
        <v>279</v>
      </c>
      <c r="C226" s="33" t="s">
        <v>29</v>
      </c>
      <c r="D226" s="34">
        <v>2016</v>
      </c>
      <c r="E226" s="34" t="s">
        <v>106</v>
      </c>
      <c r="F226" s="6"/>
      <c r="G226" s="6"/>
      <c r="H226" s="6"/>
      <c r="I226" s="6"/>
      <c r="J226" s="6"/>
      <c r="K226" s="6"/>
      <c r="L226" s="6">
        <v>9</v>
      </c>
      <c r="M226" s="6"/>
      <c r="N226" s="6"/>
      <c r="O226" s="6"/>
      <c r="P226" s="6"/>
      <c r="Q226" s="6"/>
      <c r="R226" s="6"/>
      <c r="S226" s="35">
        <f>SUM(F226:R226)</f>
        <v>9</v>
      </c>
      <c r="T226" s="35">
        <f>COUNT(F226:R226)</f>
        <v>1</v>
      </c>
      <c r="U226" s="36">
        <f>IF(T226&gt;=2,ROUND((IF(T226=2,0.55,IF(T226&lt;=4,0.7,IF(T226&lt;=6,0.8,IF(T226&lt;=9,0.9,1))))*(S226/T226)+(1-(IF(T226=2,0.55,IF(T226&lt;=4,0.7,IF(T226&lt;=6,0.8,IF(T226&lt;=9,0.9,1))))))*$Y$1),1),"")</f>
      </c>
      <c r="V226" s="37">
        <v>8.4</v>
      </c>
      <c r="W226" s="38"/>
    </row>
    <row r="227" ht="24" customHeight="1" spans="1:23" x14ac:dyDescent="0.25">
      <c r="A227" s="31">
        <v>1951</v>
      </c>
      <c r="B227" s="32" t="s">
        <v>280</v>
      </c>
      <c r="C227" s="33" t="s">
        <v>29</v>
      </c>
      <c r="D227" s="34">
        <v>2024</v>
      </c>
      <c r="E227" s="34" t="s">
        <v>25</v>
      </c>
      <c r="F227" s="6">
        <v>8</v>
      </c>
      <c r="G227" s="6"/>
      <c r="H227" s="6">
        <v>10</v>
      </c>
      <c r="I227" s="6"/>
      <c r="J227" s="6">
        <v>9</v>
      </c>
      <c r="K227" s="6">
        <v>9</v>
      </c>
      <c r="L227" s="6">
        <v>8</v>
      </c>
      <c r="M227" s="6">
        <v>8</v>
      </c>
      <c r="N227" s="6"/>
      <c r="O227" s="6"/>
      <c r="P227" s="6">
        <v>7</v>
      </c>
      <c r="Q227" s="6">
        <v>9</v>
      </c>
      <c r="R227" s="6"/>
      <c r="S227" s="35">
        <f>SUM(F227:R227)</f>
        <v>68</v>
      </c>
      <c r="T227" s="35">
        <f>COUNT(F227:R227)</f>
        <v>8</v>
      </c>
      <c r="U227" s="36">
        <f>IF(T227&gt;=2,ROUND((IF(T227=2,0.55,IF(T227&lt;=4,0.7,IF(T227&lt;=6,0.8,IF(T227&lt;=9,0.9,1))))*(S227/T227)+(1-(IF(T227=2,0.55,IF(T227&lt;=4,0.7,IF(T227&lt;=6,0.8,IF(T227&lt;=9,0.9,1))))))*$Y$1),1),"")</f>
        <v>8.5</v>
      </c>
      <c r="V227" s="37">
        <v>7.4</v>
      </c>
      <c r="W227" s="38"/>
    </row>
    <row r="228" ht="24" customHeight="1" spans="1:23" x14ac:dyDescent="0.25">
      <c r="A228" s="31">
        <v>2450</v>
      </c>
      <c r="B228" s="32" t="s">
        <v>281</v>
      </c>
      <c r="C228" s="33" t="s">
        <v>29</v>
      </c>
      <c r="D228" s="34">
        <v>2026</v>
      </c>
      <c r="E228" s="41"/>
      <c r="F228" s="6">
        <v>8</v>
      </c>
      <c r="G228" s="6"/>
      <c r="H228" s="6"/>
      <c r="I228" s="6"/>
      <c r="J228" s="6">
        <v>8</v>
      </c>
      <c r="K228" s="6"/>
      <c r="L228" s="6">
        <v>8</v>
      </c>
      <c r="M228" s="6"/>
      <c r="N228" s="6"/>
      <c r="O228" s="6"/>
      <c r="P228" s="6"/>
      <c r="Q228" s="6"/>
      <c r="R228" s="6"/>
      <c r="S228" s="35">
        <f>SUM(F228:R228)</f>
        <v>24</v>
      </c>
      <c r="T228" s="35">
        <f>COUNT(F228:R228)</f>
        <v>3</v>
      </c>
      <c r="U228" s="36">
        <f>IF(T228&gt;=2,ROUND((IF(T228=2,0.55,IF(T228&lt;=4,0.7,IF(T228&lt;=6,0.8,IF(T228&lt;=9,0.9,1))))*(S228/T228)+(1-(IF(T228=2,0.55,IF(T228&lt;=4,0.7,IF(T228&lt;=6,0.8,IF(T228&lt;=9,0.9,1))))))*$Y$1),1),"")</f>
        <v>8</v>
      </c>
      <c r="V228" s="37">
        <v>7.8</v>
      </c>
      <c r="W228" s="38"/>
    </row>
    <row r="229" ht="24" customHeight="1" spans="1:23" x14ac:dyDescent="0.25">
      <c r="A229" s="31">
        <v>2034</v>
      </c>
      <c r="B229" s="32" t="s">
        <v>282</v>
      </c>
      <c r="C229" s="33" t="s">
        <v>29</v>
      </c>
      <c r="D229" s="34">
        <v>2024</v>
      </c>
      <c r="E229" s="41"/>
      <c r="F229" s="6"/>
      <c r="G229" s="6"/>
      <c r="H229" s="6">
        <v>8</v>
      </c>
      <c r="I229" s="6"/>
      <c r="J229" s="6"/>
      <c r="K229" s="6"/>
      <c r="L229" s="6">
        <v>7</v>
      </c>
      <c r="M229" s="6"/>
      <c r="N229" s="6"/>
      <c r="O229" s="6"/>
      <c r="P229" s="6"/>
      <c r="Q229" s="6"/>
      <c r="R229" s="6"/>
      <c r="S229" s="35">
        <f>SUM(F229:R229)</f>
        <v>15</v>
      </c>
      <c r="T229" s="35">
        <f>COUNT(F229:R229)</f>
        <v>2</v>
      </c>
      <c r="U229" s="36">
        <f>IF(T229&gt;=2,ROUND((IF(T229=2,0.55,IF(T229&lt;=4,0.7,IF(T229&lt;=6,0.8,IF(T229&lt;=9,0.9,1))))*(S229/T229)+(1-(IF(T229=2,0.55,IF(T229&lt;=4,0.7,IF(T229&lt;=6,0.8,IF(T229&lt;=9,0.9,1))))))*$Y$1),1),"")</f>
        <v>7.8</v>
      </c>
      <c r="V229" s="37">
        <v>7.4</v>
      </c>
      <c r="W229" s="38"/>
    </row>
    <row r="230" ht="24" customHeight="1" spans="1:23" x14ac:dyDescent="0.25">
      <c r="A230" s="31">
        <v>1201</v>
      </c>
      <c r="B230" s="32" t="s">
        <v>283</v>
      </c>
      <c r="C230" s="33" t="s">
        <v>24</v>
      </c>
      <c r="D230" s="34">
        <v>2021</v>
      </c>
      <c r="E230" s="34" t="s">
        <v>30</v>
      </c>
      <c r="F230" s="6">
        <v>6</v>
      </c>
      <c r="G230" s="6"/>
      <c r="H230" s="6"/>
      <c r="I230" s="6"/>
      <c r="J230" s="6">
        <v>8</v>
      </c>
      <c r="K230" s="6">
        <v>8</v>
      </c>
      <c r="L230" s="6">
        <v>6</v>
      </c>
      <c r="M230" s="6"/>
      <c r="N230" s="6"/>
      <c r="O230" s="6"/>
      <c r="P230" s="6"/>
      <c r="Q230" s="6">
        <v>8</v>
      </c>
      <c r="R230" s="6"/>
      <c r="S230" s="35">
        <f>SUM(F230:R230)</f>
        <v>36</v>
      </c>
      <c r="T230" s="35">
        <f>COUNT(F230:R230)</f>
        <v>5</v>
      </c>
      <c r="U230" s="36">
        <f>IF(T230&gt;=2,ROUND((IF(T230=2,0.55,IF(T230&lt;=4,0.7,IF(T230&lt;=6,0.8,IF(T230&lt;=9,0.9,1))))*(S230/T230)+(1-(IF(T230=2,0.55,IF(T230&lt;=4,0.7,IF(T230&lt;=6,0.8,IF(T230&lt;=9,0.9,1))))))*$Y$1),1),"")</f>
        <v>7.4</v>
      </c>
      <c r="V230" s="37">
        <v>7.3</v>
      </c>
      <c r="W230" s="38"/>
    </row>
    <row r="231" ht="24" customHeight="1" spans="1:23" x14ac:dyDescent="0.25">
      <c r="A231" s="31">
        <v>1829</v>
      </c>
      <c r="B231" s="32" t="s">
        <v>284</v>
      </c>
      <c r="C231" s="33" t="s">
        <v>29</v>
      </c>
      <c r="D231" s="34">
        <v>2020</v>
      </c>
      <c r="E231" s="34" t="s">
        <v>25</v>
      </c>
      <c r="F231" s="6"/>
      <c r="G231" s="6"/>
      <c r="H231" s="6">
        <v>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35">
        <f>SUM(F231:R231)</f>
        <v>8</v>
      </c>
      <c r="T231" s="35">
        <f>COUNT(F231:R231)</f>
        <v>1</v>
      </c>
      <c r="U231" s="36">
        <f>IF(T231&gt;=2,ROUND((IF(T231=2,0.55,IF(T231&lt;=4,0.7,IF(T231&lt;=6,0.8,IF(T231&lt;=9,0.9,1))))*(S231/T231)+(1-(IF(T231=2,0.55,IF(T231&lt;=4,0.7,IF(T231&lt;=6,0.8,IF(T231&lt;=9,0.9,1))))))*$Y$1),1),"")</f>
      </c>
      <c r="V231" s="37">
        <v>8.1</v>
      </c>
      <c r="W231" s="38"/>
    </row>
    <row r="232" ht="24" customHeight="1" spans="1:23" s="39" customFormat="1" x14ac:dyDescent="0.25">
      <c r="A232" s="31">
        <v>1617</v>
      </c>
      <c r="B232" s="32" t="s">
        <v>285</v>
      </c>
      <c r="C232" s="33" t="s">
        <v>29</v>
      </c>
      <c r="D232" s="34">
        <v>2023</v>
      </c>
      <c r="E232" s="34" t="s">
        <v>30</v>
      </c>
      <c r="F232" s="6"/>
      <c r="G232" s="6"/>
      <c r="H232" s="6"/>
      <c r="I232" s="6"/>
      <c r="J232" s="6">
        <v>7</v>
      </c>
      <c r="K232" s="6"/>
      <c r="L232" s="6"/>
      <c r="M232" s="6"/>
      <c r="N232" s="6"/>
      <c r="O232" s="6"/>
      <c r="P232" s="6"/>
      <c r="Q232" s="6"/>
      <c r="R232" s="6"/>
      <c r="S232" s="35">
        <f>SUM(F232:R232)</f>
        <v>7</v>
      </c>
      <c r="T232" s="35">
        <f>COUNT(F232:R232)</f>
        <v>1</v>
      </c>
      <c r="U232" s="36">
        <f>IF(T232&gt;=2,ROUND((IF(T232=2,0.55,IF(T232&lt;=4,0.7,IF(T232&lt;=6,0.8,IF(T232&lt;=9,0.9,1))))*(S232/T232)+(1-(IF(T232=2,0.55,IF(T232&lt;=4,0.7,IF(T232&lt;=6,0.8,IF(T232&lt;=9,0.9,1))))))*$Y$1),1),"")</f>
      </c>
      <c r="V232" s="37">
        <v>8.4</v>
      </c>
      <c r="W232" s="38"/>
    </row>
    <row r="233" ht="24" customHeight="1" spans="1:23" x14ac:dyDescent="0.25">
      <c r="A233" s="31">
        <v>931</v>
      </c>
      <c r="B233" s="32" t="s">
        <v>286</v>
      </c>
      <c r="C233" s="33" t="s">
        <v>114</v>
      </c>
      <c r="D233" s="34">
        <v>2020</v>
      </c>
      <c r="E233" s="34" t="s">
        <v>30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>
        <v>8</v>
      </c>
      <c r="S233" s="35">
        <f>SUM(F233:R233)</f>
        <v>8</v>
      </c>
      <c r="T233" s="35">
        <f>COUNT(F233:R233)</f>
        <v>1</v>
      </c>
      <c r="U233" s="36">
        <f>IF(T233&gt;=2,ROUND((IF(T233=2,0.55,IF(T233&lt;=4,0.7,IF(T233&lt;=6,0.8,IF(T233&lt;=9,0.9,1))))*(S233/T233)+(1-(IF(T233=2,0.55,IF(T233&lt;=4,0.7,IF(T233&lt;=6,0.8,IF(T233&lt;=9,0.9,1))))))*$Y$1),1),"")</f>
      </c>
      <c r="V233" s="37">
        <v>7.2</v>
      </c>
      <c r="W233" s="38"/>
    </row>
    <row r="234" ht="24" customHeight="1" spans="1:23" x14ac:dyDescent="0.25">
      <c r="A234" s="31">
        <v>1236</v>
      </c>
      <c r="B234" s="32" t="s">
        <v>287</v>
      </c>
      <c r="C234" s="33" t="s">
        <v>24</v>
      </c>
      <c r="D234" s="34">
        <v>2021</v>
      </c>
      <c r="E234" s="34" t="s">
        <v>30</v>
      </c>
      <c r="F234" s="6"/>
      <c r="G234" s="6"/>
      <c r="H234" s="6"/>
      <c r="I234" s="6"/>
      <c r="J234" s="6">
        <v>8</v>
      </c>
      <c r="K234" s="6"/>
      <c r="L234" s="6"/>
      <c r="M234" s="6"/>
      <c r="N234" s="6"/>
      <c r="O234" s="6">
        <v>8</v>
      </c>
      <c r="P234" s="6"/>
      <c r="Q234" s="6"/>
      <c r="R234" s="6"/>
      <c r="S234" s="35">
        <f>SUM(F234:R234)</f>
        <v>16</v>
      </c>
      <c r="T234" s="35">
        <f>COUNT(F234:R234)</f>
        <v>2</v>
      </c>
      <c r="U234" s="36">
        <f>IF(T234&gt;=2,ROUND((IF(T234=2,0.55,IF(T234&lt;=4,0.7,IF(T234&lt;=6,0.8,IF(T234&lt;=9,0.9,1))))*(S234/T234)+(1-(IF(T234=2,0.55,IF(T234&lt;=4,0.7,IF(T234&lt;=6,0.8,IF(T234&lt;=9,0.9,1))))))*$Y$1),1),"")</f>
        <v>8</v>
      </c>
      <c r="V234" s="37">
        <v>7</v>
      </c>
      <c r="W234" s="38"/>
    </row>
    <row r="235" ht="24" customHeight="1" spans="1:23" x14ac:dyDescent="0.25">
      <c r="A235" s="31">
        <v>130</v>
      </c>
      <c r="B235" s="32" t="s">
        <v>288</v>
      </c>
      <c r="C235" s="33" t="s">
        <v>29</v>
      </c>
      <c r="D235" s="34">
        <v>2016</v>
      </c>
      <c r="E235" s="34" t="s">
        <v>30</v>
      </c>
      <c r="F235" s="6">
        <v>8</v>
      </c>
      <c r="G235" s="6"/>
      <c r="H235" s="6">
        <v>10</v>
      </c>
      <c r="I235" s="6">
        <v>8</v>
      </c>
      <c r="J235" s="6"/>
      <c r="K235" s="6">
        <v>10</v>
      </c>
      <c r="L235" s="6">
        <v>8</v>
      </c>
      <c r="M235" s="6">
        <v>10</v>
      </c>
      <c r="N235" s="6">
        <v>10</v>
      </c>
      <c r="O235" s="6">
        <v>10</v>
      </c>
      <c r="P235" s="6">
        <v>8</v>
      </c>
      <c r="Q235" s="6">
        <v>10</v>
      </c>
      <c r="R235" s="6"/>
      <c r="S235" s="35">
        <f>SUM(F235:R235)</f>
        <v>92</v>
      </c>
      <c r="T235" s="35">
        <f>COUNT(F235:R235)</f>
        <v>10</v>
      </c>
      <c r="U235" s="36">
        <f>IF(T235&gt;=2,ROUND((IF(T235=2,0.55,IF(T235&lt;=4,0.7,IF(T235&lt;=6,0.8,IF(T235&lt;=9,0.9,1))))*(S235/T235)+(1-(IF(T235=2,0.55,IF(T235&lt;=4,0.7,IF(T235&lt;=6,0.8,IF(T235&lt;=9,0.9,1))))))*$Y$1),1),"")</f>
        <v>9.2</v>
      </c>
      <c r="V235" s="37">
        <v>8.6</v>
      </c>
      <c r="W235" s="38"/>
    </row>
    <row r="236" ht="24" customHeight="1" spans="1:23" x14ac:dyDescent="0.25">
      <c r="A236" s="31">
        <v>1902</v>
      </c>
      <c r="B236" s="32" t="s">
        <v>289</v>
      </c>
      <c r="C236" s="33" t="s">
        <v>24</v>
      </c>
      <c r="D236" s="34">
        <v>2023</v>
      </c>
      <c r="E236" s="34" t="s">
        <v>48</v>
      </c>
      <c r="F236" s="6">
        <v>8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35">
        <f>SUM(F236:R236)</f>
        <v>8</v>
      </c>
      <c r="T236" s="35">
        <f>COUNT(F236:R236)</f>
        <v>1</v>
      </c>
      <c r="U236" s="36">
        <f>IF(T236&gt;=2,ROUND((IF(T236=2,0.55,IF(T236&lt;=4,0.7,IF(T236&lt;=6,0.8,IF(T236&lt;=9,0.9,1))))*(S236/T236)+(1-(IF(T236=2,0.55,IF(T236&lt;=4,0.7,IF(T236&lt;=6,0.8,IF(T236&lt;=9,0.9,1))))))*$Y$1),1),"")</f>
      </c>
      <c r="V236" s="37">
        <v>6.7</v>
      </c>
      <c r="W236" s="38"/>
    </row>
    <row r="237" ht="24" customHeight="1" spans="1:23" x14ac:dyDescent="0.25">
      <c r="A237" s="31">
        <v>1922</v>
      </c>
      <c r="B237" s="32" t="s">
        <v>290</v>
      </c>
      <c r="C237" s="33" t="s">
        <v>158</v>
      </c>
      <c r="D237" s="34">
        <v>2016</v>
      </c>
      <c r="E237" s="34" t="s">
        <v>48</v>
      </c>
      <c r="F237" s="6"/>
      <c r="G237" s="6"/>
      <c r="H237" s="6"/>
      <c r="I237" s="6"/>
      <c r="J237" s="6">
        <v>9</v>
      </c>
      <c r="K237" s="6"/>
      <c r="L237" s="6"/>
      <c r="M237" s="6"/>
      <c r="N237" s="6"/>
      <c r="O237" s="6"/>
      <c r="P237" s="6"/>
      <c r="Q237" s="6"/>
      <c r="R237" s="6"/>
      <c r="S237" s="35">
        <f>SUM(F237:R237)</f>
        <v>9</v>
      </c>
      <c r="T237" s="35">
        <f>COUNT(F237:R237)</f>
        <v>1</v>
      </c>
      <c r="U237" s="36">
        <f>IF(T237&gt;=2,ROUND((IF(T237=2,0.55,IF(T237&lt;=4,0.7,IF(T237&lt;=6,0.8,IF(T237&lt;=9,0.9,1))))*(S237/T237)+(1-(IF(T237=2,0.55,IF(T237&lt;=4,0.7,IF(T237&lt;=6,0.8,IF(T237&lt;=9,0.9,1))))))*$Y$1),1),"")</f>
      </c>
      <c r="V237" s="37">
        <v>7.6</v>
      </c>
      <c r="W237" s="38"/>
    </row>
    <row r="238" ht="47.25" customHeight="1" spans="1:23" x14ac:dyDescent="0.25">
      <c r="A238" s="31">
        <v>1297</v>
      </c>
      <c r="B238" s="32" t="s">
        <v>291</v>
      </c>
      <c r="C238" s="33" t="s">
        <v>24</v>
      </c>
      <c r="D238" s="34">
        <v>2013</v>
      </c>
      <c r="E238" s="34" t="s">
        <v>30</v>
      </c>
      <c r="F238" s="6"/>
      <c r="G238" s="6"/>
      <c r="H238" s="6">
        <v>8</v>
      </c>
      <c r="I238" s="6"/>
      <c r="J238" s="6"/>
      <c r="K238" s="6"/>
      <c r="L238" s="6"/>
      <c r="M238" s="6">
        <v>8</v>
      </c>
      <c r="N238" s="6"/>
      <c r="O238" s="6"/>
      <c r="P238" s="6"/>
      <c r="Q238" s="6"/>
      <c r="R238" s="6"/>
      <c r="S238" s="35">
        <f>SUM(F238:R238)</f>
        <v>16</v>
      </c>
      <c r="T238" s="35">
        <f>COUNT(F238:R238)</f>
        <v>2</v>
      </c>
      <c r="U238" s="36">
        <f>IF(T238&gt;=2,ROUND((IF(T238=2,0.55,IF(T238&lt;=4,0.7,IF(T238&lt;=6,0.8,IF(T238&lt;=9,0.9,1))))*(S238/T238)+(1-(IF(T238=2,0.55,IF(T238&lt;=4,0.7,IF(T238&lt;=6,0.8,IF(T238&lt;=9,0.9,1))))))*$Y$1),1),"")</f>
        <v>8</v>
      </c>
      <c r="V238" s="37">
        <v>7.6</v>
      </c>
      <c r="W238" s="38"/>
    </row>
    <row r="239" ht="24" customHeight="1" spans="1:23" x14ac:dyDescent="0.25">
      <c r="A239" s="31">
        <v>898</v>
      </c>
      <c r="B239" s="32" t="s">
        <v>292</v>
      </c>
      <c r="C239" s="33" t="s">
        <v>29</v>
      </c>
      <c r="D239" s="34">
        <v>2014</v>
      </c>
      <c r="E239" s="34" t="s">
        <v>69</v>
      </c>
      <c r="F239" s="6"/>
      <c r="G239" s="6"/>
      <c r="H239" s="6"/>
      <c r="I239" s="6"/>
      <c r="J239" s="6"/>
      <c r="K239" s="6"/>
      <c r="L239" s="6">
        <v>10</v>
      </c>
      <c r="M239" s="6"/>
      <c r="N239" s="6"/>
      <c r="O239" s="6"/>
      <c r="P239" s="6"/>
      <c r="Q239" s="6"/>
      <c r="R239" s="6"/>
      <c r="S239" s="35">
        <f>SUM(F239:R239)</f>
        <v>10</v>
      </c>
      <c r="T239" s="35">
        <f>COUNT(F239:R239)</f>
        <v>1</v>
      </c>
      <c r="U239" s="36">
        <f>IF(T239&gt;=2,ROUND((IF(T239=2,0.55,IF(T239&lt;=4,0.7,IF(T239&lt;=6,0.8,IF(T239&lt;=9,0.9,1))))*(S239/T239)+(1-(IF(T239=2,0.55,IF(T239&lt;=4,0.7,IF(T239&lt;=6,0.8,IF(T239&lt;=9,0.9,1))))))*$Y$1),1),"")</f>
      </c>
      <c r="V239" s="37">
        <v>7.9</v>
      </c>
      <c r="W239" s="38"/>
    </row>
    <row r="240" ht="24" customHeight="1" spans="1:23" x14ac:dyDescent="0.25">
      <c r="A240" s="31">
        <v>651</v>
      </c>
      <c r="B240" s="32" t="s">
        <v>293</v>
      </c>
      <c r="C240" s="33" t="s">
        <v>24</v>
      </c>
      <c r="D240" s="34">
        <v>2013</v>
      </c>
      <c r="E240" s="34" t="s">
        <v>27</v>
      </c>
      <c r="F240" s="6"/>
      <c r="G240" s="6"/>
      <c r="H240" s="6"/>
      <c r="I240" s="6"/>
      <c r="J240" s="6">
        <v>8</v>
      </c>
      <c r="K240" s="6">
        <v>8</v>
      </c>
      <c r="L240" s="6">
        <v>8</v>
      </c>
      <c r="M240" s="6"/>
      <c r="N240" s="6"/>
      <c r="O240" s="6"/>
      <c r="P240" s="6"/>
      <c r="Q240" s="6">
        <v>8</v>
      </c>
      <c r="R240" s="6"/>
      <c r="S240" s="35">
        <f>SUM(F240:R240)</f>
        <v>32</v>
      </c>
      <c r="T240" s="35">
        <f>COUNT(F240:R240)</f>
        <v>4</v>
      </c>
      <c r="U240" s="36">
        <f>IF(T240&gt;=2,ROUND((IF(T240=2,0.55,IF(T240&lt;=4,0.7,IF(T240&lt;=6,0.8,IF(T240&lt;=9,0.9,1))))*(S240/T240)+(1-(IF(T240=2,0.55,IF(T240&lt;=4,0.7,IF(T240&lt;=6,0.8,IF(T240&lt;=9,0.9,1))))))*$Y$1),1),"")</f>
        <v>8</v>
      </c>
      <c r="V240" s="37">
        <v>6.3</v>
      </c>
      <c r="W240" s="38"/>
    </row>
    <row r="241" ht="24" customHeight="1" spans="1:23" x14ac:dyDescent="0.25">
      <c r="A241" s="31">
        <v>1913</v>
      </c>
      <c r="B241" s="32" t="s">
        <v>294</v>
      </c>
      <c r="C241" s="33" t="s">
        <v>29</v>
      </c>
      <c r="D241" s="34">
        <v>2024</v>
      </c>
      <c r="E241" s="34" t="s">
        <v>30</v>
      </c>
      <c r="F241" s="6"/>
      <c r="G241" s="6"/>
      <c r="H241" s="6"/>
      <c r="I241" s="6"/>
      <c r="J241" s="6"/>
      <c r="K241" s="6"/>
      <c r="L241" s="6">
        <v>8</v>
      </c>
      <c r="M241" s="6"/>
      <c r="N241" s="6">
        <v>9</v>
      </c>
      <c r="O241" s="6"/>
      <c r="P241" s="6"/>
      <c r="Q241" s="6"/>
      <c r="R241" s="6">
        <v>8</v>
      </c>
      <c r="S241" s="35">
        <f>SUM(F241:R241)</f>
        <v>25</v>
      </c>
      <c r="T241" s="35">
        <f>COUNT(F241:R241)</f>
        <v>3</v>
      </c>
      <c r="U241" s="36">
        <f>IF(T241&gt;=2,ROUND((IF(T241=2,0.55,IF(T241&lt;=4,0.7,IF(T241&lt;=6,0.8,IF(T241&lt;=9,0.9,1))))*(S241/T241)+(1-(IF(T241=2,0.55,IF(T241&lt;=4,0.7,IF(T241&lt;=6,0.8,IF(T241&lt;=9,0.9,1))))))*$Y$1),1),"")</f>
        <v>8.3</v>
      </c>
      <c r="V241" s="37">
        <v>6.8</v>
      </c>
      <c r="W241" s="38"/>
    </row>
    <row r="242" ht="24" customHeight="1" spans="1:23" x14ac:dyDescent="0.25">
      <c r="A242" s="31">
        <v>1513</v>
      </c>
      <c r="B242" s="32" t="s">
        <v>295</v>
      </c>
      <c r="C242" s="33" t="s">
        <v>24</v>
      </c>
      <c r="D242" s="34">
        <v>2019</v>
      </c>
      <c r="E242" s="34" t="s">
        <v>30</v>
      </c>
      <c r="F242" s="6"/>
      <c r="G242" s="6"/>
      <c r="H242" s="6"/>
      <c r="I242" s="6"/>
      <c r="J242" s="6"/>
      <c r="K242" s="6"/>
      <c r="L242" s="6"/>
      <c r="M242" s="6"/>
      <c r="N242" s="6"/>
      <c r="O242" s="6">
        <v>6</v>
      </c>
      <c r="P242" s="6"/>
      <c r="Q242" s="6"/>
      <c r="R242" s="6"/>
      <c r="S242" s="35">
        <f>SUM(F242:R242)</f>
        <v>6</v>
      </c>
      <c r="T242" s="35">
        <f>COUNT(F242:R242)</f>
        <v>1</v>
      </c>
      <c r="U242" s="36">
        <f>IF(T242&gt;=2,ROUND((IF(T242=2,0.55,IF(T242&lt;=4,0.7,IF(T242&lt;=6,0.8,IF(T242&lt;=9,0.9,1))))*(S242/T242)+(1-(IF(T242=2,0.55,IF(T242&lt;=4,0.7,IF(T242&lt;=6,0.8,IF(T242&lt;=9,0.9,1))))))*$Y$1),1),"")</f>
      </c>
      <c r="V242" s="37">
        <v>6</v>
      </c>
      <c r="W242" s="38"/>
    </row>
    <row r="243" ht="24" customHeight="1" spans="1:23" x14ac:dyDescent="0.25">
      <c r="A243" s="31">
        <v>1037</v>
      </c>
      <c r="B243" s="32" t="s">
        <v>296</v>
      </c>
      <c r="C243" s="33" t="s">
        <v>24</v>
      </c>
      <c r="D243" s="34">
        <v>2017</v>
      </c>
      <c r="E243" s="34" t="s">
        <v>27</v>
      </c>
      <c r="F243" s="6"/>
      <c r="G243" s="6">
        <v>7</v>
      </c>
      <c r="H243" s="6"/>
      <c r="I243" s="6">
        <v>8</v>
      </c>
      <c r="J243" s="6">
        <v>8</v>
      </c>
      <c r="K243" s="6"/>
      <c r="L243" s="6">
        <v>6</v>
      </c>
      <c r="M243" s="6"/>
      <c r="N243" s="6">
        <v>6</v>
      </c>
      <c r="O243" s="6"/>
      <c r="P243" s="6"/>
      <c r="Q243" s="6"/>
      <c r="R243" s="6"/>
      <c r="S243" s="35">
        <f>SUM(F243:R243)</f>
        <v>35</v>
      </c>
      <c r="T243" s="35">
        <f>COUNT(F243:R243)</f>
        <v>5</v>
      </c>
      <c r="U243" s="36">
        <f>IF(T243&gt;=2,ROUND((IF(T243=2,0.55,IF(T243&lt;=4,0.7,IF(T243&lt;=6,0.8,IF(T243&lt;=9,0.9,1))))*(S243/T243)+(1-(IF(T243=2,0.55,IF(T243&lt;=4,0.7,IF(T243&lt;=6,0.8,IF(T243&lt;=9,0.9,1))))))*$Y$1),1),"")</f>
        <v>7.2</v>
      </c>
      <c r="V243" s="37">
        <v>7.7</v>
      </c>
      <c r="W243" s="38"/>
    </row>
    <row r="244" ht="24" customHeight="1" spans="1:23" x14ac:dyDescent="0.25">
      <c r="A244" s="31">
        <v>1361</v>
      </c>
      <c r="B244" s="32" t="s">
        <v>297</v>
      </c>
      <c r="C244" s="33" t="s">
        <v>24</v>
      </c>
      <c r="D244" s="34">
        <v>2005</v>
      </c>
      <c r="E244" s="34" t="s">
        <v>298</v>
      </c>
      <c r="F244" s="6">
        <v>8</v>
      </c>
      <c r="G244" s="6">
        <v>7</v>
      </c>
      <c r="H244" s="6"/>
      <c r="I244" s="6">
        <v>9</v>
      </c>
      <c r="J244" s="6"/>
      <c r="K244" s="6"/>
      <c r="L244" s="6">
        <v>8</v>
      </c>
      <c r="M244" s="6"/>
      <c r="N244" s="6"/>
      <c r="O244" s="6"/>
      <c r="P244" s="6"/>
      <c r="Q244" s="6"/>
      <c r="R244" s="6"/>
      <c r="S244" s="35">
        <f>SUM(F244:R244)</f>
        <v>32</v>
      </c>
      <c r="T244" s="35">
        <f>COUNT(F244:R244)</f>
        <v>4</v>
      </c>
      <c r="U244" s="36">
        <f>IF(T244&gt;=2,ROUND((IF(T244=2,0.55,IF(T244&lt;=4,0.7,IF(T244&lt;=6,0.8,IF(T244&lt;=9,0.9,1))))*(S244/T244)+(1-(IF(T244=2,0.55,IF(T244&lt;=4,0.7,IF(T244&lt;=6,0.8,IF(T244&lt;=9,0.9,1))))))*$Y$1),1),"")</f>
        <v>8</v>
      </c>
      <c r="V244" s="37">
        <v>7.3</v>
      </c>
      <c r="W244" s="38"/>
    </row>
    <row r="245" ht="24" customHeight="1" spans="1:23" s="39" customFormat="1" x14ac:dyDescent="0.25">
      <c r="A245" s="31">
        <v>1863</v>
      </c>
      <c r="B245" s="32" t="s">
        <v>299</v>
      </c>
      <c r="C245" s="33" t="s">
        <v>24</v>
      </c>
      <c r="D245" s="34">
        <v>2001</v>
      </c>
      <c r="E245" s="34" t="s">
        <v>25</v>
      </c>
      <c r="F245" s="6"/>
      <c r="G245" s="6">
        <v>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35">
        <f>SUM(F245:R245)</f>
        <v>8</v>
      </c>
      <c r="T245" s="35">
        <f>COUNT(F245:R245)</f>
        <v>1</v>
      </c>
      <c r="U245" s="36">
        <f>IF(T245&gt;=2,ROUND((IF(T245=2,0.55,IF(T245&lt;=4,0.7,IF(T245&lt;=6,0.8,IF(T245&lt;=9,0.9,1))))*(S245/T245)+(1-(IF(T245=2,0.55,IF(T245&lt;=4,0.7,IF(T245&lt;=6,0.8,IF(T245&lt;=9,0.9,1))))))*$Y$1),1),"")</f>
      </c>
      <c r="V245" s="37">
        <v>7.9</v>
      </c>
      <c r="W245" s="38"/>
    </row>
    <row r="246" ht="24" customHeight="1" spans="1:23" x14ac:dyDescent="0.25">
      <c r="A246" s="31">
        <v>1182</v>
      </c>
      <c r="B246" s="32" t="s">
        <v>300</v>
      </c>
      <c r="C246" s="33" t="s">
        <v>24</v>
      </c>
      <c r="D246" s="34">
        <v>2015</v>
      </c>
      <c r="E246" s="34" t="s">
        <v>167</v>
      </c>
      <c r="F246" s="6"/>
      <c r="G246" s="6">
        <v>8</v>
      </c>
      <c r="H246" s="6"/>
      <c r="I246" s="6"/>
      <c r="J246" s="6"/>
      <c r="K246" s="6"/>
      <c r="L246" s="6"/>
      <c r="M246" s="6"/>
      <c r="N246" s="6"/>
      <c r="O246" s="6"/>
      <c r="P246" s="6">
        <v>6</v>
      </c>
      <c r="Q246" s="6"/>
      <c r="R246" s="6"/>
      <c r="S246" s="35">
        <f>SUM(F246:R246)</f>
        <v>14</v>
      </c>
      <c r="T246" s="35">
        <f>COUNT(F246:R246)</f>
        <v>2</v>
      </c>
      <c r="U246" s="36">
        <f>IF(T246&gt;=2,ROUND((IF(T246=2,0.55,IF(T246&lt;=4,0.7,IF(T246&lt;=6,0.8,IF(T246&lt;=9,0.9,1))))*(S246/T246)+(1-(IF(T246=2,0.55,IF(T246&lt;=4,0.7,IF(T246&lt;=6,0.8,IF(T246&lt;=9,0.9,1))))))*$Y$1),1),"")</f>
        <v>7.5</v>
      </c>
      <c r="V246" s="37">
        <v>7.8</v>
      </c>
      <c r="W246" s="38"/>
    </row>
    <row r="247" ht="24" customHeight="1" spans="1:23" x14ac:dyDescent="0.25">
      <c r="A247" s="31">
        <v>607</v>
      </c>
      <c r="B247" s="32" t="s">
        <v>301</v>
      </c>
      <c r="C247" s="33" t="s">
        <v>24</v>
      </c>
      <c r="D247" s="34">
        <v>2013</v>
      </c>
      <c r="E247" s="34" t="s">
        <v>30</v>
      </c>
      <c r="F247" s="6"/>
      <c r="G247" s="6"/>
      <c r="H247" s="6"/>
      <c r="I247" s="6"/>
      <c r="J247" s="6">
        <v>8</v>
      </c>
      <c r="K247" s="6"/>
      <c r="L247" s="6"/>
      <c r="M247" s="6"/>
      <c r="N247" s="6"/>
      <c r="O247" s="6"/>
      <c r="P247" s="6"/>
      <c r="Q247" s="6"/>
      <c r="R247" s="6">
        <v>6</v>
      </c>
      <c r="S247" s="35">
        <f>SUM(F247:R247)</f>
        <v>14</v>
      </c>
      <c r="T247" s="35">
        <f>COUNT(F247:R247)</f>
        <v>2</v>
      </c>
      <c r="U247" s="36">
        <f>IF(T247&gt;=2,ROUND((IF(T247=2,0.55,IF(T247&lt;=4,0.7,IF(T247&lt;=6,0.8,IF(T247&lt;=9,0.9,1))))*(S247/T247)+(1-(IF(T247=2,0.55,IF(T247&lt;=4,0.7,IF(T247&lt;=6,0.8,IF(T247&lt;=9,0.9,1))))))*$Y$1),1),"")</f>
        <v>7.5</v>
      </c>
      <c r="V247" s="37">
        <v>6.3</v>
      </c>
      <c r="W247" s="38"/>
    </row>
    <row r="248" ht="24" customHeight="1" spans="1:23" x14ac:dyDescent="0.25">
      <c r="A248" s="31">
        <v>413</v>
      </c>
      <c r="B248" s="32" t="s">
        <v>302</v>
      </c>
      <c r="C248" s="33" t="s">
        <v>24</v>
      </c>
      <c r="D248" s="34">
        <v>1936</v>
      </c>
      <c r="E248" s="34" t="s">
        <v>52</v>
      </c>
      <c r="F248" s="6"/>
      <c r="G248" s="6"/>
      <c r="H248" s="6"/>
      <c r="I248" s="6"/>
      <c r="J248" s="6"/>
      <c r="K248" s="6">
        <v>10</v>
      </c>
      <c r="L248" s="6"/>
      <c r="M248" s="6"/>
      <c r="N248" s="6">
        <v>10</v>
      </c>
      <c r="O248" s="6"/>
      <c r="P248" s="6"/>
      <c r="Q248" s="6">
        <v>10</v>
      </c>
      <c r="R248" s="6"/>
      <c r="S248" s="35">
        <f>SUM(F248:R248)</f>
        <v>30</v>
      </c>
      <c r="T248" s="35">
        <f>COUNT(F248:R248)</f>
        <v>3</v>
      </c>
      <c r="U248" s="36">
        <f>IF(T248&gt;=2,ROUND((IF(T248=2,0.55,IF(T248&lt;=4,0.7,IF(T248&lt;=6,0.8,IF(T248&lt;=9,0.9,1))))*(S248/T248)+(1-(IF(T248=2,0.55,IF(T248&lt;=4,0.7,IF(T248&lt;=6,0.8,IF(T248&lt;=9,0.9,1))))))*$Y$1),1),"")</f>
        <v>9.4</v>
      </c>
      <c r="V248" s="37">
        <v>8.5</v>
      </c>
      <c r="W248" s="38"/>
    </row>
    <row r="249" ht="24" customHeight="1" spans="1:23" x14ac:dyDescent="0.25">
      <c r="A249" s="31">
        <v>910</v>
      </c>
      <c r="B249" s="32" t="s">
        <v>303</v>
      </c>
      <c r="C249" s="33" t="s">
        <v>24</v>
      </c>
      <c r="D249" s="34">
        <v>2017</v>
      </c>
      <c r="E249" s="34" t="s">
        <v>30</v>
      </c>
      <c r="F249" s="6"/>
      <c r="G249" s="6"/>
      <c r="H249" s="6"/>
      <c r="I249" s="6"/>
      <c r="J249" s="6"/>
      <c r="K249" s="6"/>
      <c r="L249" s="6">
        <v>8</v>
      </c>
      <c r="M249" s="6"/>
      <c r="N249" s="6"/>
      <c r="O249" s="6"/>
      <c r="P249" s="6"/>
      <c r="Q249" s="6"/>
      <c r="R249" s="6"/>
      <c r="S249" s="35">
        <f>SUM(F249:R249)</f>
        <v>8</v>
      </c>
      <c r="T249" s="35">
        <f>COUNT(F249:R249)</f>
        <v>1</v>
      </c>
      <c r="U249" s="36">
        <f>IF(T249&gt;=2,ROUND((IF(T249=2,0.55,IF(T249&lt;=4,0.7,IF(T249&lt;=6,0.8,IF(T249&lt;=9,0.9,1))))*(S249/T249)+(1-(IF(T249=2,0.55,IF(T249&lt;=4,0.7,IF(T249&lt;=6,0.8,IF(T249&lt;=9,0.9,1))))))*$Y$1),1),"")</f>
      </c>
      <c r="V249" s="37">
        <v>7.5</v>
      </c>
      <c r="W249" s="38"/>
    </row>
    <row r="250" ht="24" customHeight="1" spans="1:23" s="39" customFormat="1" x14ac:dyDescent="0.25">
      <c r="A250" s="40">
        <v>2296</v>
      </c>
      <c r="B250" s="32" t="s">
        <v>304</v>
      </c>
      <c r="C250" s="33" t="s">
        <v>24</v>
      </c>
      <c r="D250" s="34">
        <v>2013</v>
      </c>
      <c r="E250" s="41"/>
      <c r="F250" s="6"/>
      <c r="G250" s="6">
        <v>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35">
        <f>SUM(F250:R250)</f>
        <v>8</v>
      </c>
      <c r="T250" s="35">
        <f>COUNT(F250:R250)</f>
        <v>1</v>
      </c>
      <c r="U250" s="36">
        <f>IF(T250&gt;=2,ROUND((IF(T250=2,0.55,IF(T250&lt;=4,0.7,IF(T250&lt;=6,0.8,IF(T250&lt;=9,0.9,1))))*(S250/T250)+(1-(IF(T250=2,0.55,IF(T250&lt;=4,0.7,IF(T250&lt;=6,0.8,IF(T250&lt;=9,0.9,1))))))*$Y$1),1),"")</f>
      </c>
      <c r="V250" s="37">
        <v>7.9</v>
      </c>
      <c r="W250" s="38"/>
    </row>
    <row r="251" ht="24" customHeight="1" spans="1:23" x14ac:dyDescent="0.25">
      <c r="A251" s="31">
        <v>880</v>
      </c>
      <c r="B251" s="32" t="s">
        <v>305</v>
      </c>
      <c r="C251" s="33" t="s">
        <v>24</v>
      </c>
      <c r="D251" s="34">
        <v>1996</v>
      </c>
      <c r="E251" s="34" t="s">
        <v>27</v>
      </c>
      <c r="F251" s="6">
        <v>8</v>
      </c>
      <c r="G251" s="6"/>
      <c r="H251" s="6">
        <v>8</v>
      </c>
      <c r="I251" s="6"/>
      <c r="J251" s="6">
        <v>10</v>
      </c>
      <c r="K251" s="6">
        <v>10</v>
      </c>
      <c r="L251" s="6">
        <v>8</v>
      </c>
      <c r="M251" s="6"/>
      <c r="N251" s="6"/>
      <c r="O251" s="6"/>
      <c r="P251" s="6"/>
      <c r="Q251" s="6">
        <v>10</v>
      </c>
      <c r="R251" s="6"/>
      <c r="S251" s="35">
        <f>SUM(F251:R251)</f>
        <v>54</v>
      </c>
      <c r="T251" s="35">
        <f>COUNT(F251:R251)</f>
        <v>6</v>
      </c>
      <c r="U251" s="36">
        <f>IF(T251&gt;=2,ROUND((IF(T251=2,0.55,IF(T251&lt;=4,0.7,IF(T251&lt;=6,0.8,IF(T251&lt;=9,0.9,1))))*(S251/T251)+(1-(IF(T251=2,0.55,IF(T251&lt;=4,0.7,IF(T251&lt;=6,0.8,IF(T251&lt;=9,0.9,1))))))*$Y$1),1),"")</f>
        <v>8.8</v>
      </c>
      <c r="V251" s="37">
        <v>7.5</v>
      </c>
      <c r="W251" s="38"/>
    </row>
    <row r="252" ht="24" customHeight="1" spans="1:23" x14ac:dyDescent="0.25">
      <c r="A252" s="31">
        <v>1917</v>
      </c>
      <c r="B252" s="32" t="s">
        <v>306</v>
      </c>
      <c r="C252" s="33" t="s">
        <v>24</v>
      </c>
      <c r="D252" s="34">
        <v>1989</v>
      </c>
      <c r="E252" s="34" t="s">
        <v>30</v>
      </c>
      <c r="F252" s="6"/>
      <c r="G252" s="6"/>
      <c r="H252" s="6"/>
      <c r="I252" s="6"/>
      <c r="J252" s="6"/>
      <c r="K252" s="6"/>
      <c r="L252" s="6"/>
      <c r="M252" s="6"/>
      <c r="N252" s="6">
        <v>8</v>
      </c>
      <c r="O252" s="6"/>
      <c r="P252" s="6"/>
      <c r="Q252" s="6"/>
      <c r="R252" s="6"/>
      <c r="S252" s="35">
        <f>SUM(F252:R252)</f>
        <v>8</v>
      </c>
      <c r="T252" s="35">
        <f>COUNT(F252:R252)</f>
        <v>1</v>
      </c>
      <c r="U252" s="36">
        <f>IF(T252&gt;=2,ROUND((IF(T252=2,0.55,IF(T252&lt;=4,0.7,IF(T252&lt;=6,0.8,IF(T252&lt;=9,0.9,1))))*(S252/T252)+(1-(IF(T252=2,0.55,IF(T252&lt;=4,0.7,IF(T252&lt;=6,0.8,IF(T252&lt;=9,0.9,1))))))*$Y$1),1),"")</f>
      </c>
      <c r="V252" s="37">
        <v>7.8</v>
      </c>
      <c r="W252" s="38"/>
    </row>
    <row r="253" ht="24" customHeight="1" spans="1:23" x14ac:dyDescent="0.25">
      <c r="A253" s="31">
        <v>332</v>
      </c>
      <c r="B253" s="32" t="s">
        <v>307</v>
      </c>
      <c r="C253" s="33" t="s">
        <v>24</v>
      </c>
      <c r="D253" s="34">
        <v>2016</v>
      </c>
      <c r="E253" s="34" t="s">
        <v>30</v>
      </c>
      <c r="F253" s="6"/>
      <c r="G253" s="6"/>
      <c r="H253" s="6"/>
      <c r="I253" s="6"/>
      <c r="J253" s="6"/>
      <c r="K253" s="6">
        <v>8</v>
      </c>
      <c r="L253" s="6"/>
      <c r="M253" s="6"/>
      <c r="N253" s="6"/>
      <c r="O253" s="6"/>
      <c r="P253" s="6"/>
      <c r="Q253" s="6">
        <v>8</v>
      </c>
      <c r="R253" s="6"/>
      <c r="S253" s="35">
        <f>SUM(F253:R253)</f>
        <v>16</v>
      </c>
      <c r="T253" s="35">
        <f>COUNT(F253:R253)</f>
        <v>2</v>
      </c>
      <c r="U253" s="36">
        <f>IF(T253&gt;=2,ROUND((IF(T253=2,0.55,IF(T253&lt;=4,0.7,IF(T253&lt;=6,0.8,IF(T253&lt;=9,0.9,1))))*(S253/T253)+(1-(IF(T253=2,0.55,IF(T253&lt;=4,0.7,IF(T253&lt;=6,0.8,IF(T253&lt;=9,0.9,1))))))*$Y$1),1),"")</f>
        <v>8</v>
      </c>
      <c r="V253" s="37">
        <v>6.8</v>
      </c>
      <c r="W253" s="38"/>
    </row>
    <row r="254" ht="24" customHeight="1" spans="1:23" x14ac:dyDescent="0.25">
      <c r="A254" s="31">
        <v>1872</v>
      </c>
      <c r="B254" s="32" t="s">
        <v>308</v>
      </c>
      <c r="C254" s="33" t="s">
        <v>24</v>
      </c>
      <c r="D254" s="34">
        <v>1976</v>
      </c>
      <c r="E254" s="34" t="s">
        <v>48</v>
      </c>
      <c r="F254" s="6"/>
      <c r="G254" s="6"/>
      <c r="H254" s="6"/>
      <c r="I254" s="6"/>
      <c r="J254" s="6"/>
      <c r="K254" s="6">
        <v>8</v>
      </c>
      <c r="L254" s="6"/>
      <c r="M254" s="6"/>
      <c r="N254" s="6"/>
      <c r="O254" s="6"/>
      <c r="P254" s="6"/>
      <c r="Q254" s="6">
        <v>8</v>
      </c>
      <c r="R254" s="6"/>
      <c r="S254" s="35">
        <f>SUM(F254:R254)</f>
        <v>16</v>
      </c>
      <c r="T254" s="35">
        <f>COUNT(F254:R254)</f>
        <v>2</v>
      </c>
      <c r="U254" s="36">
        <f>IF(T254&gt;=2,ROUND((IF(T254=2,0.55,IF(T254&lt;=4,0.7,IF(T254&lt;=6,0.8,IF(T254&lt;=9,0.9,1))))*(S254/T254)+(1-(IF(T254=2,0.55,IF(T254&lt;=4,0.7,IF(T254&lt;=6,0.8,IF(T254&lt;=9,0.9,1))))))*$Y$1),1),"")</f>
        <v>8</v>
      </c>
      <c r="V254" s="37">
        <v>8.2</v>
      </c>
      <c r="W254" s="38"/>
    </row>
    <row r="255" ht="24" customHeight="1" spans="1:23" x14ac:dyDescent="0.25">
      <c r="A255" s="31">
        <v>1582</v>
      </c>
      <c r="B255" s="32" t="s">
        <v>309</v>
      </c>
      <c r="C255" s="33" t="s">
        <v>24</v>
      </c>
      <c r="D255" s="34">
        <v>2022</v>
      </c>
      <c r="E255" s="34" t="s">
        <v>30</v>
      </c>
      <c r="F255" s="6"/>
      <c r="G255" s="6"/>
      <c r="H255" s="6"/>
      <c r="I255" s="6"/>
      <c r="J255" s="6"/>
      <c r="K255" s="6"/>
      <c r="L255" s="6"/>
      <c r="M255" s="6"/>
      <c r="N255" s="6"/>
      <c r="O255" s="6">
        <v>6</v>
      </c>
      <c r="P255" s="6"/>
      <c r="Q255" s="6"/>
      <c r="R255" s="6"/>
      <c r="S255" s="35">
        <f>SUM(F255:R255)</f>
        <v>6</v>
      </c>
      <c r="T255" s="35">
        <f>COUNT(F255:R255)</f>
        <v>1</v>
      </c>
      <c r="U255" s="36">
        <f>IF(T255&gt;=2,ROUND((IF(T255=2,0.55,IF(T255&lt;=4,0.7,IF(T255&lt;=6,0.8,IF(T255&lt;=9,0.9,1))))*(S255/T255)+(1-(IF(T255=2,0.55,IF(T255&lt;=4,0.7,IF(T255&lt;=6,0.8,IF(T255&lt;=9,0.9,1))))))*$Y$1),1),"")</f>
      </c>
      <c r="V255" s="37">
        <v>5.4</v>
      </c>
      <c r="W255" s="38"/>
    </row>
    <row r="256" ht="24" customHeight="1" spans="1:23" x14ac:dyDescent="0.25">
      <c r="A256" s="40">
        <v>2417</v>
      </c>
      <c r="B256" s="32" t="s">
        <v>310</v>
      </c>
      <c r="C256" s="33" t="s">
        <v>29</v>
      </c>
      <c r="D256" s="34">
        <v>2025</v>
      </c>
      <c r="E256" s="41"/>
      <c r="F256" s="6">
        <v>8</v>
      </c>
      <c r="G256" s="6"/>
      <c r="H256" s="6"/>
      <c r="I256" s="6"/>
      <c r="J256" s="6"/>
      <c r="K256" s="6"/>
      <c r="L256" s="6">
        <v>8</v>
      </c>
      <c r="M256" s="6"/>
      <c r="N256" s="6"/>
      <c r="O256" s="6"/>
      <c r="P256" s="6"/>
      <c r="Q256" s="6"/>
      <c r="R256" s="6"/>
      <c r="S256" s="35">
        <f>SUM(F256:R256)</f>
        <v>16</v>
      </c>
      <c r="T256" s="35">
        <f>COUNT(F256:R256)</f>
        <v>2</v>
      </c>
      <c r="U256" s="36">
        <f>IF(T256&gt;=2,ROUND((IF(T256=2,0.55,IF(T256&lt;=4,0.7,IF(T256&lt;=6,0.8,IF(T256&lt;=9,0.9,1))))*(S256/T256)+(1-(IF(T256=2,0.55,IF(T256&lt;=4,0.7,IF(T256&lt;=6,0.8,IF(T256&lt;=9,0.9,1))))))*$Y$1),1),"")</f>
        <v>8</v>
      </c>
      <c r="V256" s="37">
        <v>7.9</v>
      </c>
      <c r="W256" s="38"/>
    </row>
    <row r="257" ht="24" customHeight="1" spans="1:23" x14ac:dyDescent="0.25">
      <c r="A257" s="31">
        <v>1511</v>
      </c>
      <c r="B257" s="32" t="s">
        <v>311</v>
      </c>
      <c r="C257" s="33" t="s">
        <v>24</v>
      </c>
      <c r="D257" s="34">
        <v>2022</v>
      </c>
      <c r="E257" s="34" t="s">
        <v>312</v>
      </c>
      <c r="F257" s="6">
        <v>7</v>
      </c>
      <c r="G257" s="6">
        <v>8</v>
      </c>
      <c r="H257" s="6"/>
      <c r="I257" s="6"/>
      <c r="J257" s="6"/>
      <c r="K257" s="6">
        <v>7</v>
      </c>
      <c r="L257" s="6"/>
      <c r="M257" s="6"/>
      <c r="N257" s="6"/>
      <c r="O257" s="6">
        <v>8</v>
      </c>
      <c r="P257" s="6">
        <v>8</v>
      </c>
      <c r="Q257" s="6">
        <v>7</v>
      </c>
      <c r="R257" s="6"/>
      <c r="S257" s="35">
        <f>SUM(F257:R257)</f>
        <v>45</v>
      </c>
      <c r="T257" s="35">
        <f>COUNT(F257:R257)</f>
        <v>6</v>
      </c>
      <c r="U257" s="36">
        <f>IF(T257&gt;=2,ROUND((IF(T257=2,0.55,IF(T257&lt;=4,0.7,IF(T257&lt;=6,0.8,IF(T257&lt;=9,0.9,1))))*(S257/T257)+(1-(IF(T257=2,0.55,IF(T257&lt;=4,0.7,IF(T257&lt;=6,0.8,IF(T257&lt;=9,0.9,1))))))*$Y$1),1),"")</f>
        <v>7.6</v>
      </c>
      <c r="V257" s="37">
        <v>7.4</v>
      </c>
      <c r="W257" s="38"/>
    </row>
    <row r="258" ht="24" customHeight="1" spans="1:23" x14ac:dyDescent="0.25">
      <c r="A258" s="31">
        <v>1988</v>
      </c>
      <c r="B258" s="32" t="s">
        <v>313</v>
      </c>
      <c r="C258" s="33" t="s">
        <v>24</v>
      </c>
      <c r="D258" s="34">
        <v>2013</v>
      </c>
      <c r="E258" s="34" t="s">
        <v>25</v>
      </c>
      <c r="F258" s="6">
        <v>7</v>
      </c>
      <c r="G258" s="6">
        <v>9</v>
      </c>
      <c r="H258" s="6">
        <v>7</v>
      </c>
      <c r="I258" s="6"/>
      <c r="J258" s="6">
        <v>9</v>
      </c>
      <c r="K258" s="6">
        <v>6</v>
      </c>
      <c r="L258" s="6">
        <v>7</v>
      </c>
      <c r="M258" s="6"/>
      <c r="N258" s="6"/>
      <c r="O258" s="6">
        <v>7</v>
      </c>
      <c r="P258" s="6"/>
      <c r="Q258" s="6">
        <v>6</v>
      </c>
      <c r="R258" s="6"/>
      <c r="S258" s="35">
        <f>SUM(F258:R258)</f>
        <v>58</v>
      </c>
      <c r="T258" s="35">
        <f>COUNT(F258:R258)</f>
        <v>8</v>
      </c>
      <c r="U258" s="36">
        <f>IF(T258&gt;=2,ROUND((IF(T258=2,0.55,IF(T258&lt;=4,0.7,IF(T258&lt;=6,0.8,IF(T258&lt;=9,0.9,1))))*(S258/T258)+(1-(IF(T258=2,0.55,IF(T258&lt;=4,0.7,IF(T258&lt;=6,0.8,IF(T258&lt;=9,0.9,1))))))*$Y$1),1),"")</f>
        <v>7.3</v>
      </c>
      <c r="V258" s="37">
        <v>8.1</v>
      </c>
      <c r="W258" s="38"/>
    </row>
    <row r="259" ht="24" customHeight="1" spans="1:23" x14ac:dyDescent="0.25">
      <c r="A259" s="31">
        <v>825</v>
      </c>
      <c r="B259" s="32" t="s">
        <v>314</v>
      </c>
      <c r="C259" s="33" t="s">
        <v>24</v>
      </c>
      <c r="D259" s="34">
        <v>2015</v>
      </c>
      <c r="E259" s="34" t="s">
        <v>30</v>
      </c>
      <c r="F259" s="6"/>
      <c r="G259" s="6"/>
      <c r="H259" s="6"/>
      <c r="I259" s="6"/>
      <c r="J259" s="6">
        <v>8</v>
      </c>
      <c r="K259" s="6"/>
      <c r="L259" s="6"/>
      <c r="M259" s="6"/>
      <c r="N259" s="6"/>
      <c r="O259" s="6"/>
      <c r="P259" s="6"/>
      <c r="Q259" s="6"/>
      <c r="R259" s="6"/>
      <c r="S259" s="35">
        <f>SUM(F259:R259)</f>
        <v>8</v>
      </c>
      <c r="T259" s="35">
        <f>COUNT(F259:R259)</f>
        <v>1</v>
      </c>
      <c r="U259" s="36">
        <f>IF(T259&gt;=2,ROUND((IF(T259=2,0.55,IF(T259&lt;=4,0.7,IF(T259&lt;=6,0.8,IF(T259&lt;=9,0.9,1))))*(S259/T259)+(1-(IF(T259=2,0.55,IF(T259&lt;=4,0.7,IF(T259&lt;=6,0.8,IF(T259&lt;=9,0.9,1))))))*$Y$1),1),"")</f>
      </c>
      <c r="V259" s="37">
        <v>8.1</v>
      </c>
      <c r="W259" s="38"/>
    </row>
    <row r="260" ht="24" customHeight="1" spans="1:23" x14ac:dyDescent="0.25">
      <c r="A260" s="42">
        <v>701</v>
      </c>
      <c r="B260" s="32" t="s">
        <v>315</v>
      </c>
      <c r="C260" s="43" t="s">
        <v>24</v>
      </c>
      <c r="D260" s="44">
        <v>2018</v>
      </c>
      <c r="E260" s="44" t="s">
        <v>27</v>
      </c>
      <c r="F260" s="6">
        <v>8</v>
      </c>
      <c r="G260" s="6">
        <v>8</v>
      </c>
      <c r="H260" s="6">
        <v>8</v>
      </c>
      <c r="I260" s="6">
        <v>8</v>
      </c>
      <c r="J260" s="6">
        <v>10</v>
      </c>
      <c r="K260" s="6">
        <v>10</v>
      </c>
      <c r="L260" s="6">
        <v>8</v>
      </c>
      <c r="M260" s="6">
        <v>8</v>
      </c>
      <c r="N260" s="6">
        <v>8</v>
      </c>
      <c r="O260" s="6"/>
      <c r="P260" s="6">
        <v>8</v>
      </c>
      <c r="Q260" s="6">
        <v>10</v>
      </c>
      <c r="R260" s="6">
        <v>8</v>
      </c>
      <c r="S260" s="45">
        <f>SUM(F260:R260)</f>
        <v>102</v>
      </c>
      <c r="T260" s="45">
        <f>COUNT(F260:R260)</f>
        <v>12</v>
      </c>
      <c r="U260" s="36">
        <f>IF(T260&gt;=2,ROUND((IF(T260=2,0.55,IF(T260&lt;=4,0.7,IF(T260&lt;=6,0.8,IF(T260&lt;=9,0.9,1))))*(S260/T260)+(1-(IF(T260=2,0.55,IF(T260&lt;=4,0.7,IF(T260&lt;=6,0.8,IF(T260&lt;=9,0.9,1))))))*$Y$1),1),"")</f>
        <v>8.5</v>
      </c>
      <c r="V260" s="37">
        <v>7.1</v>
      </c>
      <c r="W260" s="38" t="s">
        <v>44</v>
      </c>
    </row>
    <row r="261" ht="24" customHeight="1" spans="1:23" x14ac:dyDescent="0.25">
      <c r="A261" s="40">
        <v>2195</v>
      </c>
      <c r="B261" s="32" t="s">
        <v>316</v>
      </c>
      <c r="C261" s="33" t="s">
        <v>24</v>
      </c>
      <c r="D261" s="34">
        <v>2007</v>
      </c>
      <c r="E261" s="41"/>
      <c r="F261" s="6"/>
      <c r="G261" s="6">
        <v>7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35">
        <f>SUM(F261:R261)</f>
        <v>7</v>
      </c>
      <c r="T261" s="35">
        <f>COUNT(F261:R261)</f>
        <v>1</v>
      </c>
      <c r="U261" s="36">
        <f>IF(T261&gt;=2,ROUND((IF(T261=2,0.55,IF(T261&lt;=4,0.7,IF(T261&lt;=6,0.8,IF(T261&lt;=9,0.9,1))))*(S261/T261)+(1-(IF(T261=2,0.55,IF(T261&lt;=4,0.7,IF(T261&lt;=6,0.8,IF(T261&lt;=9,0.9,1))))))*$Y$1),1),"")</f>
      </c>
      <c r="V261" s="37">
        <v>7.6</v>
      </c>
      <c r="W261" s="38"/>
    </row>
    <row r="262" ht="24" customHeight="1" spans="1:23" s="39" customFormat="1" x14ac:dyDescent="0.25">
      <c r="A262" s="40">
        <v>2108</v>
      </c>
      <c r="B262" s="32" t="s">
        <v>317</v>
      </c>
      <c r="C262" s="33" t="s">
        <v>24</v>
      </c>
      <c r="D262" s="34">
        <v>1999</v>
      </c>
      <c r="E262" s="41"/>
      <c r="F262" s="6"/>
      <c r="G262" s="6">
        <v>7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35">
        <f>SUM(F262:R262)</f>
        <v>7</v>
      </c>
      <c r="T262" s="35">
        <f>COUNT(F262:R262)</f>
        <v>1</v>
      </c>
      <c r="U262" s="36">
        <f>IF(T262&gt;=2,ROUND((IF(T262=2,0.55,IF(T262&lt;=4,0.7,IF(T262&lt;=6,0.8,IF(T262&lt;=9,0.9,1))))*(S262/T262)+(1-(IF(T262=2,0.55,IF(T262&lt;=4,0.7,IF(T262&lt;=6,0.8,IF(T262&lt;=9,0.9,1))))))*$Y$1),1),"")</f>
      </c>
      <c r="V262" s="37">
        <v>7.4</v>
      </c>
      <c r="W262" s="38"/>
    </row>
    <row r="263" ht="24" customHeight="1" spans="1:23" x14ac:dyDescent="0.25">
      <c r="A263" s="31">
        <v>705</v>
      </c>
      <c r="B263" s="32" t="s">
        <v>318</v>
      </c>
      <c r="C263" s="33" t="s">
        <v>24</v>
      </c>
      <c r="D263" s="34">
        <v>2016</v>
      </c>
      <c r="E263" s="34" t="s">
        <v>30</v>
      </c>
      <c r="F263" s="6"/>
      <c r="G263" s="6"/>
      <c r="H263" s="6"/>
      <c r="I263" s="6"/>
      <c r="J263" s="6"/>
      <c r="K263" s="6"/>
      <c r="L263" s="6">
        <v>8</v>
      </c>
      <c r="M263" s="6">
        <v>8</v>
      </c>
      <c r="N263" s="6"/>
      <c r="O263" s="6"/>
      <c r="P263" s="6"/>
      <c r="Q263" s="6"/>
      <c r="R263" s="6"/>
      <c r="S263" s="35">
        <f>SUM(F263:R263)</f>
        <v>16</v>
      </c>
      <c r="T263" s="35">
        <f>COUNT(F263:R263)</f>
        <v>2</v>
      </c>
      <c r="U263" s="36">
        <f>IF(T263&gt;=2,ROUND((IF(T263=2,0.55,IF(T263&lt;=4,0.7,IF(T263&lt;=6,0.8,IF(T263&lt;=9,0.9,1))))*(S263/T263)+(1-(IF(T263=2,0.55,IF(T263&lt;=4,0.7,IF(T263&lt;=6,0.8,IF(T263&lt;=9,0.9,1))))))*$Y$1),1),"")</f>
        <v>8</v>
      </c>
      <c r="V263" s="37">
        <v>7.4</v>
      </c>
      <c r="W263" s="38"/>
    </row>
    <row r="264" ht="24" customHeight="1" spans="1:23" x14ac:dyDescent="0.25">
      <c r="A264" s="31">
        <v>908</v>
      </c>
      <c r="B264" s="32" t="s">
        <v>319</v>
      </c>
      <c r="C264" s="33" t="s">
        <v>24</v>
      </c>
      <c r="D264" s="34">
        <v>2014</v>
      </c>
      <c r="E264" s="34" t="s">
        <v>27</v>
      </c>
      <c r="F264" s="6">
        <v>6</v>
      </c>
      <c r="G264" s="6"/>
      <c r="H264" s="6"/>
      <c r="I264" s="6"/>
      <c r="J264" s="6"/>
      <c r="K264" s="6">
        <v>9</v>
      </c>
      <c r="L264" s="6">
        <v>8</v>
      </c>
      <c r="M264" s="6"/>
      <c r="N264" s="6"/>
      <c r="O264" s="6"/>
      <c r="P264" s="6"/>
      <c r="Q264" s="6">
        <v>9</v>
      </c>
      <c r="R264" s="6"/>
      <c r="S264" s="35">
        <f>SUM(F264:R264)</f>
        <v>32</v>
      </c>
      <c r="T264" s="35">
        <f>COUNT(F264:R264)</f>
        <v>4</v>
      </c>
      <c r="U264" s="36">
        <f>IF(T264&gt;=2,ROUND((IF(T264=2,0.55,IF(T264&lt;=4,0.7,IF(T264&lt;=6,0.8,IF(T264&lt;=9,0.9,1))))*(S264/T264)+(1-(IF(T264=2,0.55,IF(T264&lt;=4,0.7,IF(T264&lt;=6,0.8,IF(T264&lt;=9,0.9,1))))))*$Y$1),1),"")</f>
        <v>8</v>
      </c>
      <c r="V264" s="37">
        <v>7</v>
      </c>
      <c r="W264" s="38"/>
    </row>
    <row r="265" ht="24" customHeight="1" spans="1:23" s="39" customFormat="1" x14ac:dyDescent="0.25">
      <c r="A265" s="31">
        <v>597</v>
      </c>
      <c r="B265" s="32" t="s">
        <v>320</v>
      </c>
      <c r="C265" s="33" t="s">
        <v>24</v>
      </c>
      <c r="D265" s="34">
        <v>1997</v>
      </c>
      <c r="E265" s="34" t="s">
        <v>27</v>
      </c>
      <c r="F265" s="6"/>
      <c r="G265" s="6"/>
      <c r="H265" s="6"/>
      <c r="I265" s="6"/>
      <c r="J265" s="6">
        <v>8</v>
      </c>
      <c r="K265" s="6"/>
      <c r="L265" s="6"/>
      <c r="M265" s="6"/>
      <c r="N265" s="6"/>
      <c r="O265" s="6"/>
      <c r="P265" s="6"/>
      <c r="Q265" s="6"/>
      <c r="R265" s="6"/>
      <c r="S265" s="35">
        <f>SUM(F265:R265)</f>
        <v>8</v>
      </c>
      <c r="T265" s="35">
        <f>COUNT(F265:R265)</f>
        <v>1</v>
      </c>
      <c r="U265" s="36">
        <f>IF(T265&gt;=2,ROUND((IF(T265=2,0.55,IF(T265&lt;=4,0.7,IF(T265&lt;=6,0.8,IF(T265&lt;=9,0.9,1))))*(S265/T265)+(1-(IF(T265=2,0.55,IF(T265&lt;=4,0.7,IF(T265&lt;=6,0.8,IF(T265&lt;=9,0.9,1))))))*$Y$1),1),"")</f>
      </c>
      <c r="V265" s="37">
        <v>7.2</v>
      </c>
      <c r="W265" s="38"/>
    </row>
    <row r="266" ht="24" customHeight="1" spans="1:23" x14ac:dyDescent="0.25">
      <c r="A266" s="31">
        <v>1336</v>
      </c>
      <c r="B266" s="32" t="s">
        <v>321</v>
      </c>
      <c r="C266" s="33" t="s">
        <v>29</v>
      </c>
      <c r="D266" s="34">
        <v>2016</v>
      </c>
      <c r="E266" s="34" t="s">
        <v>30</v>
      </c>
      <c r="F266" s="6"/>
      <c r="G266" s="6"/>
      <c r="H266" s="6"/>
      <c r="I266" s="6"/>
      <c r="J266" s="6"/>
      <c r="K266" s="6"/>
      <c r="L266" s="6">
        <v>9</v>
      </c>
      <c r="M266" s="6"/>
      <c r="N266" s="6"/>
      <c r="O266" s="6"/>
      <c r="P266" s="6"/>
      <c r="Q266" s="6"/>
      <c r="R266" s="6"/>
      <c r="S266" s="35">
        <f>SUM(F266:R266)</f>
        <v>9</v>
      </c>
      <c r="T266" s="35">
        <f>COUNT(F266:R266)</f>
        <v>1</v>
      </c>
      <c r="U266" s="36">
        <f>IF(T266&gt;=2,ROUND((IF(T266=2,0.55,IF(T266&lt;=4,0.7,IF(T266&lt;=6,0.8,IF(T266&lt;=9,0.9,1))))*(S266/T266)+(1-(IF(T266=2,0.55,IF(T266&lt;=4,0.7,IF(T266&lt;=6,0.8,IF(T266&lt;=9,0.9,1))))))*$Y$1),1),"")</f>
      </c>
      <c r="V266" s="37">
        <v>8.6</v>
      </c>
      <c r="W266" s="38"/>
    </row>
    <row r="267" ht="24" customHeight="1" spans="1:23" x14ac:dyDescent="0.25">
      <c r="A267" s="31">
        <v>602</v>
      </c>
      <c r="B267" s="32" t="s">
        <v>322</v>
      </c>
      <c r="C267" s="33" t="s">
        <v>24</v>
      </c>
      <c r="D267" s="34">
        <v>2016</v>
      </c>
      <c r="E267" s="34" t="s">
        <v>30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>
        <v>8</v>
      </c>
      <c r="S267" s="35">
        <f>SUM(F267:R267)</f>
        <v>8</v>
      </c>
      <c r="T267" s="35">
        <f>COUNT(F267:R267)</f>
        <v>1</v>
      </c>
      <c r="U267" s="36">
        <f>IF(T267&gt;=2,ROUND((IF(T267=2,0.55,IF(T267&lt;=4,0.7,IF(T267&lt;=6,0.8,IF(T267&lt;=9,0.9,1))))*(S267/T267)+(1-(IF(T267=2,0.55,IF(T267&lt;=4,0.7,IF(T267&lt;=6,0.8,IF(T267&lt;=9,0.9,1))))))*$Y$1),1),"")</f>
      </c>
      <c r="V267" s="37">
        <v>6</v>
      </c>
      <c r="W267" s="38"/>
    </row>
    <row r="268" ht="24" customHeight="1" spans="1:23" s="39" customFormat="1" x14ac:dyDescent="0.25">
      <c r="A268" s="31">
        <v>1724</v>
      </c>
      <c r="B268" s="32" t="s">
        <v>323</v>
      </c>
      <c r="C268" s="33" t="s">
        <v>24</v>
      </c>
      <c r="D268" s="34">
        <v>2021</v>
      </c>
      <c r="E268" s="34" t="s">
        <v>30</v>
      </c>
      <c r="F268" s="6">
        <v>8</v>
      </c>
      <c r="G268" s="6"/>
      <c r="H268" s="6"/>
      <c r="I268" s="6">
        <v>8</v>
      </c>
      <c r="J268" s="6"/>
      <c r="K268" s="6"/>
      <c r="L268" s="6"/>
      <c r="M268" s="6">
        <v>8</v>
      </c>
      <c r="N268" s="6"/>
      <c r="O268" s="6">
        <v>9</v>
      </c>
      <c r="P268" s="6"/>
      <c r="Q268" s="6"/>
      <c r="R268" s="6"/>
      <c r="S268" s="35">
        <f>SUM(F268:R268)</f>
        <v>33</v>
      </c>
      <c r="T268" s="35">
        <f>COUNT(F268:R268)</f>
        <v>4</v>
      </c>
      <c r="U268" s="36">
        <f>IF(T268&gt;=2,ROUND((IF(T268=2,0.55,IF(T268&lt;=4,0.7,IF(T268&lt;=6,0.8,IF(T268&lt;=9,0.9,1))))*(S268/T268)+(1-(IF(T268=2,0.55,IF(T268&lt;=4,0.7,IF(T268&lt;=6,0.8,IF(T268&lt;=9,0.9,1))))))*$Y$1),1),"")</f>
        <v>8.2</v>
      </c>
      <c r="V268" s="37">
        <v>6.6</v>
      </c>
      <c r="W268" s="38"/>
    </row>
    <row r="269" ht="24" customHeight="1" spans="1:23" x14ac:dyDescent="0.25">
      <c r="A269" s="31">
        <v>1267</v>
      </c>
      <c r="B269" s="32" t="s">
        <v>324</v>
      </c>
      <c r="C269" s="33" t="s">
        <v>24</v>
      </c>
      <c r="D269" s="34">
        <v>2018</v>
      </c>
      <c r="E269" s="34" t="s">
        <v>30</v>
      </c>
      <c r="F269" s="6"/>
      <c r="G269" s="6"/>
      <c r="H269" s="6"/>
      <c r="I269" s="6"/>
      <c r="J269" s="6"/>
      <c r="K269" s="6">
        <v>8</v>
      </c>
      <c r="L269" s="6"/>
      <c r="M269" s="6"/>
      <c r="N269" s="6"/>
      <c r="O269" s="6">
        <v>8</v>
      </c>
      <c r="P269" s="6"/>
      <c r="Q269" s="6">
        <v>8</v>
      </c>
      <c r="R269" s="6"/>
      <c r="S269" s="35">
        <f>SUM(F269:R269)</f>
        <v>24</v>
      </c>
      <c r="T269" s="35">
        <f>COUNT(F269:R269)</f>
        <v>3</v>
      </c>
      <c r="U269" s="36">
        <f>IF(T269&gt;=2,ROUND((IF(T269=2,0.55,IF(T269&lt;=4,0.7,IF(T269&lt;=6,0.8,IF(T269&lt;=9,0.9,1))))*(S269/T269)+(1-(IF(T269=2,0.55,IF(T269&lt;=4,0.7,IF(T269&lt;=6,0.8,IF(T269&lt;=9,0.9,1))))))*$Y$1),1),"")</f>
        <v>8</v>
      </c>
      <c r="V269" s="37">
        <v>7.2</v>
      </c>
      <c r="W269" s="38"/>
    </row>
    <row r="270" ht="24" customHeight="1" spans="1:23" x14ac:dyDescent="0.25">
      <c r="A270" s="40">
        <v>2157</v>
      </c>
      <c r="B270" s="32" t="s">
        <v>325</v>
      </c>
      <c r="C270" s="33" t="s">
        <v>24</v>
      </c>
      <c r="D270" s="34">
        <v>2005</v>
      </c>
      <c r="E270" s="41"/>
      <c r="F270" s="6"/>
      <c r="G270" s="6">
        <v>7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35">
        <f>SUM(F270:R270)</f>
        <v>7</v>
      </c>
      <c r="T270" s="35">
        <f>COUNT(F270:R270)</f>
        <v>1</v>
      </c>
      <c r="U270" s="36">
        <f>IF(T270&gt;=2,ROUND((IF(T270=2,0.55,IF(T270&lt;=4,0.7,IF(T270&lt;=6,0.8,IF(T270&lt;=9,0.9,1))))*(S270/T270)+(1-(IF(T270=2,0.55,IF(T270&lt;=4,0.7,IF(T270&lt;=6,0.8,IF(T270&lt;=9,0.9,1))))))*$Y$1),1),"")</f>
      </c>
      <c r="V270" s="37">
        <v>7</v>
      </c>
      <c r="W270" s="38"/>
    </row>
    <row r="271" ht="24" customHeight="1" spans="1:23" x14ac:dyDescent="0.25">
      <c r="A271" s="31">
        <v>1405</v>
      </c>
      <c r="B271" s="32" t="s">
        <v>326</v>
      </c>
      <c r="C271" s="33" t="s">
        <v>114</v>
      </c>
      <c r="D271" s="34">
        <v>2022</v>
      </c>
      <c r="E271" s="34" t="s">
        <v>141</v>
      </c>
      <c r="F271" s="6"/>
      <c r="G271" s="6"/>
      <c r="H271" s="6"/>
      <c r="I271" s="6"/>
      <c r="J271" s="6"/>
      <c r="K271" s="6"/>
      <c r="L271" s="6"/>
      <c r="M271" s="6"/>
      <c r="N271" s="6"/>
      <c r="O271" s="6">
        <v>8</v>
      </c>
      <c r="P271" s="6"/>
      <c r="Q271" s="6"/>
      <c r="R271" s="6"/>
      <c r="S271" s="35">
        <f>SUM(F271:R271)</f>
        <v>8</v>
      </c>
      <c r="T271" s="35">
        <f>COUNT(F271:R271)</f>
        <v>1</v>
      </c>
      <c r="U271" s="36">
        <f>IF(T271&gt;=2,ROUND((IF(T271=2,0.55,IF(T271&lt;=4,0.7,IF(T271&lt;=6,0.8,IF(T271&lt;=9,0.9,1))))*(S271/T271)+(1-(IF(T271=2,0.55,IF(T271&lt;=4,0.7,IF(T271&lt;=6,0.8,IF(T271&lt;=9,0.9,1))))))*$Y$1),1),"")</f>
      </c>
      <c r="V271" s="37">
        <v>7.1</v>
      </c>
      <c r="W271" s="38"/>
    </row>
    <row r="272" ht="24" customHeight="1" spans="1:23" x14ac:dyDescent="0.25">
      <c r="A272" s="40">
        <v>2308</v>
      </c>
      <c r="B272" s="32" t="s">
        <v>327</v>
      </c>
      <c r="C272" s="33" t="s">
        <v>24</v>
      </c>
      <c r="D272" s="34">
        <v>2015</v>
      </c>
      <c r="E272" s="41"/>
      <c r="F272" s="6"/>
      <c r="G272" s="6">
        <v>8</v>
      </c>
      <c r="H272" s="6"/>
      <c r="I272" s="6"/>
      <c r="J272" s="6"/>
      <c r="K272" s="6"/>
      <c r="L272" s="6">
        <v>8</v>
      </c>
      <c r="M272" s="6"/>
      <c r="N272" s="6"/>
      <c r="O272" s="6"/>
      <c r="P272" s="6"/>
      <c r="Q272" s="6"/>
      <c r="R272" s="6"/>
      <c r="S272" s="35">
        <f>SUM(F272:R272)</f>
        <v>16</v>
      </c>
      <c r="T272" s="35">
        <f>COUNT(F272:R272)</f>
        <v>2</v>
      </c>
      <c r="U272" s="36">
        <f>IF(T272&gt;=2,ROUND((IF(T272=2,0.55,IF(T272&lt;=4,0.7,IF(T272&lt;=6,0.8,IF(T272&lt;=9,0.9,1))))*(S272/T272)+(1-(IF(T272=2,0.55,IF(T272&lt;=4,0.7,IF(T272&lt;=6,0.8,IF(T272&lt;=9,0.9,1))))))*$Y$1),1),"")</f>
        <v>8</v>
      </c>
      <c r="V272" s="37">
        <v>8.1</v>
      </c>
      <c r="W272" s="38"/>
    </row>
    <row r="273" ht="24" customHeight="1" spans="1:23" s="39" customFormat="1" x14ac:dyDescent="0.25">
      <c r="A273" s="31">
        <v>902</v>
      </c>
      <c r="B273" s="32" t="s">
        <v>328</v>
      </c>
      <c r="C273" s="33" t="s">
        <v>29</v>
      </c>
      <c r="D273" s="34">
        <v>2010</v>
      </c>
      <c r="E273" s="34" t="s">
        <v>30</v>
      </c>
      <c r="F273" s="6"/>
      <c r="G273" s="6"/>
      <c r="H273" s="6"/>
      <c r="I273" s="6">
        <v>6</v>
      </c>
      <c r="J273" s="6"/>
      <c r="K273" s="6"/>
      <c r="L273" s="6"/>
      <c r="M273" s="6"/>
      <c r="N273" s="6"/>
      <c r="O273" s="6"/>
      <c r="P273" s="6"/>
      <c r="Q273" s="6"/>
      <c r="R273" s="6"/>
      <c r="S273" s="35">
        <f>SUM(F273:R273)</f>
        <v>6</v>
      </c>
      <c r="T273" s="35">
        <f>COUNT(F273:R273)</f>
        <v>1</v>
      </c>
      <c r="U273" s="36">
        <f>IF(T273&gt;=2,ROUND((IF(T273=2,0.55,IF(T273&lt;=4,0.7,IF(T273&lt;=6,0.8,IF(T273&lt;=9,0.9,1))))*(S273/T273)+(1-(IF(T273=2,0.55,IF(T273&lt;=4,0.7,IF(T273&lt;=6,0.8,IF(T273&lt;=9,0.9,1))))))*$Y$1),1),"")</f>
      </c>
      <c r="V273" s="37">
        <v>8.4</v>
      </c>
      <c r="W273" s="38"/>
    </row>
    <row r="274" ht="24" customHeight="1" spans="1:23" x14ac:dyDescent="0.25">
      <c r="A274" s="31">
        <v>1140</v>
      </c>
      <c r="B274" s="32" t="s">
        <v>329</v>
      </c>
      <c r="C274" s="33" t="s">
        <v>24</v>
      </c>
      <c r="D274" s="34">
        <v>2020</v>
      </c>
      <c r="E274" s="34" t="s">
        <v>27</v>
      </c>
      <c r="F274" s="6"/>
      <c r="G274" s="6"/>
      <c r="H274" s="6"/>
      <c r="I274" s="6"/>
      <c r="J274" s="6">
        <v>8</v>
      </c>
      <c r="K274" s="6"/>
      <c r="L274" s="6"/>
      <c r="M274" s="6"/>
      <c r="N274" s="6"/>
      <c r="O274" s="6"/>
      <c r="P274" s="6"/>
      <c r="Q274" s="6"/>
      <c r="R274" s="6"/>
      <c r="S274" s="35">
        <f>SUM(F274:R274)</f>
        <v>8</v>
      </c>
      <c r="T274" s="35">
        <f>COUNT(F274:R274)</f>
        <v>1</v>
      </c>
      <c r="U274" s="36">
        <f>IF(T274&gt;=2,ROUND((IF(T274=2,0.55,IF(T274&lt;=4,0.7,IF(T274&lt;=6,0.8,IF(T274&lt;=9,0.9,1))))*(S274/T274)+(1-(IF(T274=2,0.55,IF(T274&lt;=4,0.7,IF(T274&lt;=6,0.8,IF(T274&lt;=9,0.9,1))))))*$Y$1),1),"")</f>
      </c>
      <c r="V274" s="37">
        <v>6.2</v>
      </c>
      <c r="W274" s="38"/>
    </row>
    <row r="275" ht="24" customHeight="1" spans="1:23" x14ac:dyDescent="0.25">
      <c r="A275" s="31">
        <v>1815</v>
      </c>
      <c r="B275" s="32" t="s">
        <v>330</v>
      </c>
      <c r="C275" s="33" t="s">
        <v>24</v>
      </c>
      <c r="D275" s="34">
        <v>2014</v>
      </c>
      <c r="E275" s="34" t="s">
        <v>48</v>
      </c>
      <c r="F275" s="6"/>
      <c r="G275" s="6">
        <v>8</v>
      </c>
      <c r="H275" s="6"/>
      <c r="I275" s="6">
        <v>7</v>
      </c>
      <c r="J275" s="6">
        <v>8</v>
      </c>
      <c r="K275" s="6"/>
      <c r="L275" s="6"/>
      <c r="M275" s="6"/>
      <c r="N275" s="6"/>
      <c r="O275" s="6">
        <v>7</v>
      </c>
      <c r="P275" s="6">
        <v>8</v>
      </c>
      <c r="Q275" s="6"/>
      <c r="R275" s="6"/>
      <c r="S275" s="35">
        <f>SUM(F275:R275)</f>
        <v>38</v>
      </c>
      <c r="T275" s="35">
        <f>COUNT(F275:R275)</f>
        <v>5</v>
      </c>
      <c r="U275" s="36">
        <f>IF(T275&gt;=2,ROUND((IF(T275=2,0.55,IF(T275&lt;=4,0.7,IF(T275&lt;=6,0.8,IF(T275&lt;=9,0.9,1))))*(S275/T275)+(1-(IF(T275=2,0.55,IF(T275&lt;=4,0.7,IF(T275&lt;=6,0.8,IF(T275&lt;=9,0.9,1))))))*$Y$1),1),"")</f>
        <v>7.7</v>
      </c>
      <c r="V275" s="37">
        <v>8</v>
      </c>
      <c r="W275" s="38"/>
    </row>
    <row r="276" ht="24" customHeight="1" spans="1:23" x14ac:dyDescent="0.25">
      <c r="A276" s="40">
        <v>2386</v>
      </c>
      <c r="B276" s="32" t="s">
        <v>331</v>
      </c>
      <c r="C276" s="33" t="s">
        <v>24</v>
      </c>
      <c r="D276" s="34">
        <v>2025</v>
      </c>
      <c r="E276" s="41"/>
      <c r="F276" s="6">
        <v>8</v>
      </c>
      <c r="G276" s="6">
        <v>7</v>
      </c>
      <c r="H276" s="6">
        <v>7</v>
      </c>
      <c r="I276" s="6">
        <v>7</v>
      </c>
      <c r="J276" s="6">
        <v>8</v>
      </c>
      <c r="K276" s="6">
        <v>7</v>
      </c>
      <c r="L276" s="6"/>
      <c r="M276" s="6"/>
      <c r="N276" s="6"/>
      <c r="O276" s="6">
        <v>8</v>
      </c>
      <c r="P276" s="6"/>
      <c r="Q276" s="6">
        <v>7</v>
      </c>
      <c r="R276" s="6"/>
      <c r="S276" s="35">
        <f>SUM(F276:R276)</f>
        <v>59</v>
      </c>
      <c r="T276" s="35">
        <f>COUNT(F276:R276)</f>
        <v>8</v>
      </c>
      <c r="U276" s="36">
        <f>IF(T276&gt;=2,ROUND((IF(T276=2,0.55,IF(T276&lt;=4,0.7,IF(T276&lt;=6,0.8,IF(T276&lt;=9,0.9,1))))*(S276/T276)+(1-(IF(T276=2,0.55,IF(T276&lt;=4,0.7,IF(T276&lt;=6,0.8,IF(T276&lt;=9,0.9,1))))))*$Y$1),1),"")</f>
        <v>7.4</v>
      </c>
      <c r="V276" s="37">
        <v>7.5</v>
      </c>
      <c r="W276" s="38"/>
    </row>
    <row r="277" ht="24" customHeight="1" spans="1:23" x14ac:dyDescent="0.25">
      <c r="A277" s="51">
        <v>2352</v>
      </c>
      <c r="B277" s="32" t="s">
        <v>332</v>
      </c>
      <c r="C277" s="48" t="s">
        <v>24</v>
      </c>
      <c r="D277" s="49">
        <v>1978</v>
      </c>
      <c r="E277" s="52"/>
      <c r="F277" s="6"/>
      <c r="G277" s="6">
        <v>8</v>
      </c>
      <c r="H277" s="6">
        <v>8</v>
      </c>
      <c r="I277" s="6">
        <v>8</v>
      </c>
      <c r="J277" s="6">
        <v>8</v>
      </c>
      <c r="K277" s="6">
        <v>7</v>
      </c>
      <c r="L277" s="6"/>
      <c r="M277" s="6">
        <v>8</v>
      </c>
      <c r="N277" s="6">
        <v>8</v>
      </c>
      <c r="O277" s="6"/>
      <c r="P277" s="6">
        <v>8</v>
      </c>
      <c r="Q277" s="6">
        <v>7</v>
      </c>
      <c r="R277" s="6">
        <v>8</v>
      </c>
      <c r="S277" s="50">
        <f>SUM(F277:R277)</f>
        <v>78</v>
      </c>
      <c r="T277" s="50">
        <f>COUNT(F277:R277)</f>
        <v>10</v>
      </c>
      <c r="U277" s="36">
        <f>IF(T277&gt;=2,ROUND((IF(T277=2,0.55,IF(T277&lt;=4,0.7,IF(T277&lt;=6,0.8,IF(T277&lt;=9,0.9,1))))*(S277/T277)+(1-(IF(T277=2,0.55,IF(T277&lt;=4,0.7,IF(T277&lt;=6,0.8,IF(T277&lt;=9,0.9,1))))))*$Y$1),1),"")</f>
        <v>7.8</v>
      </c>
      <c r="V277" s="37">
        <v>8.1</v>
      </c>
      <c r="W277" s="38" t="s">
        <v>44</v>
      </c>
    </row>
    <row r="278" ht="24" customHeight="1" spans="1:23" x14ac:dyDescent="0.25">
      <c r="A278" s="31">
        <v>922</v>
      </c>
      <c r="B278" s="32" t="s">
        <v>333</v>
      </c>
      <c r="C278" s="33" t="s">
        <v>24</v>
      </c>
      <c r="D278" s="34">
        <v>2017</v>
      </c>
      <c r="E278" s="34" t="s">
        <v>27</v>
      </c>
      <c r="F278" s="6">
        <v>8</v>
      </c>
      <c r="G278" s="6"/>
      <c r="H278" s="6"/>
      <c r="I278" s="6">
        <v>8</v>
      </c>
      <c r="J278" s="6">
        <v>10</v>
      </c>
      <c r="K278" s="6">
        <v>8</v>
      </c>
      <c r="L278" s="6"/>
      <c r="M278" s="6">
        <v>8</v>
      </c>
      <c r="N278" s="6">
        <v>8</v>
      </c>
      <c r="O278" s="6">
        <v>7.5</v>
      </c>
      <c r="P278" s="6"/>
      <c r="Q278" s="6">
        <v>8</v>
      </c>
      <c r="R278" s="6">
        <v>8</v>
      </c>
      <c r="S278" s="35">
        <f>SUM(F278:R278)</f>
        <v>73.5</v>
      </c>
      <c r="T278" s="35">
        <f>COUNT(F278:R278)</f>
        <v>9</v>
      </c>
      <c r="U278" s="36">
        <f>IF(T278&gt;=2,ROUND((IF(T278=2,0.55,IF(T278&lt;=4,0.7,IF(T278&lt;=6,0.8,IF(T278&lt;=9,0.9,1))))*(S278/T278)+(1-(IF(T278=2,0.55,IF(T278&lt;=4,0.7,IF(T278&lt;=6,0.8,IF(T278&lt;=9,0.9,1))))))*$Y$1),1),"")</f>
        <v>8.2</v>
      </c>
      <c r="V278" s="37">
        <v>6.6</v>
      </c>
      <c r="W278" s="38"/>
    </row>
    <row r="279" ht="24" customHeight="1" spans="1:23" x14ac:dyDescent="0.25">
      <c r="A279" s="31">
        <v>633</v>
      </c>
      <c r="B279" s="32" t="s">
        <v>334</v>
      </c>
      <c r="C279" s="33" t="s">
        <v>24</v>
      </c>
      <c r="D279" s="34">
        <v>1993</v>
      </c>
      <c r="E279" s="34" t="s">
        <v>27</v>
      </c>
      <c r="F279" s="6"/>
      <c r="G279" s="6"/>
      <c r="H279" s="6"/>
      <c r="I279" s="6"/>
      <c r="J279" s="6"/>
      <c r="K279" s="6">
        <v>8</v>
      </c>
      <c r="L279" s="6">
        <v>8</v>
      </c>
      <c r="M279" s="6"/>
      <c r="N279" s="6"/>
      <c r="O279" s="6"/>
      <c r="P279" s="6"/>
      <c r="Q279" s="6">
        <v>8</v>
      </c>
      <c r="R279" s="6"/>
      <c r="S279" s="35">
        <f>SUM(F279:R279)</f>
        <v>24</v>
      </c>
      <c r="T279" s="35">
        <f>COUNT(F279:R279)</f>
        <v>3</v>
      </c>
      <c r="U279" s="36">
        <f>IF(T279&gt;=2,ROUND((IF(T279=2,0.55,IF(T279&lt;=4,0.7,IF(T279&lt;=6,0.8,IF(T279&lt;=9,0.9,1))))*(S279/T279)+(1-(IF(T279=2,0.55,IF(T279&lt;=4,0.7,IF(T279&lt;=6,0.8,IF(T279&lt;=9,0.9,1))))))*$Y$1),1),"")</f>
        <v>8</v>
      </c>
      <c r="V279" s="37">
        <v>6.3</v>
      </c>
      <c r="W279" s="38"/>
    </row>
    <row r="280" ht="24" customHeight="1" spans="1:23" x14ac:dyDescent="0.25">
      <c r="A280" s="31">
        <v>1077</v>
      </c>
      <c r="B280" s="32" t="s">
        <v>335</v>
      </c>
      <c r="C280" s="33" t="s">
        <v>29</v>
      </c>
      <c r="D280" s="34">
        <v>2020</v>
      </c>
      <c r="E280" s="34" t="s">
        <v>30</v>
      </c>
      <c r="F280" s="6">
        <v>8</v>
      </c>
      <c r="G280" s="6"/>
      <c r="H280" s="6"/>
      <c r="I280" s="6"/>
      <c r="J280" s="6"/>
      <c r="K280" s="6">
        <v>8</v>
      </c>
      <c r="L280" s="6">
        <v>6</v>
      </c>
      <c r="M280" s="6"/>
      <c r="N280" s="6"/>
      <c r="O280" s="6"/>
      <c r="P280" s="6"/>
      <c r="Q280" s="6">
        <v>8</v>
      </c>
      <c r="R280" s="6"/>
      <c r="S280" s="35">
        <f>SUM(F280:R280)</f>
        <v>30</v>
      </c>
      <c r="T280" s="35">
        <f>COUNT(F280:R280)</f>
        <v>4</v>
      </c>
      <c r="U280" s="36">
        <f>IF(T280&gt;=2,ROUND((IF(T280=2,0.55,IF(T280&lt;=4,0.7,IF(T280&lt;=6,0.8,IF(T280&lt;=9,0.9,1))))*(S280/T280)+(1-(IF(T280=2,0.55,IF(T280&lt;=4,0.7,IF(T280&lt;=6,0.8,IF(T280&lt;=9,0.9,1))))))*$Y$1),1),"")</f>
        <v>7.7</v>
      </c>
      <c r="V280" s="37">
        <v>7.1</v>
      </c>
      <c r="W280" s="38"/>
    </row>
    <row r="281" ht="24" customHeight="1" spans="1:23" x14ac:dyDescent="0.25">
      <c r="A281" s="31">
        <v>1671</v>
      </c>
      <c r="B281" s="32" t="s">
        <v>336</v>
      </c>
      <c r="C281" s="33" t="s">
        <v>24</v>
      </c>
      <c r="D281" s="34">
        <v>2023</v>
      </c>
      <c r="E281" s="34" t="s">
        <v>81</v>
      </c>
      <c r="F281" s="6">
        <v>10</v>
      </c>
      <c r="G281" s="6">
        <v>8</v>
      </c>
      <c r="H281" s="6">
        <v>8</v>
      </c>
      <c r="I281" s="6">
        <v>10</v>
      </c>
      <c r="J281" s="6">
        <v>10</v>
      </c>
      <c r="K281" s="6">
        <v>10</v>
      </c>
      <c r="L281" s="6">
        <v>8</v>
      </c>
      <c r="M281" s="6"/>
      <c r="N281" s="6">
        <v>10</v>
      </c>
      <c r="O281" s="6"/>
      <c r="P281" s="6">
        <v>8</v>
      </c>
      <c r="Q281" s="6">
        <v>10</v>
      </c>
      <c r="R281" s="6"/>
      <c r="S281" s="35">
        <f>SUM(F281:R281)</f>
        <v>92</v>
      </c>
      <c r="T281" s="35">
        <f>COUNT(F281:R281)</f>
        <v>10</v>
      </c>
      <c r="U281" s="36">
        <f>IF(T281&gt;=2,ROUND((IF(T281=2,0.55,IF(T281&lt;=4,0.7,IF(T281&lt;=6,0.8,IF(T281&lt;=9,0.9,1))))*(S281/T281)+(1-(IF(T281=2,0.55,IF(T281&lt;=4,0.7,IF(T281&lt;=6,0.8,IF(T281&lt;=9,0.9,1))))))*$Y$1),1),"")</f>
        <v>9.2</v>
      </c>
      <c r="V281" s="37">
        <v>7.6</v>
      </c>
      <c r="W281" s="38"/>
    </row>
    <row r="282" ht="24" customHeight="1" spans="1:23" x14ac:dyDescent="0.25">
      <c r="A282" s="31">
        <v>2019</v>
      </c>
      <c r="B282" s="32" t="s">
        <v>337</v>
      </c>
      <c r="C282" s="33" t="s">
        <v>24</v>
      </c>
      <c r="D282" s="34">
        <v>2024</v>
      </c>
      <c r="E282" s="34"/>
      <c r="F282" s="6"/>
      <c r="G282" s="6"/>
      <c r="H282" s="6"/>
      <c r="I282" s="6"/>
      <c r="J282" s="6"/>
      <c r="K282" s="6">
        <v>8</v>
      </c>
      <c r="L282" s="6"/>
      <c r="M282" s="6"/>
      <c r="N282" s="6"/>
      <c r="O282" s="6"/>
      <c r="P282" s="6"/>
      <c r="Q282" s="6">
        <v>8</v>
      </c>
      <c r="R282" s="6"/>
      <c r="S282" s="35">
        <f>SUM(F282:R282)</f>
        <v>16</v>
      </c>
      <c r="T282" s="35">
        <f>COUNT(F282:R282)</f>
        <v>2</v>
      </c>
      <c r="U282" s="36">
        <f>IF(T282&gt;=2,ROUND((IF(T282=2,0.55,IF(T282&lt;=4,0.7,IF(T282&lt;=6,0.8,IF(T282&lt;=9,0.9,1))))*(S282/T282)+(1-(IF(T282=2,0.55,IF(T282&lt;=4,0.7,IF(T282&lt;=6,0.8,IF(T282&lt;=9,0.9,1))))))*$Y$1),1),"")</f>
        <v>8</v>
      </c>
      <c r="V282" s="37">
        <v>7.1</v>
      </c>
      <c r="W282" s="38"/>
    </row>
    <row r="283" ht="24" customHeight="1" spans="1:23" x14ac:dyDescent="0.25">
      <c r="A283" s="47">
        <v>129</v>
      </c>
      <c r="B283" s="32" t="s">
        <v>338</v>
      </c>
      <c r="C283" s="48" t="s">
        <v>24</v>
      </c>
      <c r="D283" s="49">
        <v>1989</v>
      </c>
      <c r="E283" s="49" t="s">
        <v>30</v>
      </c>
      <c r="F283" s="6">
        <v>8</v>
      </c>
      <c r="G283" s="6">
        <v>8</v>
      </c>
      <c r="H283" s="6">
        <v>10</v>
      </c>
      <c r="I283" s="6">
        <v>10</v>
      </c>
      <c r="J283" s="6">
        <v>8</v>
      </c>
      <c r="K283" s="6">
        <v>10</v>
      </c>
      <c r="L283" s="6">
        <v>10</v>
      </c>
      <c r="M283" s="6">
        <v>10</v>
      </c>
      <c r="N283" s="6">
        <v>10</v>
      </c>
      <c r="O283" s="6">
        <v>10</v>
      </c>
      <c r="P283" s="6">
        <v>10</v>
      </c>
      <c r="Q283" s="6">
        <v>10</v>
      </c>
      <c r="R283" s="6">
        <v>10</v>
      </c>
      <c r="S283" s="50">
        <f>SUM(F283:R283)</f>
        <v>124</v>
      </c>
      <c r="T283" s="50">
        <f>COUNT(F283:R283)</f>
        <v>13</v>
      </c>
      <c r="U283" s="36">
        <f>IF(T283&gt;=2,ROUND((IF(T283=2,0.55,IF(T283&lt;=4,0.7,IF(T283&lt;=6,0.8,IF(T283&lt;=9,0.9,1))))*(S283/T283)+(1-(IF(T283=2,0.55,IF(T283&lt;=4,0.7,IF(T283&lt;=6,0.8,IF(T283&lt;=9,0.9,1))))))*$Y$1),1),"")</f>
        <v>9.5</v>
      </c>
      <c r="V283" s="37">
        <v>8.1</v>
      </c>
      <c r="W283" s="38" t="s">
        <v>44</v>
      </c>
    </row>
    <row r="284" ht="24" customHeight="1" spans="1:23" x14ac:dyDescent="0.25">
      <c r="A284" s="31">
        <v>341</v>
      </c>
      <c r="B284" s="32" t="s">
        <v>339</v>
      </c>
      <c r="C284" s="33" t="s">
        <v>24</v>
      </c>
      <c r="D284" s="34">
        <v>2003</v>
      </c>
      <c r="E284" s="34" t="s">
        <v>340</v>
      </c>
      <c r="F284" s="6">
        <v>10</v>
      </c>
      <c r="G284" s="6">
        <v>8</v>
      </c>
      <c r="H284" s="6">
        <v>8</v>
      </c>
      <c r="I284" s="6">
        <v>10</v>
      </c>
      <c r="J284" s="6">
        <v>10</v>
      </c>
      <c r="K284" s="6">
        <v>8</v>
      </c>
      <c r="L284" s="6">
        <v>10</v>
      </c>
      <c r="M284" s="6">
        <v>8</v>
      </c>
      <c r="N284" s="6"/>
      <c r="O284" s="6"/>
      <c r="P284" s="6">
        <v>8</v>
      </c>
      <c r="Q284" s="6">
        <v>8</v>
      </c>
      <c r="R284" s="6"/>
      <c r="S284" s="35">
        <f>SUM(F284:R284)</f>
        <v>88</v>
      </c>
      <c r="T284" s="35">
        <f>COUNT(F284:R284)</f>
        <v>10</v>
      </c>
      <c r="U284" s="36">
        <f>IF(T284&gt;=2,ROUND((IF(T284=2,0.55,IF(T284&lt;=4,0.7,IF(T284&lt;=6,0.8,IF(T284&lt;=9,0.9,1))))*(S284/T284)+(1-(IF(T284=2,0.55,IF(T284&lt;=4,0.7,IF(T284&lt;=6,0.8,IF(T284&lt;=9,0.9,1))))))*$Y$1),1),"")</f>
        <v>8.8</v>
      </c>
      <c r="V284" s="37">
        <v>7.9</v>
      </c>
      <c r="W284" s="38"/>
    </row>
    <row r="285" ht="24" customHeight="1" spans="1:23" x14ac:dyDescent="0.25">
      <c r="A285" s="31">
        <v>298</v>
      </c>
      <c r="B285" s="32" t="s">
        <v>341</v>
      </c>
      <c r="C285" s="33" t="s">
        <v>114</v>
      </c>
      <c r="D285" s="34">
        <v>2003</v>
      </c>
      <c r="E285" s="34" t="s">
        <v>137</v>
      </c>
      <c r="F285" s="6">
        <v>8</v>
      </c>
      <c r="G285" s="6">
        <v>8</v>
      </c>
      <c r="H285" s="6"/>
      <c r="I285" s="6">
        <v>8</v>
      </c>
      <c r="J285" s="6">
        <v>8</v>
      </c>
      <c r="K285" s="6">
        <v>8</v>
      </c>
      <c r="L285" s="6"/>
      <c r="M285" s="6">
        <v>8</v>
      </c>
      <c r="N285" s="6"/>
      <c r="O285" s="6">
        <v>8</v>
      </c>
      <c r="P285" s="6">
        <v>8</v>
      </c>
      <c r="Q285" s="6">
        <v>8</v>
      </c>
      <c r="R285" s="6"/>
      <c r="S285" s="35">
        <f>SUM(F285:R285)</f>
        <v>72</v>
      </c>
      <c r="T285" s="35">
        <f>COUNT(F285:R285)</f>
        <v>9</v>
      </c>
      <c r="U285" s="36">
        <f>IF(T285&gt;=2,ROUND((IF(T285=2,0.55,IF(T285&lt;=4,0.7,IF(T285&lt;=6,0.8,IF(T285&lt;=9,0.9,1))))*(S285/T285)+(1-(IF(T285=2,0.55,IF(T285&lt;=4,0.7,IF(T285&lt;=6,0.8,IF(T285&lt;=9,0.9,1))))))*$Y$1),1),"")</f>
        <v>8</v>
      </c>
      <c r="V285" s="37">
        <v>6.8</v>
      </c>
      <c r="W285" s="38"/>
    </row>
    <row r="286" ht="24" customHeight="1" spans="1:23" x14ac:dyDescent="0.25">
      <c r="A286" s="31">
        <v>285</v>
      </c>
      <c r="B286" s="32" t="s">
        <v>342</v>
      </c>
      <c r="C286" s="33" t="s">
        <v>24</v>
      </c>
      <c r="D286" s="34">
        <v>2004</v>
      </c>
      <c r="E286" s="34" t="s">
        <v>30</v>
      </c>
      <c r="F286" s="6"/>
      <c r="G286" s="6"/>
      <c r="H286" s="6"/>
      <c r="I286" s="6"/>
      <c r="J286" s="6"/>
      <c r="K286" s="6"/>
      <c r="L286" s="6">
        <v>10</v>
      </c>
      <c r="M286" s="6"/>
      <c r="N286" s="6"/>
      <c r="O286" s="6"/>
      <c r="P286" s="6"/>
      <c r="Q286" s="6"/>
      <c r="R286" s="6"/>
      <c r="S286" s="35">
        <f>SUM(F286:R286)</f>
        <v>10</v>
      </c>
      <c r="T286" s="35">
        <f>COUNT(F286:R286)</f>
        <v>1</v>
      </c>
      <c r="U286" s="36">
        <f>IF(T286&gt;=2,ROUND((IF(T286=2,0.55,IF(T286&lt;=4,0.7,IF(T286&lt;=6,0.8,IF(T286&lt;=9,0.9,1))))*(S286/T286)+(1-(IF(T286=2,0.55,IF(T286&lt;=4,0.7,IF(T286&lt;=6,0.8,IF(T286&lt;=9,0.9,1))))))*$Y$1),1),"")</f>
      </c>
      <c r="V286" s="37">
        <v>6.6</v>
      </c>
      <c r="W286" s="38"/>
    </row>
    <row r="287" ht="24" customHeight="1" spans="1:23" x14ac:dyDescent="0.25">
      <c r="A287" s="31">
        <v>1264</v>
      </c>
      <c r="B287" s="32" t="s">
        <v>343</v>
      </c>
      <c r="C287" s="33" t="s">
        <v>24</v>
      </c>
      <c r="D287" s="34">
        <v>2017</v>
      </c>
      <c r="E287" s="34" t="s">
        <v>30</v>
      </c>
      <c r="F287" s="6"/>
      <c r="G287" s="6"/>
      <c r="H287" s="6"/>
      <c r="I287" s="6">
        <v>6</v>
      </c>
      <c r="J287" s="6"/>
      <c r="K287" s="6">
        <v>6</v>
      </c>
      <c r="L287" s="6"/>
      <c r="M287" s="6"/>
      <c r="N287" s="6"/>
      <c r="O287" s="6"/>
      <c r="P287" s="6"/>
      <c r="Q287" s="6">
        <v>6</v>
      </c>
      <c r="R287" s="6"/>
      <c r="S287" s="35">
        <f>SUM(F287:R287)</f>
        <v>18</v>
      </c>
      <c r="T287" s="35">
        <f>COUNT(F287:R287)</f>
        <v>3</v>
      </c>
      <c r="U287" s="36">
        <f>IF(T287&gt;=2,ROUND((IF(T287=2,0.55,IF(T287&lt;=4,0.7,IF(T287&lt;=6,0.8,IF(T287&lt;=9,0.9,1))))*(S287/T287)+(1-(IF(T287=2,0.55,IF(T287&lt;=4,0.7,IF(T287&lt;=6,0.8,IF(T287&lt;=9,0.9,1))))))*$Y$1),1),"")</f>
        <v>6.6</v>
      </c>
      <c r="V287" s="37">
        <v>5.9</v>
      </c>
      <c r="W287" s="38"/>
    </row>
    <row r="288" ht="24" customHeight="1" spans="1:23" x14ac:dyDescent="0.25">
      <c r="A288" s="31">
        <v>643</v>
      </c>
      <c r="B288" s="32" t="s">
        <v>344</v>
      </c>
      <c r="C288" s="33" t="s">
        <v>24</v>
      </c>
      <c r="D288" s="34">
        <v>2014</v>
      </c>
      <c r="E288" s="34" t="s">
        <v>30</v>
      </c>
      <c r="F288" s="6">
        <v>8</v>
      </c>
      <c r="G288" s="6">
        <v>7</v>
      </c>
      <c r="H288" s="6"/>
      <c r="I288" s="6"/>
      <c r="J288" s="6">
        <v>10</v>
      </c>
      <c r="K288" s="6"/>
      <c r="L288" s="6">
        <v>8</v>
      </c>
      <c r="M288" s="6"/>
      <c r="N288" s="6">
        <v>8</v>
      </c>
      <c r="O288" s="6"/>
      <c r="P288" s="6">
        <v>8</v>
      </c>
      <c r="Q288" s="6"/>
      <c r="R288" s="6"/>
      <c r="S288" s="35">
        <f>SUM(F288:R288)</f>
        <v>49</v>
      </c>
      <c r="T288" s="35">
        <f>COUNT(F288:R288)</f>
        <v>6</v>
      </c>
      <c r="U288" s="36">
        <f>IF(T288&gt;=2,ROUND((IF(T288=2,0.55,IF(T288&lt;=4,0.7,IF(T288&lt;=6,0.8,IF(T288&lt;=9,0.9,1))))*(S288/T288)+(1-(IF(T288=2,0.55,IF(T288&lt;=4,0.7,IF(T288&lt;=6,0.8,IF(T288&lt;=9,0.9,1))))))*$Y$1),1),"")</f>
        <v>8.2</v>
      </c>
      <c r="V288" s="37">
        <v>7.3</v>
      </c>
      <c r="W288" s="38"/>
    </row>
    <row r="289" ht="24" customHeight="1" spans="1:23" x14ac:dyDescent="0.25">
      <c r="A289" s="40">
        <v>2343</v>
      </c>
      <c r="B289" s="32" t="s">
        <v>345</v>
      </c>
      <c r="C289" s="33" t="s">
        <v>24</v>
      </c>
      <c r="D289" s="34">
        <v>2000</v>
      </c>
      <c r="E289" s="41"/>
      <c r="F289" s="6"/>
      <c r="G289" s="6"/>
      <c r="H289" s="6"/>
      <c r="I289" s="6"/>
      <c r="J289" s="6"/>
      <c r="K289" s="6"/>
      <c r="L289" s="6">
        <v>8</v>
      </c>
      <c r="M289" s="6"/>
      <c r="N289" s="6"/>
      <c r="O289" s="6"/>
      <c r="P289" s="6"/>
      <c r="Q289" s="6"/>
      <c r="R289" s="6"/>
      <c r="S289" s="35">
        <f>SUM(F289:R289)</f>
        <v>8</v>
      </c>
      <c r="T289" s="35">
        <f>COUNT(F289:R289)</f>
        <v>1</v>
      </c>
      <c r="U289" s="36">
        <f>IF(T289&gt;=2,ROUND((IF(T289=2,0.55,IF(T289&lt;=4,0.7,IF(T289&lt;=6,0.8,IF(T289&lt;=9,0.9,1))))*(S289/T289)+(1-(IF(T289=2,0.55,IF(T289&lt;=4,0.7,IF(T289&lt;=6,0.8,IF(T289&lt;=9,0.9,1))))))*$Y$1),1),"")</f>
      </c>
      <c r="V289" s="37">
        <v>8.2</v>
      </c>
      <c r="W289" s="38"/>
    </row>
    <row r="290" ht="24" customHeight="1" spans="1:23" x14ac:dyDescent="0.25">
      <c r="A290" s="31">
        <v>988</v>
      </c>
      <c r="B290" s="32" t="s">
        <v>346</v>
      </c>
      <c r="C290" s="33" t="s">
        <v>24</v>
      </c>
      <c r="D290" s="34">
        <v>1996</v>
      </c>
      <c r="E290" s="34" t="s">
        <v>30</v>
      </c>
      <c r="F290" s="6">
        <v>8</v>
      </c>
      <c r="G290" s="6"/>
      <c r="H290" s="6">
        <v>8</v>
      </c>
      <c r="I290" s="6"/>
      <c r="J290" s="6">
        <v>8</v>
      </c>
      <c r="K290" s="6">
        <v>8</v>
      </c>
      <c r="L290" s="6">
        <v>8</v>
      </c>
      <c r="M290" s="6"/>
      <c r="N290" s="6"/>
      <c r="O290" s="6"/>
      <c r="P290" s="6"/>
      <c r="Q290" s="6">
        <v>8</v>
      </c>
      <c r="R290" s="6"/>
      <c r="S290" s="35">
        <f>SUM(F290:R290)</f>
        <v>48</v>
      </c>
      <c r="T290" s="35">
        <f>COUNT(F290:R290)</f>
        <v>6</v>
      </c>
      <c r="U290" s="36">
        <f>IF(T290&gt;=2,ROUND((IF(T290=2,0.55,IF(T290&lt;=4,0.7,IF(T290&lt;=6,0.8,IF(T290&lt;=9,0.9,1))))*(S290/T290)+(1-(IF(T290=2,0.55,IF(T290&lt;=4,0.7,IF(T290&lt;=6,0.8,IF(T290&lt;=9,0.9,1))))))*$Y$1),1),"")</f>
        <v>8</v>
      </c>
      <c r="V290" s="37">
        <v>7.5</v>
      </c>
      <c r="W290" s="38"/>
    </row>
    <row r="291" ht="24" customHeight="1" spans="1:23" x14ac:dyDescent="0.25">
      <c r="A291" s="31">
        <v>1928</v>
      </c>
      <c r="B291" s="32" t="s">
        <v>347</v>
      </c>
      <c r="C291" s="33" t="s">
        <v>24</v>
      </c>
      <c r="D291" s="34">
        <v>2024</v>
      </c>
      <c r="E291" s="34" t="s">
        <v>25</v>
      </c>
      <c r="F291" s="6"/>
      <c r="G291" s="6">
        <v>8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35">
        <f>SUM(F291:R291)</f>
        <v>8</v>
      </c>
      <c r="T291" s="35">
        <f>COUNT(F291:R291)</f>
        <v>1</v>
      </c>
      <c r="U291" s="36">
        <f>IF(T291&gt;=2,ROUND((IF(T291=2,0.55,IF(T291&lt;=4,0.7,IF(T291&lt;=6,0.8,IF(T291&lt;=9,0.9,1))))*(S291/T291)+(1-(IF(T291=2,0.55,IF(T291&lt;=4,0.7,IF(T291&lt;=6,0.8,IF(T291&lt;=9,0.9,1))))))*$Y$1),1),"")</f>
      </c>
      <c r="V291" s="37">
        <v>7</v>
      </c>
      <c r="W291" s="38"/>
    </row>
    <row r="292" ht="24" customHeight="1" spans="1:23" x14ac:dyDescent="0.25">
      <c r="A292" s="31">
        <v>1334</v>
      </c>
      <c r="B292" s="32" t="s">
        <v>348</v>
      </c>
      <c r="C292" s="33" t="s">
        <v>29</v>
      </c>
      <c r="D292" s="34">
        <v>2021</v>
      </c>
      <c r="E292" s="34" t="s">
        <v>69</v>
      </c>
      <c r="F292" s="6"/>
      <c r="G292" s="6"/>
      <c r="H292" s="6">
        <v>8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35">
        <f>SUM(F292:R292)</f>
        <v>8</v>
      </c>
      <c r="T292" s="35">
        <f>COUNT(F292:R292)</f>
        <v>1</v>
      </c>
      <c r="U292" s="36">
        <f>IF(T292&gt;=2,ROUND((IF(T292=2,0.55,IF(T292&lt;=4,0.7,IF(T292&lt;=6,0.8,IF(T292&lt;=9,0.9,1))))*(S292/T292)+(1-(IF(T292=2,0.55,IF(T292&lt;=4,0.7,IF(T292&lt;=6,0.8,IF(T292&lt;=9,0.9,1))))))*$Y$1),1),"")</f>
      </c>
      <c r="V292" s="37">
        <v>7.1</v>
      </c>
      <c r="W292" s="38"/>
    </row>
    <row r="293" ht="24" customHeight="1" spans="1:23" x14ac:dyDescent="0.25">
      <c r="A293" s="47">
        <v>2448</v>
      </c>
      <c r="B293" s="32" t="s">
        <v>349</v>
      </c>
      <c r="C293" s="48" t="s">
        <v>24</v>
      </c>
      <c r="D293" s="49">
        <v>2025</v>
      </c>
      <c r="E293" s="41"/>
      <c r="F293" s="6">
        <v>7</v>
      </c>
      <c r="G293" s="6"/>
      <c r="H293" s="6">
        <v>7</v>
      </c>
      <c r="I293" s="6"/>
      <c r="J293" s="6"/>
      <c r="K293" s="6"/>
      <c r="L293" s="6">
        <v>6</v>
      </c>
      <c r="M293" s="6">
        <v>6</v>
      </c>
      <c r="N293" s="6">
        <v>6</v>
      </c>
      <c r="O293" s="6">
        <v>7</v>
      </c>
      <c r="P293" s="6"/>
      <c r="Q293" s="6"/>
      <c r="R293" s="6"/>
      <c r="S293" s="35">
        <f>SUM(F293:R293)</f>
        <v>39</v>
      </c>
      <c r="T293" s="35">
        <f>COUNT(F293:R293)</f>
        <v>6</v>
      </c>
      <c r="U293" s="36">
        <f>IF(T293&gt;=2,ROUND((IF(T293=2,0.55,IF(T293&lt;=4,0.7,IF(T293&lt;=6,0.8,IF(T293&lt;=9,0.9,1))))*(S293/T293)+(1-(IF(T293=2,0.55,IF(T293&lt;=4,0.7,IF(T293&lt;=6,0.8,IF(T293&lt;=9,0.9,1))))))*$Y$1),1),"")</f>
        <v>6.8</v>
      </c>
      <c r="V293" s="37">
        <v>7</v>
      </c>
      <c r="W293" s="38" t="s">
        <v>44</v>
      </c>
    </row>
    <row r="294" ht="24" customHeight="1" spans="1:23" x14ac:dyDescent="0.25">
      <c r="A294" s="31">
        <v>1779</v>
      </c>
      <c r="B294" s="32" t="s">
        <v>350</v>
      </c>
      <c r="C294" s="33" t="s">
        <v>24</v>
      </c>
      <c r="D294" s="34">
        <v>2016</v>
      </c>
      <c r="E294" s="34" t="s">
        <v>25</v>
      </c>
      <c r="F294" s="6"/>
      <c r="G294" s="6"/>
      <c r="H294" s="6"/>
      <c r="I294" s="6"/>
      <c r="J294" s="6">
        <v>8</v>
      </c>
      <c r="K294" s="6"/>
      <c r="L294" s="6"/>
      <c r="M294" s="6"/>
      <c r="N294" s="6"/>
      <c r="O294" s="6"/>
      <c r="P294" s="6"/>
      <c r="Q294" s="6"/>
      <c r="R294" s="6"/>
      <c r="S294" s="35">
        <f>SUM(F294:R294)</f>
        <v>8</v>
      </c>
      <c r="T294" s="35">
        <f>COUNT(F294:R294)</f>
        <v>1</v>
      </c>
      <c r="U294" s="36">
        <f>IF(T294&gt;=2,ROUND((IF(T294=2,0.55,IF(T294&lt;=4,0.7,IF(T294&lt;=6,0.8,IF(T294&lt;=9,0.9,1))))*(S294/T294)+(1-(IF(T294=2,0.55,IF(T294&lt;=4,0.7,IF(T294&lt;=6,0.8,IF(T294&lt;=9,0.9,1))))))*$Y$1),1),"")</f>
      </c>
      <c r="V294" s="37">
        <v>7.9</v>
      </c>
      <c r="W294" s="38"/>
    </row>
    <row r="295" ht="24" customHeight="1" spans="1:23" x14ac:dyDescent="0.25">
      <c r="A295" s="47">
        <v>2004</v>
      </c>
      <c r="B295" s="32" t="s">
        <v>351</v>
      </c>
      <c r="C295" s="48" t="s">
        <v>24</v>
      </c>
      <c r="D295" s="49">
        <v>2023</v>
      </c>
      <c r="E295" s="49"/>
      <c r="F295" s="6"/>
      <c r="G295" s="6">
        <v>8</v>
      </c>
      <c r="H295" s="6">
        <v>8</v>
      </c>
      <c r="I295" s="6"/>
      <c r="J295" s="6">
        <v>8</v>
      </c>
      <c r="K295" s="6"/>
      <c r="L295" s="6">
        <v>7</v>
      </c>
      <c r="M295" s="6">
        <v>8</v>
      </c>
      <c r="N295" s="6">
        <v>8</v>
      </c>
      <c r="O295" s="6"/>
      <c r="P295" s="6">
        <v>8</v>
      </c>
      <c r="Q295" s="6"/>
      <c r="R295" s="6">
        <v>9</v>
      </c>
      <c r="S295" s="50">
        <f>SUM(F295:R295)</f>
        <v>64</v>
      </c>
      <c r="T295" s="50">
        <f>COUNT(F295:R295)</f>
        <v>8</v>
      </c>
      <c r="U295" s="36">
        <f>IF(T295&gt;=2,ROUND((IF(T295=2,0.55,IF(T295&lt;=4,0.7,IF(T295&lt;=6,0.8,IF(T295&lt;=9,0.9,1))))*(S295/T295)+(1-(IF(T295=2,0.55,IF(T295&lt;=4,0.7,IF(T295&lt;=6,0.8,IF(T295&lt;=9,0.9,1))))))*$Y$1),1),"")</f>
        <v>8</v>
      </c>
      <c r="V295" s="37">
        <v>7.6</v>
      </c>
      <c r="W295" s="38" t="s">
        <v>44</v>
      </c>
    </row>
    <row r="296" ht="24" customHeight="1" spans="1:23" x14ac:dyDescent="0.25">
      <c r="A296" s="40">
        <v>2221</v>
      </c>
      <c r="B296" s="32" t="s">
        <v>352</v>
      </c>
      <c r="C296" s="33" t="s">
        <v>24</v>
      </c>
      <c r="D296" s="34">
        <v>2008</v>
      </c>
      <c r="E296" s="41"/>
      <c r="F296" s="6"/>
      <c r="G296" s="6">
        <v>7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35">
        <f>SUM(F296:R296)</f>
        <v>7</v>
      </c>
      <c r="T296" s="35">
        <f>COUNT(F296:R296)</f>
        <v>1</v>
      </c>
      <c r="U296" s="36">
        <f>IF(T296&gt;=2,ROUND((IF(T296=2,0.55,IF(T296&lt;=4,0.7,IF(T296&lt;=6,0.8,IF(T296&lt;=9,0.9,1))))*(S296/T296)+(1-(IF(T296=2,0.55,IF(T296&lt;=4,0.7,IF(T296&lt;=6,0.8,IF(T296&lt;=9,0.9,1))))))*$Y$1),1),"")</f>
      </c>
      <c r="V296" s="37">
        <v>7.5</v>
      </c>
      <c r="W296" s="38"/>
    </row>
    <row r="297" ht="24" customHeight="1" spans="1:23" x14ac:dyDescent="0.25">
      <c r="A297" s="40">
        <v>2062</v>
      </c>
      <c r="B297" s="32" t="s">
        <v>353</v>
      </c>
      <c r="C297" s="33" t="s">
        <v>24</v>
      </c>
      <c r="D297" s="34">
        <v>1954</v>
      </c>
      <c r="E297" s="41"/>
      <c r="F297" s="6"/>
      <c r="G297" s="6">
        <v>7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35">
        <f>SUM(F297:R297)</f>
        <v>7</v>
      </c>
      <c r="T297" s="35">
        <f>COUNT(F297:R297)</f>
        <v>1</v>
      </c>
      <c r="U297" s="36">
        <f>IF(T297&gt;=2,ROUND((IF(T297=2,0.55,IF(T297&lt;=4,0.7,IF(T297&lt;=6,0.8,IF(T297&lt;=9,0.9,1))))*(S297/T297)+(1-(IF(T297=2,0.55,IF(T297&lt;=4,0.7,IF(T297&lt;=6,0.8,IF(T297&lt;=9,0.9,1))))))*$Y$1),1),"")</f>
      </c>
      <c r="V297" s="37">
        <v>8.1</v>
      </c>
      <c r="W297" s="38"/>
    </row>
    <row r="298" ht="24" customHeight="1" spans="1:23" x14ac:dyDescent="0.25">
      <c r="A298" s="40">
        <v>2220</v>
      </c>
      <c r="B298" s="32" t="s">
        <v>354</v>
      </c>
      <c r="C298" s="33" t="s">
        <v>24</v>
      </c>
      <c r="D298" s="34">
        <v>2008</v>
      </c>
      <c r="E298" s="41"/>
      <c r="F298" s="6"/>
      <c r="G298" s="6">
        <v>7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35">
        <f>SUM(F298:R298)</f>
        <v>7</v>
      </c>
      <c r="T298" s="35">
        <f>COUNT(F298:R298)</f>
        <v>1</v>
      </c>
      <c r="U298" s="36">
        <f>IF(T298&gt;=2,ROUND((IF(T298=2,0.55,IF(T298&lt;=4,0.7,IF(T298&lt;=6,0.8,IF(T298&lt;=9,0.9,1))))*(S298/T298)+(1-(IF(T298=2,0.55,IF(T298&lt;=4,0.7,IF(T298&lt;=6,0.8,IF(T298&lt;=9,0.9,1))))))*$Y$1),1),"")</f>
      </c>
      <c r="V298" s="37">
        <v>7</v>
      </c>
      <c r="W298" s="38"/>
    </row>
    <row r="299" ht="24" customHeight="1" spans="1:23" x14ac:dyDescent="0.25">
      <c r="A299" s="31">
        <v>1381</v>
      </c>
      <c r="B299" s="32" t="s">
        <v>355</v>
      </c>
      <c r="C299" s="33" t="s">
        <v>24</v>
      </c>
      <c r="D299" s="34">
        <v>2009</v>
      </c>
      <c r="E299" s="34" t="s">
        <v>30</v>
      </c>
      <c r="F299" s="6"/>
      <c r="G299" s="6">
        <v>6</v>
      </c>
      <c r="H299" s="6"/>
      <c r="I299" s="6"/>
      <c r="J299" s="6"/>
      <c r="K299" s="6"/>
      <c r="L299" s="6"/>
      <c r="M299" s="6"/>
      <c r="N299" s="6"/>
      <c r="O299" s="6">
        <v>6</v>
      </c>
      <c r="P299" s="6"/>
      <c r="Q299" s="6"/>
      <c r="R299" s="6"/>
      <c r="S299" s="35">
        <f>SUM(F299:R299)</f>
        <v>12</v>
      </c>
      <c r="T299" s="35">
        <f>COUNT(F299:R299)</f>
        <v>2</v>
      </c>
      <c r="U299" s="36">
        <f>IF(T299&gt;=2,ROUND((IF(T299=2,0.55,IF(T299&lt;=4,0.7,IF(T299&lt;=6,0.8,IF(T299&lt;=9,0.9,1))))*(S299/T299)+(1-(IF(T299=2,0.55,IF(T299&lt;=4,0.7,IF(T299&lt;=6,0.8,IF(T299&lt;=9,0.9,1))))))*$Y$1),1),"")</f>
        <v>6.9</v>
      </c>
      <c r="V299" s="37">
        <v>6.6</v>
      </c>
      <c r="W299" s="38"/>
    </row>
    <row r="300" ht="24" customHeight="1" spans="1:23" x14ac:dyDescent="0.25">
      <c r="A300" s="40">
        <v>2140</v>
      </c>
      <c r="B300" s="32" t="s">
        <v>356</v>
      </c>
      <c r="C300" s="33" t="s">
        <v>24</v>
      </c>
      <c r="D300" s="34">
        <v>2003</v>
      </c>
      <c r="E300" s="41"/>
      <c r="F300" s="6"/>
      <c r="G300" s="6">
        <v>7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35">
        <f>SUM(F300:R300)</f>
        <v>7</v>
      </c>
      <c r="T300" s="35">
        <f>COUNT(F300:R300)</f>
        <v>1</v>
      </c>
      <c r="U300" s="36">
        <f>IF(T300&gt;=2,ROUND((IF(T300=2,0.55,IF(T300&lt;=4,0.7,IF(T300&lt;=6,0.8,IF(T300&lt;=9,0.9,1))))*(S300/T300)+(1-(IF(T300=2,0.55,IF(T300&lt;=4,0.7,IF(T300&lt;=6,0.8,IF(T300&lt;=9,0.9,1))))))*$Y$1),1),"")</f>
      </c>
      <c r="V300" s="37">
        <v>7.5</v>
      </c>
      <c r="W300" s="38"/>
    </row>
    <row r="301" ht="47.25" customHeight="1" spans="1:23" x14ac:dyDescent="0.25">
      <c r="A301" s="31">
        <v>907</v>
      </c>
      <c r="B301" s="32" t="s">
        <v>357</v>
      </c>
      <c r="C301" s="33" t="s">
        <v>24</v>
      </c>
      <c r="D301" s="34">
        <v>2014</v>
      </c>
      <c r="E301" s="34" t="s">
        <v>27</v>
      </c>
      <c r="F301" s="6"/>
      <c r="G301" s="6"/>
      <c r="H301" s="6"/>
      <c r="I301" s="6"/>
      <c r="J301" s="6">
        <v>8</v>
      </c>
      <c r="K301" s="6">
        <v>7</v>
      </c>
      <c r="L301" s="6">
        <v>8</v>
      </c>
      <c r="M301" s="6"/>
      <c r="N301" s="6"/>
      <c r="O301" s="6"/>
      <c r="P301" s="6"/>
      <c r="Q301" s="6">
        <v>7</v>
      </c>
      <c r="R301" s="6"/>
      <c r="S301" s="35">
        <f>SUM(F301:R301)</f>
        <v>30</v>
      </c>
      <c r="T301" s="35">
        <f>COUNT(F301:R301)</f>
        <v>4</v>
      </c>
      <c r="U301" s="36">
        <f>IF(T301&gt;=2,ROUND((IF(T301=2,0.55,IF(T301&lt;=4,0.7,IF(T301&lt;=6,0.8,IF(T301&lt;=9,0.9,1))))*(S301/T301)+(1-(IF(T301=2,0.55,IF(T301&lt;=4,0.7,IF(T301&lt;=6,0.8,IF(T301&lt;=9,0.9,1))))))*$Y$1),1),"")</f>
        <v>7.7</v>
      </c>
      <c r="V301" s="37">
        <v>7.1</v>
      </c>
      <c r="W301" s="38"/>
    </row>
    <row r="302" ht="24" customHeight="1" spans="1:23" x14ac:dyDescent="0.25">
      <c r="A302" s="31">
        <v>1599</v>
      </c>
      <c r="B302" s="32" t="s">
        <v>358</v>
      </c>
      <c r="C302" s="33" t="s">
        <v>29</v>
      </c>
      <c r="D302" s="34">
        <v>2023</v>
      </c>
      <c r="E302" s="34" t="s">
        <v>30</v>
      </c>
      <c r="F302" s="6">
        <v>7</v>
      </c>
      <c r="G302" s="6"/>
      <c r="H302" s="6"/>
      <c r="I302" s="6"/>
      <c r="J302" s="6"/>
      <c r="K302" s="6"/>
      <c r="L302" s="6"/>
      <c r="M302" s="6"/>
      <c r="N302" s="6"/>
      <c r="O302" s="6">
        <v>7</v>
      </c>
      <c r="P302" s="6"/>
      <c r="Q302" s="6"/>
      <c r="R302" s="6"/>
      <c r="S302" s="35">
        <f>SUM(F302:R302)</f>
        <v>14</v>
      </c>
      <c r="T302" s="35">
        <f>COUNT(F302:R302)</f>
        <v>2</v>
      </c>
      <c r="U302" s="36">
        <f>IF(T302&gt;=2,ROUND((IF(T302=2,0.55,IF(T302&lt;=4,0.7,IF(T302&lt;=6,0.8,IF(T302&lt;=9,0.9,1))))*(S302/T302)+(1-(IF(T302=2,0.55,IF(T302&lt;=4,0.7,IF(T302&lt;=6,0.8,IF(T302&lt;=9,0.9,1))))))*$Y$1),1),"")</f>
        <v>7.5</v>
      </c>
      <c r="V302" s="37">
        <v>5.6</v>
      </c>
      <c r="W302" s="38"/>
    </row>
    <row r="303" ht="24" customHeight="1" spans="1:23" s="39" customFormat="1" x14ac:dyDescent="0.25">
      <c r="A303" s="40">
        <v>2149</v>
      </c>
      <c r="B303" s="32" t="s">
        <v>359</v>
      </c>
      <c r="C303" s="33" t="s">
        <v>24</v>
      </c>
      <c r="D303" s="34">
        <v>2004</v>
      </c>
      <c r="E303" s="41"/>
      <c r="F303" s="6">
        <v>8</v>
      </c>
      <c r="G303" s="6">
        <v>8</v>
      </c>
      <c r="H303" s="6"/>
      <c r="I303" s="6">
        <v>7.5</v>
      </c>
      <c r="J303" s="6"/>
      <c r="K303" s="6"/>
      <c r="L303" s="6">
        <v>8</v>
      </c>
      <c r="M303" s="6"/>
      <c r="N303" s="6">
        <v>8</v>
      </c>
      <c r="O303" s="6">
        <v>8</v>
      </c>
      <c r="P303" s="6">
        <v>8</v>
      </c>
      <c r="Q303" s="6"/>
      <c r="R303" s="6"/>
      <c r="S303" s="35">
        <f>SUM(F303:R303)</f>
        <v>55.5</v>
      </c>
      <c r="T303" s="35">
        <f>COUNT(F303:R303)</f>
        <v>7</v>
      </c>
      <c r="U303" s="36">
        <f>IF(T303&gt;=2,ROUND((IF(T303=2,0.55,IF(T303&lt;=4,0.7,IF(T303&lt;=6,0.8,IF(T303&lt;=9,0.9,1))))*(S303/T303)+(1-(IF(T303=2,0.55,IF(T303&lt;=4,0.7,IF(T303&lt;=6,0.8,IF(T303&lt;=9,0.9,1))))))*$Y$1),1),"")</f>
        <v>7.9</v>
      </c>
      <c r="V303" s="37">
        <v>7.5</v>
      </c>
      <c r="W303" s="38"/>
    </row>
    <row r="304" ht="24" customHeight="1" spans="1:23" x14ac:dyDescent="0.25">
      <c r="A304" s="31">
        <v>1354</v>
      </c>
      <c r="B304" s="32" t="s">
        <v>360</v>
      </c>
      <c r="C304" s="33" t="s">
        <v>24</v>
      </c>
      <c r="D304" s="34">
        <v>2015</v>
      </c>
      <c r="E304" s="34" t="s">
        <v>30</v>
      </c>
      <c r="F304" s="6">
        <v>7</v>
      </c>
      <c r="G304" s="6"/>
      <c r="H304" s="6"/>
      <c r="I304" s="6"/>
      <c r="J304" s="6">
        <v>8</v>
      </c>
      <c r="K304" s="6"/>
      <c r="L304" s="6"/>
      <c r="M304" s="6"/>
      <c r="N304" s="6">
        <v>8</v>
      </c>
      <c r="O304" s="6"/>
      <c r="P304" s="6"/>
      <c r="Q304" s="6"/>
      <c r="R304" s="6"/>
      <c r="S304" s="35">
        <f>SUM(F304:R304)</f>
        <v>23</v>
      </c>
      <c r="T304" s="35">
        <f>COUNT(F304:R304)</f>
        <v>3</v>
      </c>
      <c r="U304" s="36">
        <f>IF(T304&gt;=2,ROUND((IF(T304=2,0.55,IF(T304&lt;=4,0.7,IF(T304&lt;=6,0.8,IF(T304&lt;=9,0.9,1))))*(S304/T304)+(1-(IF(T304=2,0.55,IF(T304&lt;=4,0.7,IF(T304&lt;=6,0.8,IF(T304&lt;=9,0.9,1))))))*$Y$1),1),"")</f>
        <v>7.8</v>
      </c>
      <c r="V304" s="37">
        <v>7.7</v>
      </c>
      <c r="W304" s="38"/>
    </row>
    <row r="305" ht="24" customHeight="1" spans="1:23" x14ac:dyDescent="0.25">
      <c r="A305" s="31">
        <v>311</v>
      </c>
      <c r="B305" s="32" t="s">
        <v>361</v>
      </c>
      <c r="C305" s="33" t="s">
        <v>29</v>
      </c>
      <c r="D305" s="34">
        <v>2013</v>
      </c>
      <c r="E305" s="34" t="s">
        <v>30</v>
      </c>
      <c r="F305" s="6"/>
      <c r="G305" s="6"/>
      <c r="H305" s="6"/>
      <c r="I305" s="6"/>
      <c r="J305" s="6">
        <v>10</v>
      </c>
      <c r="K305" s="6">
        <v>8</v>
      </c>
      <c r="L305" s="6">
        <v>8</v>
      </c>
      <c r="M305" s="6"/>
      <c r="N305" s="6">
        <v>8</v>
      </c>
      <c r="O305" s="6"/>
      <c r="P305" s="6"/>
      <c r="Q305" s="6">
        <v>8</v>
      </c>
      <c r="R305" s="6">
        <v>10</v>
      </c>
      <c r="S305" s="35">
        <f>SUM(F305:R305)</f>
        <v>52</v>
      </c>
      <c r="T305" s="35">
        <f>COUNT(F305:R305)</f>
        <v>6</v>
      </c>
      <c r="U305" s="36">
        <f>IF(T305&gt;=2,ROUND((IF(T305=2,0.55,IF(T305&lt;=4,0.7,IF(T305&lt;=6,0.8,IF(T305&lt;=9,0.9,1))))*(S305/T305)+(1-(IF(T305=2,0.55,IF(T305&lt;=4,0.7,IF(T305&lt;=6,0.8,IF(T305&lt;=9,0.9,1))))))*$Y$1),1),"")</f>
        <v>8.6</v>
      </c>
      <c r="V305" s="37">
        <v>8.6</v>
      </c>
      <c r="W305" s="38"/>
    </row>
    <row r="306" ht="24" customHeight="1" spans="1:23" x14ac:dyDescent="0.25">
      <c r="A306" s="31">
        <v>1773</v>
      </c>
      <c r="B306" s="32" t="s">
        <v>362</v>
      </c>
      <c r="C306" s="33" t="s">
        <v>24</v>
      </c>
      <c r="D306" s="34">
        <v>2024</v>
      </c>
      <c r="E306" s="34" t="s">
        <v>30</v>
      </c>
      <c r="F306" s="6"/>
      <c r="G306" s="6"/>
      <c r="H306" s="6"/>
      <c r="I306" s="6"/>
      <c r="J306" s="6"/>
      <c r="K306" s="6"/>
      <c r="L306" s="6"/>
      <c r="M306" s="6"/>
      <c r="N306" s="6"/>
      <c r="O306" s="6">
        <v>7</v>
      </c>
      <c r="P306" s="6"/>
      <c r="Q306" s="6"/>
      <c r="R306" s="6"/>
      <c r="S306" s="35">
        <f>SUM(F306:R306)</f>
        <v>7</v>
      </c>
      <c r="T306" s="35">
        <f>COUNT(F306:R306)</f>
        <v>1</v>
      </c>
      <c r="U306" s="36">
        <f>IF(T306&gt;=2,ROUND((IF(T306=2,0.55,IF(T306&lt;=4,0.7,IF(T306&lt;=6,0.8,IF(T306&lt;=9,0.9,1))))*(S306/T306)+(1-(IF(T306=2,0.55,IF(T306&lt;=4,0.7,IF(T306&lt;=6,0.8,IF(T306&lt;=9,0.9,1))))))*$Y$1),1),"")</f>
      </c>
      <c r="V306" s="37">
        <v>6.3</v>
      </c>
      <c r="W306" s="38"/>
    </row>
    <row r="307" ht="24" customHeight="1" spans="1:23" s="39" customFormat="1" x14ac:dyDescent="0.25">
      <c r="A307" s="31">
        <v>670</v>
      </c>
      <c r="B307" s="32" t="s">
        <v>363</v>
      </c>
      <c r="C307" s="33" t="s">
        <v>29</v>
      </c>
      <c r="D307" s="34">
        <v>2020</v>
      </c>
      <c r="E307" s="34" t="s">
        <v>30</v>
      </c>
      <c r="F307" s="6"/>
      <c r="G307" s="6"/>
      <c r="H307" s="6"/>
      <c r="I307" s="6"/>
      <c r="J307" s="6"/>
      <c r="K307" s="6"/>
      <c r="L307" s="6"/>
      <c r="M307" s="6"/>
      <c r="N307" s="6">
        <v>6</v>
      </c>
      <c r="O307" s="6"/>
      <c r="P307" s="6"/>
      <c r="Q307" s="6"/>
      <c r="R307" s="6"/>
      <c r="S307" s="35">
        <f>SUM(F307:R307)</f>
        <v>6</v>
      </c>
      <c r="T307" s="35">
        <f>COUNT(F307:R307)</f>
        <v>1</v>
      </c>
      <c r="U307" s="36">
        <f>IF(T307&gt;=2,ROUND((IF(T307=2,0.55,IF(T307&lt;=4,0.7,IF(T307&lt;=6,0.8,IF(T307&lt;=9,0.9,1))))*(S307/T307)+(1-(IF(T307=2,0.55,IF(T307&lt;=4,0.7,IF(T307&lt;=6,0.8,IF(T307&lt;=9,0.9,1))))))*$Y$1),1),"")</f>
      </c>
      <c r="V307" s="37">
        <v>6.4</v>
      </c>
      <c r="W307" s="38"/>
    </row>
    <row r="308" ht="24" customHeight="1" spans="1:23" x14ac:dyDescent="0.25">
      <c r="A308" s="31">
        <v>1733</v>
      </c>
      <c r="B308" s="32" t="s">
        <v>364</v>
      </c>
      <c r="C308" s="33" t="s">
        <v>24</v>
      </c>
      <c r="D308" s="34">
        <v>2011</v>
      </c>
      <c r="E308" s="34" t="s">
        <v>25</v>
      </c>
      <c r="F308" s="6"/>
      <c r="G308" s="6"/>
      <c r="H308" s="6"/>
      <c r="I308" s="6"/>
      <c r="J308" s="6">
        <v>8</v>
      </c>
      <c r="K308" s="6"/>
      <c r="L308" s="6"/>
      <c r="M308" s="6"/>
      <c r="N308" s="6"/>
      <c r="O308" s="6"/>
      <c r="P308" s="6"/>
      <c r="Q308" s="6"/>
      <c r="R308" s="6"/>
      <c r="S308" s="35">
        <f>SUM(F308:R308)</f>
        <v>8</v>
      </c>
      <c r="T308" s="35">
        <f>COUNT(F308:R308)</f>
        <v>1</v>
      </c>
      <c r="U308" s="36">
        <f>IF(T308&gt;=2,ROUND((IF(T308=2,0.55,IF(T308&lt;=4,0.7,IF(T308&lt;=6,0.8,IF(T308&lt;=9,0.9,1))))*(S308/T308)+(1-(IF(T308=2,0.55,IF(T308&lt;=4,0.7,IF(T308&lt;=6,0.8,IF(T308&lt;=9,0.9,1))))))*$Y$1),1),"")</f>
      </c>
      <c r="V308" s="37">
        <v>7.2</v>
      </c>
      <c r="W308" s="38"/>
    </row>
    <row r="309" ht="24" customHeight="1" spans="1:23" s="39" customFormat="1" x14ac:dyDescent="0.25">
      <c r="A309" s="31">
        <v>793</v>
      </c>
      <c r="B309" s="32" t="s">
        <v>365</v>
      </c>
      <c r="C309" s="33" t="s">
        <v>24</v>
      </c>
      <c r="D309" s="34">
        <v>1998</v>
      </c>
      <c r="E309" s="34" t="s">
        <v>52</v>
      </c>
      <c r="F309" s="6"/>
      <c r="G309" s="6">
        <v>8</v>
      </c>
      <c r="H309" s="6"/>
      <c r="I309" s="6"/>
      <c r="J309" s="6"/>
      <c r="K309" s="6">
        <v>8</v>
      </c>
      <c r="L309" s="6">
        <v>8</v>
      </c>
      <c r="M309" s="6"/>
      <c r="N309" s="6"/>
      <c r="O309" s="6"/>
      <c r="P309" s="6">
        <v>8</v>
      </c>
      <c r="Q309" s="6">
        <v>8</v>
      </c>
      <c r="R309" s="6"/>
      <c r="S309" s="35">
        <f>SUM(F309:R309)</f>
        <v>40</v>
      </c>
      <c r="T309" s="35">
        <f>COUNT(F309:R309)</f>
        <v>5</v>
      </c>
      <c r="U309" s="36">
        <f>IF(T309&gt;=2,ROUND((IF(T309=2,0.55,IF(T309&lt;=4,0.7,IF(T309&lt;=6,0.8,IF(T309&lt;=9,0.9,1))))*(S309/T309)+(1-(IF(T309=2,0.55,IF(T309&lt;=4,0.7,IF(T309&lt;=6,0.8,IF(T309&lt;=9,0.9,1))))))*$Y$1),1),"")</f>
        <v>8</v>
      </c>
      <c r="V309" s="37">
        <v>7.1</v>
      </c>
      <c r="W309" s="38"/>
    </row>
    <row r="310" ht="47.25" customHeight="1" spans="1:23" x14ac:dyDescent="0.25">
      <c r="A310" s="31">
        <v>2001</v>
      </c>
      <c r="B310" s="32" t="s">
        <v>366</v>
      </c>
      <c r="C310" s="33" t="s">
        <v>24</v>
      </c>
      <c r="D310" s="34">
        <v>1989</v>
      </c>
      <c r="E310" s="34" t="s">
        <v>25</v>
      </c>
      <c r="F310" s="6"/>
      <c r="G310" s="6"/>
      <c r="H310" s="6"/>
      <c r="I310" s="6"/>
      <c r="J310" s="6">
        <v>8</v>
      </c>
      <c r="K310" s="6"/>
      <c r="L310" s="6"/>
      <c r="M310" s="6"/>
      <c r="N310" s="6"/>
      <c r="O310" s="6"/>
      <c r="P310" s="6"/>
      <c r="Q310" s="6"/>
      <c r="R310" s="6"/>
      <c r="S310" s="35">
        <f>SUM(F310:R310)</f>
        <v>8</v>
      </c>
      <c r="T310" s="35">
        <f>COUNT(F310:R310)</f>
        <v>1</v>
      </c>
      <c r="U310" s="36">
        <f>IF(T310&gt;=2,ROUND((IF(T310=2,0.55,IF(T310&lt;=4,0.7,IF(T310&lt;=6,0.8,IF(T310&lt;=9,0.9,1))))*(S310/T310)+(1-(IF(T310=2,0.55,IF(T310&lt;=4,0.7,IF(T310&lt;=6,0.8,IF(T310&lt;=9,0.9,1))))))*$Y$1),1),"")</f>
      </c>
      <c r="V310" s="37">
        <v>7.2</v>
      </c>
      <c r="W310" s="38"/>
    </row>
    <row r="311" ht="24" customHeight="1" spans="1:23" x14ac:dyDescent="0.25">
      <c r="A311" s="31">
        <v>252</v>
      </c>
      <c r="B311" s="32" t="s">
        <v>367</v>
      </c>
      <c r="C311" s="33" t="s">
        <v>24</v>
      </c>
      <c r="D311" s="34">
        <v>1995</v>
      </c>
      <c r="E311" s="34" t="s">
        <v>30</v>
      </c>
      <c r="F311" s="6"/>
      <c r="G311" s="6">
        <v>8</v>
      </c>
      <c r="H311" s="6">
        <v>8</v>
      </c>
      <c r="I311" s="6">
        <v>8</v>
      </c>
      <c r="J311" s="6"/>
      <c r="K311" s="6">
        <v>8</v>
      </c>
      <c r="L311" s="6">
        <v>8</v>
      </c>
      <c r="M311" s="6">
        <v>8</v>
      </c>
      <c r="N311" s="6">
        <v>8</v>
      </c>
      <c r="O311" s="6">
        <v>8</v>
      </c>
      <c r="P311" s="6"/>
      <c r="Q311" s="6">
        <v>8</v>
      </c>
      <c r="R311" s="6"/>
      <c r="S311" s="35">
        <f>SUM(F311:R311)</f>
        <v>72</v>
      </c>
      <c r="T311" s="35">
        <f>COUNT(F311:R311)</f>
        <v>9</v>
      </c>
      <c r="U311" s="36">
        <f>IF(T311&gt;=2,ROUND((IF(T311=2,0.55,IF(T311&lt;=4,0.7,IF(T311&lt;=6,0.8,IF(T311&lt;=9,0.9,1))))*(S311/T311)+(1-(IF(T311=2,0.55,IF(T311&lt;=4,0.7,IF(T311&lt;=6,0.8,IF(T311&lt;=9,0.9,1))))))*$Y$1),1),"")</f>
        <v>8</v>
      </c>
      <c r="V311" s="37">
        <v>8.6</v>
      </c>
      <c r="W311" s="38"/>
    </row>
    <row r="312" ht="24" customHeight="1" spans="1:23" s="39" customFormat="1" x14ac:dyDescent="0.25">
      <c r="A312" s="31">
        <v>1946</v>
      </c>
      <c r="B312" s="32" t="s">
        <v>368</v>
      </c>
      <c r="C312" s="33" t="s">
        <v>29</v>
      </c>
      <c r="D312" s="34">
        <v>2018</v>
      </c>
      <c r="E312" s="34" t="s">
        <v>30</v>
      </c>
      <c r="F312" s="6"/>
      <c r="G312" s="6"/>
      <c r="H312" s="6"/>
      <c r="I312" s="6"/>
      <c r="J312" s="6"/>
      <c r="K312" s="6"/>
      <c r="L312" s="6">
        <v>10</v>
      </c>
      <c r="M312" s="6"/>
      <c r="N312" s="6">
        <v>9</v>
      </c>
      <c r="O312" s="6"/>
      <c r="P312" s="6"/>
      <c r="Q312" s="6"/>
      <c r="R312" s="6"/>
      <c r="S312" s="35">
        <f>SUM(F312:R312)</f>
        <v>19</v>
      </c>
      <c r="T312" s="35">
        <f>COUNT(F312:R312)</f>
        <v>2</v>
      </c>
      <c r="U312" s="36">
        <f>IF(T312&gt;=2,ROUND((IF(T312=2,0.55,IF(T312&lt;=4,0.7,IF(T312&lt;=6,0.8,IF(T312&lt;=9,0.9,1))))*(S312/T312)+(1-(IF(T312=2,0.55,IF(T312&lt;=4,0.7,IF(T312&lt;=6,0.8,IF(T312&lt;=9,0.9,1))))))*$Y$1),1),"")</f>
        <v>8.9</v>
      </c>
      <c r="V312" s="37">
        <v>7.7</v>
      </c>
      <c r="W312" s="38"/>
    </row>
    <row r="313" ht="24" customHeight="1" spans="1:23" x14ac:dyDescent="0.25">
      <c r="A313" s="31">
        <v>599</v>
      </c>
      <c r="B313" s="32" t="s">
        <v>369</v>
      </c>
      <c r="C313" s="33" t="s">
        <v>24</v>
      </c>
      <c r="D313" s="34">
        <v>2015</v>
      </c>
      <c r="E313" s="34" t="s">
        <v>244</v>
      </c>
      <c r="F313" s="6">
        <v>8</v>
      </c>
      <c r="G313" s="6">
        <v>8</v>
      </c>
      <c r="H313" s="6">
        <v>8</v>
      </c>
      <c r="I313" s="6">
        <v>8</v>
      </c>
      <c r="J313" s="6">
        <v>10</v>
      </c>
      <c r="K313" s="6">
        <v>10</v>
      </c>
      <c r="L313" s="6">
        <v>10</v>
      </c>
      <c r="M313" s="6">
        <v>8</v>
      </c>
      <c r="N313" s="6">
        <v>8</v>
      </c>
      <c r="O313" s="6"/>
      <c r="P313" s="6">
        <v>8</v>
      </c>
      <c r="Q313" s="6">
        <v>10</v>
      </c>
      <c r="R313" s="6">
        <v>8</v>
      </c>
      <c r="S313" s="35">
        <f>SUM(F313:R313)</f>
        <v>104</v>
      </c>
      <c r="T313" s="35">
        <f>COUNT(F313:R313)</f>
        <v>12</v>
      </c>
      <c r="U313" s="36">
        <f>IF(T313&gt;=2,ROUND((IF(T313=2,0.55,IF(T313&lt;=4,0.7,IF(T313&lt;=6,0.8,IF(T313&lt;=9,0.9,1))))*(S313/T313)+(1-(IF(T313=2,0.55,IF(T313&lt;=4,0.7,IF(T313&lt;=6,0.8,IF(T313&lt;=9,0.9,1))))))*$Y$1),1),"")</f>
        <v>8.7</v>
      </c>
      <c r="V313" s="37">
        <v>6.2</v>
      </c>
      <c r="W313" s="38"/>
    </row>
    <row r="314" ht="24" customHeight="1" spans="1:23" x14ac:dyDescent="0.25">
      <c r="A314" s="31">
        <v>314</v>
      </c>
      <c r="B314" s="32" t="s">
        <v>370</v>
      </c>
      <c r="C314" s="33" t="s">
        <v>24</v>
      </c>
      <c r="D314" s="34">
        <v>2008</v>
      </c>
      <c r="E314" s="34" t="s">
        <v>30</v>
      </c>
      <c r="F314" s="6"/>
      <c r="G314" s="6"/>
      <c r="H314" s="6"/>
      <c r="I314" s="6">
        <v>6</v>
      </c>
      <c r="J314" s="6">
        <v>10</v>
      </c>
      <c r="K314" s="6">
        <v>8</v>
      </c>
      <c r="L314" s="6"/>
      <c r="M314" s="6"/>
      <c r="N314" s="6"/>
      <c r="O314" s="6"/>
      <c r="P314" s="6"/>
      <c r="Q314" s="6">
        <v>8</v>
      </c>
      <c r="R314" s="6">
        <v>6</v>
      </c>
      <c r="S314" s="35">
        <f>SUM(F314:R314)</f>
        <v>38</v>
      </c>
      <c r="T314" s="35">
        <f>COUNT(F314:R314)</f>
        <v>5</v>
      </c>
      <c r="U314" s="36">
        <f>IF(T314&gt;=2,ROUND((IF(T314=2,0.55,IF(T314&lt;=4,0.7,IF(T314&lt;=6,0.8,IF(T314&lt;=9,0.9,1))))*(S314/T314)+(1-(IF(T314=2,0.55,IF(T314&lt;=4,0.7,IF(T314&lt;=6,0.8,IF(T314&lt;=9,0.9,1))))))*$Y$1),1),"")</f>
        <v>7.7</v>
      </c>
      <c r="V314" s="37">
        <v>7.6</v>
      </c>
      <c r="W314" s="38"/>
    </row>
    <row r="315" ht="24" customHeight="1" spans="1:23" x14ac:dyDescent="0.25">
      <c r="A315" s="31">
        <v>601</v>
      </c>
      <c r="B315" s="32" t="s">
        <v>371</v>
      </c>
      <c r="C315" s="33" t="s">
        <v>24</v>
      </c>
      <c r="D315" s="34">
        <v>2016</v>
      </c>
      <c r="E315" s="34" t="s">
        <v>30</v>
      </c>
      <c r="F315" s="6"/>
      <c r="G315" s="6"/>
      <c r="H315" s="6"/>
      <c r="I315" s="6"/>
      <c r="J315" s="6"/>
      <c r="K315" s="6"/>
      <c r="L315" s="6"/>
      <c r="M315" s="6"/>
      <c r="N315" s="6">
        <v>8</v>
      </c>
      <c r="O315" s="6"/>
      <c r="P315" s="6"/>
      <c r="Q315" s="6"/>
      <c r="R315" s="6"/>
      <c r="S315" s="35">
        <f>SUM(F315:R315)</f>
        <v>8</v>
      </c>
      <c r="T315" s="35">
        <f>COUNT(F315:R315)</f>
        <v>1</v>
      </c>
      <c r="U315" s="36">
        <f>IF(T315&gt;=2,ROUND((IF(T315=2,0.55,IF(T315&lt;=4,0.7,IF(T315&lt;=6,0.8,IF(T315&lt;=9,0.9,1))))*(S315/T315)+(1-(IF(T315=2,0.55,IF(T315&lt;=4,0.7,IF(T315&lt;=6,0.8,IF(T315&lt;=9,0.9,1))))))*$Y$1),1),"")</f>
      </c>
      <c r="V315" s="37">
        <v>6.9</v>
      </c>
      <c r="W315" s="38"/>
    </row>
    <row r="316" ht="24" customHeight="1" spans="1:23" x14ac:dyDescent="0.25">
      <c r="A316" s="31">
        <v>462</v>
      </c>
      <c r="B316" s="32" t="s">
        <v>372</v>
      </c>
      <c r="C316" s="33" t="s">
        <v>24</v>
      </c>
      <c r="D316" s="34">
        <v>1960</v>
      </c>
      <c r="E316" s="34" t="s">
        <v>52</v>
      </c>
      <c r="F316" s="6"/>
      <c r="G316" s="6">
        <v>9</v>
      </c>
      <c r="H316" s="6"/>
      <c r="I316" s="6"/>
      <c r="J316" s="6"/>
      <c r="K316" s="6">
        <v>8</v>
      </c>
      <c r="L316" s="6"/>
      <c r="M316" s="6"/>
      <c r="N316" s="6">
        <v>8</v>
      </c>
      <c r="O316" s="6"/>
      <c r="P316" s="6"/>
      <c r="Q316" s="6">
        <v>8</v>
      </c>
      <c r="R316" s="6"/>
      <c r="S316" s="35">
        <f>SUM(F316:R316)</f>
        <v>33</v>
      </c>
      <c r="T316" s="35">
        <f>COUNT(F316:R316)</f>
        <v>4</v>
      </c>
      <c r="U316" s="36">
        <f>IF(T316&gt;=2,ROUND((IF(T316=2,0.55,IF(T316&lt;=4,0.7,IF(T316&lt;=6,0.8,IF(T316&lt;=9,0.9,1))))*(S316/T316)+(1-(IF(T316=2,0.55,IF(T316&lt;=4,0.7,IF(T316&lt;=6,0.8,IF(T316&lt;=9,0.9,1))))))*$Y$1),1),"")</f>
        <v>8.2</v>
      </c>
      <c r="V316" s="37">
        <v>7.7</v>
      </c>
      <c r="W316" s="38"/>
    </row>
    <row r="317" ht="24" customHeight="1" spans="1:23" x14ac:dyDescent="0.25">
      <c r="A317" s="31">
        <v>182</v>
      </c>
      <c r="B317" s="32" t="s">
        <v>373</v>
      </c>
      <c r="C317" s="33" t="s">
        <v>24</v>
      </c>
      <c r="D317" s="34">
        <v>2014</v>
      </c>
      <c r="E317" s="34" t="s">
        <v>374</v>
      </c>
      <c r="F317" s="6">
        <v>7</v>
      </c>
      <c r="G317" s="6"/>
      <c r="H317" s="6"/>
      <c r="I317" s="6"/>
      <c r="J317" s="6">
        <v>8</v>
      </c>
      <c r="K317" s="6">
        <v>8</v>
      </c>
      <c r="L317" s="6"/>
      <c r="M317" s="6"/>
      <c r="N317" s="6"/>
      <c r="O317" s="6"/>
      <c r="P317" s="6"/>
      <c r="Q317" s="6">
        <v>8</v>
      </c>
      <c r="R317" s="6"/>
      <c r="S317" s="35">
        <f>SUM(F317:R317)</f>
        <v>31</v>
      </c>
      <c r="T317" s="35">
        <f>COUNT(F317:R317)</f>
        <v>4</v>
      </c>
      <c r="U317" s="36">
        <f>IF(T317&gt;=2,ROUND((IF(T317=2,0.55,IF(T317&lt;=4,0.7,IF(T317&lt;=6,0.8,IF(T317&lt;=9,0.9,1))))*(S317/T317)+(1-(IF(T317=2,0.55,IF(T317&lt;=4,0.7,IF(T317&lt;=6,0.8,IF(T317&lt;=9,0.9,1))))))*$Y$1),1),"")</f>
        <v>7.9</v>
      </c>
      <c r="V317" s="37">
        <v>6.7</v>
      </c>
      <c r="W317" s="38"/>
    </row>
    <row r="318" ht="24" customHeight="1" spans="1:23" x14ac:dyDescent="0.25">
      <c r="A318" s="31">
        <v>780</v>
      </c>
      <c r="B318" s="32" t="s">
        <v>375</v>
      </c>
      <c r="C318" s="33" t="s">
        <v>24</v>
      </c>
      <c r="D318" s="34">
        <v>2020</v>
      </c>
      <c r="E318" s="34" t="s">
        <v>30</v>
      </c>
      <c r="F318" s="6"/>
      <c r="G318" s="6">
        <v>7</v>
      </c>
      <c r="H318" s="6"/>
      <c r="I318" s="6"/>
      <c r="J318" s="6">
        <v>6</v>
      </c>
      <c r="K318" s="6">
        <v>8</v>
      </c>
      <c r="L318" s="6">
        <v>6</v>
      </c>
      <c r="M318" s="6"/>
      <c r="N318" s="6"/>
      <c r="O318" s="6"/>
      <c r="P318" s="6"/>
      <c r="Q318" s="6">
        <v>8</v>
      </c>
      <c r="R318" s="6"/>
      <c r="S318" s="35">
        <f>SUM(F318:R318)</f>
        <v>35</v>
      </c>
      <c r="T318" s="35">
        <f>COUNT(F318:R318)</f>
        <v>5</v>
      </c>
      <c r="U318" s="36">
        <f>IF(T318&gt;=2,ROUND((IF(T318=2,0.55,IF(T318&lt;=4,0.7,IF(T318&lt;=6,0.8,IF(T318&lt;=9,0.9,1))))*(S318/T318)+(1-(IF(T318=2,0.55,IF(T318&lt;=4,0.7,IF(T318&lt;=6,0.8,IF(T318&lt;=9,0.9,1))))))*$Y$1),1),"")</f>
        <v>7.2</v>
      </c>
      <c r="V318" s="37">
        <v>6.2</v>
      </c>
      <c r="W318" s="38"/>
    </row>
    <row r="319" ht="24" customHeight="1" spans="1:23" s="39" customFormat="1" x14ac:dyDescent="0.25">
      <c r="A319" s="31">
        <v>654</v>
      </c>
      <c r="B319" s="32" t="s">
        <v>376</v>
      </c>
      <c r="C319" s="33" t="s">
        <v>24</v>
      </c>
      <c r="D319" s="34">
        <v>2014</v>
      </c>
      <c r="E319" s="34" t="s">
        <v>27</v>
      </c>
      <c r="F319" s="6"/>
      <c r="G319" s="6"/>
      <c r="H319" s="6"/>
      <c r="I319" s="6"/>
      <c r="J319" s="6"/>
      <c r="K319" s="6"/>
      <c r="L319" s="6">
        <v>6</v>
      </c>
      <c r="M319" s="6"/>
      <c r="N319" s="6"/>
      <c r="O319" s="6">
        <v>6</v>
      </c>
      <c r="P319" s="6"/>
      <c r="Q319" s="6"/>
      <c r="R319" s="6"/>
      <c r="S319" s="35">
        <f>SUM(F319:R319)</f>
        <v>12</v>
      </c>
      <c r="T319" s="35">
        <f>COUNT(F319:R319)</f>
        <v>2</v>
      </c>
      <c r="U319" s="36">
        <f>IF(T319&gt;=2,ROUND((IF(T319=2,0.55,IF(T319&lt;=4,0.7,IF(T319&lt;=6,0.8,IF(T319&lt;=9,0.9,1))))*(S319/T319)+(1-(IF(T319=2,0.55,IF(T319&lt;=4,0.7,IF(T319&lt;=6,0.8,IF(T319&lt;=9,0.9,1))))))*$Y$1),1),"")</f>
        <v>6.9</v>
      </c>
      <c r="V319" s="37">
        <v>5.5</v>
      </c>
      <c r="W319" s="38"/>
    </row>
    <row r="320" ht="24" customHeight="1" spans="1:23" x14ac:dyDescent="0.25">
      <c r="A320" s="31">
        <v>2042</v>
      </c>
      <c r="B320" s="32" t="s">
        <v>377</v>
      </c>
      <c r="C320" s="33" t="s">
        <v>29</v>
      </c>
      <c r="D320" s="34">
        <v>2025</v>
      </c>
      <c r="E320" s="41"/>
      <c r="F320" s="6"/>
      <c r="G320" s="6"/>
      <c r="H320" s="6"/>
      <c r="I320" s="6"/>
      <c r="J320" s="6">
        <v>6</v>
      </c>
      <c r="K320" s="6"/>
      <c r="L320" s="6"/>
      <c r="M320" s="6">
        <v>6</v>
      </c>
      <c r="N320" s="6"/>
      <c r="O320" s="6"/>
      <c r="P320" s="6"/>
      <c r="Q320" s="6"/>
      <c r="R320" s="6"/>
      <c r="S320" s="35">
        <f>SUM(F320:R320)</f>
        <v>12</v>
      </c>
      <c r="T320" s="35">
        <f>COUNT(F320:R320)</f>
        <v>2</v>
      </c>
      <c r="U320" s="36">
        <f>IF(T320&gt;=2,ROUND((IF(T320=2,0.55,IF(T320&lt;=4,0.7,IF(T320&lt;=6,0.8,IF(T320&lt;=9,0.9,1))))*(S320/T320)+(1-(IF(T320=2,0.55,IF(T320&lt;=4,0.7,IF(T320&lt;=6,0.8,IF(T320&lt;=9,0.9,1))))))*$Y$1),1),"")</f>
        <v>6.9</v>
      </c>
      <c r="V320" s="37">
        <v>6.7</v>
      </c>
      <c r="W320" s="38"/>
    </row>
    <row r="321" ht="24" customHeight="1" spans="1:23" x14ac:dyDescent="0.25">
      <c r="A321" s="31">
        <v>1469</v>
      </c>
      <c r="B321" s="32" t="s">
        <v>378</v>
      </c>
      <c r="C321" s="33" t="s">
        <v>24</v>
      </c>
      <c r="D321" s="34">
        <v>2015</v>
      </c>
      <c r="E321" s="34" t="s">
        <v>379</v>
      </c>
      <c r="F321" s="6"/>
      <c r="G321" s="6"/>
      <c r="H321" s="6"/>
      <c r="I321" s="6"/>
      <c r="J321" s="6"/>
      <c r="K321" s="6"/>
      <c r="L321" s="6"/>
      <c r="M321" s="6"/>
      <c r="N321" s="6"/>
      <c r="O321" s="6">
        <v>8</v>
      </c>
      <c r="P321" s="6"/>
      <c r="Q321" s="6"/>
      <c r="R321" s="6"/>
      <c r="S321" s="35">
        <f>SUM(F321:R321)</f>
        <v>8</v>
      </c>
      <c r="T321" s="35">
        <f>COUNT(F321:R321)</f>
        <v>1</v>
      </c>
      <c r="U321" s="36">
        <f>IF(T321&gt;=2,ROUND((IF(T321=2,0.55,IF(T321&lt;=4,0.7,IF(T321&lt;=6,0.8,IF(T321&lt;=9,0.9,1))))*(S321/T321)+(1-(IF(T321=2,0.55,IF(T321&lt;=4,0.7,IF(T321&lt;=6,0.8,IF(T321&lt;=9,0.9,1))))))*$Y$1),1),"")</f>
      </c>
      <c r="V321" s="37">
        <v>6.6</v>
      </c>
      <c r="W321" s="38"/>
    </row>
    <row r="322" ht="24" customHeight="1" spans="1:23" x14ac:dyDescent="0.25">
      <c r="A322" s="31">
        <v>1934</v>
      </c>
      <c r="B322" s="32" t="s">
        <v>380</v>
      </c>
      <c r="C322" s="33" t="s">
        <v>29</v>
      </c>
      <c r="D322" s="34">
        <v>2024</v>
      </c>
      <c r="E322" s="34" t="s">
        <v>30</v>
      </c>
      <c r="F322" s="6">
        <v>10</v>
      </c>
      <c r="G322" s="6"/>
      <c r="H322" s="6">
        <v>10</v>
      </c>
      <c r="I322" s="6"/>
      <c r="J322" s="6">
        <v>8</v>
      </c>
      <c r="K322" s="6">
        <v>9</v>
      </c>
      <c r="L322" s="6">
        <v>9</v>
      </c>
      <c r="M322" s="6"/>
      <c r="N322" s="6"/>
      <c r="O322" s="6">
        <v>10</v>
      </c>
      <c r="P322" s="6">
        <v>8</v>
      </c>
      <c r="Q322" s="6">
        <v>9</v>
      </c>
      <c r="R322" s="6"/>
      <c r="S322" s="35">
        <f>SUM(F322:R322)</f>
        <v>73</v>
      </c>
      <c r="T322" s="35">
        <f>COUNT(F322:R322)</f>
        <v>8</v>
      </c>
      <c r="U322" s="36">
        <f>IF(T322&gt;=2,ROUND((IF(T322=2,0.55,IF(T322&lt;=4,0.7,IF(T322&lt;=6,0.8,IF(T322&lt;=9,0.9,1))))*(S322/T322)+(1-(IF(T322=2,0.55,IF(T322&lt;=4,0.7,IF(T322&lt;=6,0.8,IF(T322&lt;=9,0.9,1))))))*$Y$1),1),"")</f>
        <v>9</v>
      </c>
      <c r="V322" s="37">
        <v>8.2</v>
      </c>
      <c r="W322" s="38"/>
    </row>
    <row r="323" ht="24" customHeight="1" spans="1:23" x14ac:dyDescent="0.25">
      <c r="A323" s="40">
        <v>2173</v>
      </c>
      <c r="B323" s="32" t="s">
        <v>381</v>
      </c>
      <c r="C323" s="33" t="s">
        <v>24</v>
      </c>
      <c r="D323" s="34">
        <v>2006</v>
      </c>
      <c r="E323" s="41"/>
      <c r="F323" s="6"/>
      <c r="G323" s="6">
        <v>7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35">
        <f>SUM(F323:R323)</f>
        <v>7</v>
      </c>
      <c r="T323" s="35">
        <f>COUNT(F323:R323)</f>
        <v>1</v>
      </c>
      <c r="U323" s="36">
        <f>IF(T323&gt;=2,ROUND((IF(T323=2,0.55,IF(T323&lt;=4,0.7,IF(T323&lt;=6,0.8,IF(T323&lt;=9,0.9,1))))*(S323/T323)+(1-(IF(T323=2,0.55,IF(T323&lt;=4,0.7,IF(T323&lt;=6,0.8,IF(T323&lt;=9,0.9,1))))))*$Y$1),1),"")</f>
      </c>
      <c r="V323" s="37">
        <v>6.3</v>
      </c>
      <c r="W323" s="38"/>
    </row>
    <row r="324" ht="24" customHeight="1" spans="1:23" x14ac:dyDescent="0.25">
      <c r="A324" s="31">
        <v>128</v>
      </c>
      <c r="B324" s="32" t="s">
        <v>382</v>
      </c>
      <c r="C324" s="33" t="s">
        <v>24</v>
      </c>
      <c r="D324" s="34">
        <v>2009</v>
      </c>
      <c r="E324" s="34" t="s">
        <v>27</v>
      </c>
      <c r="F324" s="6">
        <v>8</v>
      </c>
      <c r="G324" s="6">
        <v>8</v>
      </c>
      <c r="H324" s="6"/>
      <c r="I324" s="6"/>
      <c r="J324" s="6"/>
      <c r="K324" s="6">
        <v>10</v>
      </c>
      <c r="L324" s="6">
        <v>6</v>
      </c>
      <c r="M324" s="6">
        <v>10</v>
      </c>
      <c r="N324" s="6">
        <v>10</v>
      </c>
      <c r="O324" s="6"/>
      <c r="P324" s="6">
        <v>6</v>
      </c>
      <c r="Q324" s="6">
        <v>10</v>
      </c>
      <c r="R324" s="6"/>
      <c r="S324" s="35">
        <f>SUM(F324:R324)</f>
        <v>68</v>
      </c>
      <c r="T324" s="35">
        <f>COUNT(F324:R324)</f>
        <v>8</v>
      </c>
      <c r="U324" s="36">
        <f>IF(T324&gt;=2,ROUND((IF(T324=2,0.55,IF(T324&lt;=4,0.7,IF(T324&lt;=6,0.8,IF(T324&lt;=9,0.9,1))))*(S324/T324)+(1-(IF(T324=2,0.55,IF(T324&lt;=4,0.7,IF(T324&lt;=6,0.8,IF(T324&lt;=9,0.9,1))))))*$Y$1),1),"")</f>
        <v>8.5</v>
      </c>
      <c r="V324" s="37">
        <v>8.1</v>
      </c>
      <c r="W324" s="38"/>
    </row>
    <row r="325" ht="24" customHeight="1" spans="1:23" x14ac:dyDescent="0.25">
      <c r="A325" s="31">
        <v>975</v>
      </c>
      <c r="B325" s="32" t="s">
        <v>383</v>
      </c>
      <c r="C325" s="33" t="s">
        <v>24</v>
      </c>
      <c r="D325" s="34">
        <v>2018</v>
      </c>
      <c r="E325" s="34" t="s">
        <v>30</v>
      </c>
      <c r="F325" s="6">
        <v>8</v>
      </c>
      <c r="G325" s="6"/>
      <c r="H325" s="6"/>
      <c r="I325" s="6">
        <v>8</v>
      </c>
      <c r="J325" s="6">
        <v>8</v>
      </c>
      <c r="K325" s="6">
        <v>10</v>
      </c>
      <c r="L325" s="6"/>
      <c r="M325" s="6"/>
      <c r="N325" s="6"/>
      <c r="O325" s="6"/>
      <c r="P325" s="6"/>
      <c r="Q325" s="6">
        <v>10</v>
      </c>
      <c r="R325" s="6"/>
      <c r="S325" s="35">
        <f>SUM(F325:R325)</f>
        <v>44</v>
      </c>
      <c r="T325" s="35">
        <f>COUNT(F325:R325)</f>
        <v>5</v>
      </c>
      <c r="U325" s="36">
        <f>IF(T325&gt;=2,ROUND((IF(T325=2,0.55,IF(T325&lt;=4,0.7,IF(T325&lt;=6,0.8,IF(T325&lt;=9,0.9,1))))*(S325/T325)+(1-(IF(T325=2,0.55,IF(T325&lt;=4,0.7,IF(T325&lt;=6,0.8,IF(T325&lt;=9,0.9,1))))))*$Y$1),1),"")</f>
        <v>8.7</v>
      </c>
      <c r="V325" s="37">
        <v>7.2</v>
      </c>
      <c r="W325" s="38"/>
    </row>
    <row r="326" ht="24" customHeight="1" spans="1:23" x14ac:dyDescent="0.25">
      <c r="A326" s="47">
        <v>816</v>
      </c>
      <c r="B326" s="32" t="s">
        <v>384</v>
      </c>
      <c r="C326" s="48" t="s">
        <v>24</v>
      </c>
      <c r="D326" s="49">
        <v>1987</v>
      </c>
      <c r="E326" s="49" t="s">
        <v>27</v>
      </c>
      <c r="F326" s="6">
        <v>8</v>
      </c>
      <c r="G326" s="6"/>
      <c r="H326" s="6">
        <v>8</v>
      </c>
      <c r="I326" s="6">
        <v>8</v>
      </c>
      <c r="J326" s="6">
        <v>8</v>
      </c>
      <c r="K326" s="6">
        <v>10</v>
      </c>
      <c r="L326" s="6">
        <v>10</v>
      </c>
      <c r="M326" s="6">
        <v>8</v>
      </c>
      <c r="N326" s="6">
        <v>8</v>
      </c>
      <c r="O326" s="6"/>
      <c r="P326" s="6">
        <v>8</v>
      </c>
      <c r="Q326" s="6">
        <v>10</v>
      </c>
      <c r="R326" s="6">
        <v>10</v>
      </c>
      <c r="S326" s="50">
        <f>SUM(F326:R326)</f>
        <v>96</v>
      </c>
      <c r="T326" s="50">
        <f>COUNT(F326:R326)</f>
        <v>11</v>
      </c>
      <c r="U326" s="36">
        <f>IF(T326&gt;=2,ROUND((IF(T326=2,0.55,IF(T326&lt;=4,0.7,IF(T326&lt;=6,0.8,IF(T326&lt;=9,0.9,1))))*(S326/T326)+(1-(IF(T326=2,0.55,IF(T326&lt;=4,0.7,IF(T326&lt;=6,0.8,IF(T326&lt;=9,0.9,1))))))*$Y$1),1),"")</f>
        <v>8.7</v>
      </c>
      <c r="V326" s="37">
        <v>7.1</v>
      </c>
      <c r="W326" s="38" t="s">
        <v>44</v>
      </c>
    </row>
    <row r="327" ht="24" customHeight="1" spans="1:23" s="39" customFormat="1" x14ac:dyDescent="0.25">
      <c r="A327" s="40">
        <v>2208</v>
      </c>
      <c r="B327" s="32" t="s">
        <v>385</v>
      </c>
      <c r="C327" s="33" t="s">
        <v>24</v>
      </c>
      <c r="D327" s="34">
        <v>2007</v>
      </c>
      <c r="E327" s="41"/>
      <c r="F327" s="6"/>
      <c r="G327" s="6">
        <v>7</v>
      </c>
      <c r="H327" s="6"/>
      <c r="I327" s="6"/>
      <c r="J327" s="6"/>
      <c r="K327" s="6"/>
      <c r="L327" s="6"/>
      <c r="M327" s="6"/>
      <c r="N327" s="6"/>
      <c r="O327" s="6">
        <v>7.5</v>
      </c>
      <c r="P327" s="6"/>
      <c r="Q327" s="6"/>
      <c r="R327" s="6"/>
      <c r="S327" s="35">
        <f>SUM(F327:R327)</f>
        <v>14.5</v>
      </c>
      <c r="T327" s="35">
        <f>COUNT(F327:R327)</f>
        <v>2</v>
      </c>
      <c r="U327" s="36">
        <f>IF(T327&gt;=2,ROUND((IF(T327=2,0.55,IF(T327&lt;=4,0.7,IF(T327&lt;=6,0.8,IF(T327&lt;=9,0.9,1))))*(S327/T327)+(1-(IF(T327=2,0.55,IF(T327&lt;=4,0.7,IF(T327&lt;=6,0.8,IF(T327&lt;=9,0.9,1))))))*$Y$1),1),"")</f>
        <v>7.6</v>
      </c>
      <c r="V327" s="37">
        <v>6.4</v>
      </c>
      <c r="W327" s="38"/>
    </row>
    <row r="328" ht="24" customHeight="1" spans="1:23" x14ac:dyDescent="0.25">
      <c r="A328" s="31">
        <v>1151</v>
      </c>
      <c r="B328" s="32" t="s">
        <v>386</v>
      </c>
      <c r="C328" s="33" t="s">
        <v>24</v>
      </c>
      <c r="D328" s="34">
        <v>2018</v>
      </c>
      <c r="E328" s="34" t="s">
        <v>27</v>
      </c>
      <c r="F328" s="6"/>
      <c r="G328" s="6"/>
      <c r="H328" s="6"/>
      <c r="I328" s="6"/>
      <c r="J328" s="6">
        <v>8</v>
      </c>
      <c r="K328" s="6"/>
      <c r="L328" s="6"/>
      <c r="M328" s="6"/>
      <c r="N328" s="6"/>
      <c r="O328" s="6"/>
      <c r="P328" s="6"/>
      <c r="Q328" s="6"/>
      <c r="R328" s="6"/>
      <c r="S328" s="35">
        <f>SUM(F328:R328)</f>
        <v>8</v>
      </c>
      <c r="T328" s="35">
        <f>COUNT(F328:R328)</f>
        <v>1</v>
      </c>
      <c r="U328" s="36">
        <f>IF(T328&gt;=2,ROUND((IF(T328=2,0.55,IF(T328&lt;=4,0.7,IF(T328&lt;=6,0.8,IF(T328&lt;=9,0.9,1))))*(S328/T328)+(1-(IF(T328=2,0.55,IF(T328&lt;=4,0.7,IF(T328&lt;=6,0.8,IF(T328&lt;=9,0.9,1))))))*$Y$1),1),"")</f>
      </c>
      <c r="V328" s="37">
        <v>5.4</v>
      </c>
      <c r="W328" s="38"/>
    </row>
    <row r="329" ht="24" customHeight="1" spans="1:23" x14ac:dyDescent="0.25">
      <c r="A329" s="31">
        <v>1962</v>
      </c>
      <c r="B329" s="32" t="s">
        <v>387</v>
      </c>
      <c r="C329" s="33" t="s">
        <v>24</v>
      </c>
      <c r="D329" s="34">
        <v>2014</v>
      </c>
      <c r="E329" s="34" t="s">
        <v>30</v>
      </c>
      <c r="F329" s="6"/>
      <c r="G329" s="6"/>
      <c r="H329" s="6"/>
      <c r="I329" s="6"/>
      <c r="J329" s="6"/>
      <c r="K329" s="6"/>
      <c r="L329" s="6"/>
      <c r="M329" s="6"/>
      <c r="N329" s="6"/>
      <c r="O329" s="6">
        <v>7</v>
      </c>
      <c r="P329" s="6"/>
      <c r="Q329" s="6"/>
      <c r="R329" s="6"/>
      <c r="S329" s="35">
        <f>SUM(F329:R329)</f>
        <v>7</v>
      </c>
      <c r="T329" s="35">
        <f>COUNT(F329:R329)</f>
        <v>1</v>
      </c>
      <c r="U329" s="36">
        <f>IF(T329&gt;=2,ROUND((IF(T329=2,0.55,IF(T329&lt;=4,0.7,IF(T329&lt;=6,0.8,IF(T329&lt;=9,0.9,1))))*(S329/T329)+(1-(IF(T329=2,0.55,IF(T329&lt;=4,0.7,IF(T329&lt;=6,0.8,IF(T329&lt;=9,0.9,1))))))*$Y$1),1),"")</f>
      </c>
      <c r="V329" s="37">
        <v>6.9</v>
      </c>
      <c r="W329" s="38"/>
    </row>
    <row r="330" ht="24" customHeight="1" spans="1:23" x14ac:dyDescent="0.25">
      <c r="A330" s="31">
        <v>1889</v>
      </c>
      <c r="B330" s="32" t="s">
        <v>388</v>
      </c>
      <c r="C330" s="33" t="s">
        <v>24</v>
      </c>
      <c r="D330" s="34">
        <v>2014</v>
      </c>
      <c r="E330" s="34" t="s">
        <v>48</v>
      </c>
      <c r="F330" s="6">
        <v>8</v>
      </c>
      <c r="G330" s="6">
        <v>9</v>
      </c>
      <c r="H330" s="6">
        <v>10</v>
      </c>
      <c r="I330" s="6">
        <v>10</v>
      </c>
      <c r="J330" s="6">
        <v>10</v>
      </c>
      <c r="K330" s="6">
        <v>9</v>
      </c>
      <c r="L330" s="6">
        <v>7</v>
      </c>
      <c r="M330" s="6">
        <v>9</v>
      </c>
      <c r="N330" s="6">
        <v>10</v>
      </c>
      <c r="O330" s="6"/>
      <c r="P330" s="6">
        <v>9</v>
      </c>
      <c r="Q330" s="6">
        <v>9</v>
      </c>
      <c r="R330" s="6"/>
      <c r="S330" s="35">
        <f>SUM(F330:R330)</f>
        <v>100</v>
      </c>
      <c r="T330" s="35">
        <f>COUNT(F330:R330)</f>
        <v>11</v>
      </c>
      <c r="U330" s="36">
        <f>IF(T330&gt;=2,ROUND((IF(T330=2,0.55,IF(T330&lt;=4,0.7,IF(T330&lt;=6,0.8,IF(T330&lt;=9,0.9,1))))*(S330/T330)+(1-(IF(T330=2,0.55,IF(T330&lt;=4,0.7,IF(T330&lt;=6,0.8,IF(T330&lt;=9,0.9,1))))))*$Y$1),1),"")</f>
        <v>9.1</v>
      </c>
      <c r="V330" s="37">
        <v>7.5</v>
      </c>
      <c r="W330" s="38"/>
    </row>
    <row r="331" ht="24" customHeight="1" spans="1:23" x14ac:dyDescent="0.25">
      <c r="A331" s="31">
        <v>1301</v>
      </c>
      <c r="B331" s="32" t="s">
        <v>389</v>
      </c>
      <c r="C331" s="33" t="s">
        <v>24</v>
      </c>
      <c r="D331" s="34">
        <v>2020</v>
      </c>
      <c r="E331" s="34" t="s">
        <v>27</v>
      </c>
      <c r="F331" s="6"/>
      <c r="G331" s="6"/>
      <c r="H331" s="6"/>
      <c r="I331" s="6"/>
      <c r="J331" s="6"/>
      <c r="K331" s="6"/>
      <c r="L331" s="6">
        <v>6</v>
      </c>
      <c r="M331" s="6"/>
      <c r="N331" s="6"/>
      <c r="O331" s="6">
        <v>8</v>
      </c>
      <c r="P331" s="6"/>
      <c r="Q331" s="6"/>
      <c r="R331" s="6"/>
      <c r="S331" s="35">
        <f>SUM(F331:R331)</f>
        <v>14</v>
      </c>
      <c r="T331" s="35">
        <f>COUNT(F331:R331)</f>
        <v>2</v>
      </c>
      <c r="U331" s="36">
        <f>IF(T331&gt;=2,ROUND((IF(T331=2,0.55,IF(T331&lt;=4,0.7,IF(T331&lt;=6,0.8,IF(T331&lt;=9,0.9,1))))*(S331/T331)+(1-(IF(T331=2,0.55,IF(T331&lt;=4,0.7,IF(T331&lt;=6,0.8,IF(T331&lt;=9,0.9,1))))))*$Y$1),1),"")</f>
        <v>7.5</v>
      </c>
      <c r="V331" s="37">
        <v>6</v>
      </c>
      <c r="W331" s="38"/>
    </row>
    <row r="332" ht="24" customHeight="1" spans="1:23" x14ac:dyDescent="0.25">
      <c r="A332" s="31">
        <v>1363</v>
      </c>
      <c r="B332" s="32" t="s">
        <v>390</v>
      </c>
      <c r="C332" s="33" t="s">
        <v>29</v>
      </c>
      <c r="D332" s="34">
        <v>2018</v>
      </c>
      <c r="E332" s="34" t="s">
        <v>30</v>
      </c>
      <c r="F332" s="6">
        <v>8</v>
      </c>
      <c r="G332" s="6"/>
      <c r="H332" s="6"/>
      <c r="I332" s="6"/>
      <c r="J332" s="6"/>
      <c r="K332" s="6"/>
      <c r="L332" s="6">
        <v>10</v>
      </c>
      <c r="M332" s="6">
        <v>8</v>
      </c>
      <c r="N332" s="6">
        <v>10</v>
      </c>
      <c r="O332" s="6">
        <v>8</v>
      </c>
      <c r="P332" s="6"/>
      <c r="Q332" s="6"/>
      <c r="R332" s="6"/>
      <c r="S332" s="35">
        <f>SUM(F332:R332)</f>
        <v>44</v>
      </c>
      <c r="T332" s="35">
        <f>COUNT(F332:R332)</f>
        <v>5</v>
      </c>
      <c r="U332" s="36">
        <f>IF(T332&gt;=2,ROUND((IF(T332=2,0.55,IF(T332&lt;=4,0.7,IF(T332&lt;=6,0.8,IF(T332&lt;=9,0.9,1))))*(S332/T332)+(1-(IF(T332=2,0.55,IF(T332&lt;=4,0.7,IF(T332&lt;=6,0.8,IF(T332&lt;=9,0.9,1))))))*$Y$1),1),"")</f>
        <v>8.7</v>
      </c>
      <c r="V332" s="37">
        <v>8</v>
      </c>
      <c r="W332" s="38"/>
    </row>
    <row r="333" ht="24" customHeight="1" spans="1:23" x14ac:dyDescent="0.25">
      <c r="A333" s="31">
        <v>1467</v>
      </c>
      <c r="B333" s="32" t="s">
        <v>391</v>
      </c>
      <c r="C333" s="33" t="s">
        <v>24</v>
      </c>
      <c r="D333" s="34">
        <v>2019</v>
      </c>
      <c r="E333" s="34" t="s">
        <v>244</v>
      </c>
      <c r="F333" s="6"/>
      <c r="G333" s="6"/>
      <c r="H333" s="6"/>
      <c r="I333" s="6">
        <v>10</v>
      </c>
      <c r="J333" s="6"/>
      <c r="K333" s="6"/>
      <c r="L333" s="6"/>
      <c r="M333" s="6"/>
      <c r="N333" s="6"/>
      <c r="O333" s="6"/>
      <c r="P333" s="6"/>
      <c r="Q333" s="6"/>
      <c r="R333" s="6"/>
      <c r="S333" s="35">
        <f>SUM(F333:R333)</f>
        <v>10</v>
      </c>
      <c r="T333" s="35">
        <f>COUNT(F333:R333)</f>
        <v>1</v>
      </c>
      <c r="U333" s="36">
        <f>IF(T333&gt;=2,ROUND((IF(T333=2,0.55,IF(T333&lt;=4,0.7,IF(T333&lt;=6,0.8,IF(T333&lt;=9,0.9,1))))*(S333/T333)+(1-(IF(T333=2,0.55,IF(T333&lt;=4,0.7,IF(T333&lt;=6,0.8,IF(T333&lt;=9,0.9,1))))))*$Y$1),1),"")</f>
      </c>
      <c r="V333" s="37">
        <v>7.3</v>
      </c>
      <c r="W333" s="38"/>
    </row>
    <row r="334" ht="24" customHeight="1" spans="1:23" x14ac:dyDescent="0.25">
      <c r="A334" s="31">
        <v>546</v>
      </c>
      <c r="B334" s="32" t="s">
        <v>392</v>
      </c>
      <c r="C334" s="33" t="s">
        <v>24</v>
      </c>
      <c r="D334" s="34">
        <v>1996</v>
      </c>
      <c r="E334" s="34" t="s">
        <v>25</v>
      </c>
      <c r="F334" s="6"/>
      <c r="G334" s="6">
        <v>8</v>
      </c>
      <c r="H334" s="6"/>
      <c r="I334" s="6"/>
      <c r="J334" s="6"/>
      <c r="K334" s="6"/>
      <c r="L334" s="6"/>
      <c r="M334" s="6"/>
      <c r="N334" s="6"/>
      <c r="O334" s="6"/>
      <c r="P334" s="6">
        <v>8</v>
      </c>
      <c r="Q334" s="6"/>
      <c r="R334" s="6"/>
      <c r="S334" s="35">
        <f>SUM(F334:R334)</f>
        <v>16</v>
      </c>
      <c r="T334" s="35">
        <f>COUNT(F334:R334)</f>
        <v>2</v>
      </c>
      <c r="U334" s="36">
        <f>IF(T334&gt;=2,ROUND((IF(T334=2,0.55,IF(T334&lt;=4,0.7,IF(T334&lt;=6,0.8,IF(T334&lt;=9,0.9,1))))*(S334/T334)+(1-(IF(T334=2,0.55,IF(T334&lt;=4,0.7,IF(T334&lt;=6,0.8,IF(T334&lt;=9,0.9,1))))))*$Y$1),1),"")</f>
        <v>8</v>
      </c>
      <c r="V334" s="37">
        <v>8</v>
      </c>
      <c r="W334" s="38"/>
    </row>
    <row r="335" ht="24" customHeight="1" spans="1:23" x14ac:dyDescent="0.25">
      <c r="A335" s="31">
        <v>181</v>
      </c>
      <c r="B335" s="32" t="s">
        <v>393</v>
      </c>
      <c r="C335" s="33" t="s">
        <v>24</v>
      </c>
      <c r="D335" s="34">
        <v>2018</v>
      </c>
      <c r="E335" s="34" t="s">
        <v>394</v>
      </c>
      <c r="F335" s="6"/>
      <c r="G335" s="6"/>
      <c r="H335" s="6"/>
      <c r="I335" s="6"/>
      <c r="J335" s="6"/>
      <c r="K335" s="6">
        <v>6</v>
      </c>
      <c r="L335" s="6"/>
      <c r="M335" s="6"/>
      <c r="N335" s="6"/>
      <c r="O335" s="6"/>
      <c r="P335" s="6"/>
      <c r="Q335" s="6">
        <v>6</v>
      </c>
      <c r="R335" s="6"/>
      <c r="S335" s="35">
        <f>SUM(F335:R335)</f>
        <v>12</v>
      </c>
      <c r="T335" s="35">
        <f>COUNT(F335:R335)</f>
        <v>2</v>
      </c>
      <c r="U335" s="36">
        <f>IF(T335&gt;=2,ROUND((IF(T335=2,0.55,IF(T335&lt;=4,0.7,IF(T335&lt;=6,0.8,IF(T335&lt;=9,0.9,1))))*(S335/T335)+(1-(IF(T335=2,0.55,IF(T335&lt;=4,0.7,IF(T335&lt;=6,0.8,IF(T335&lt;=9,0.9,1))))))*$Y$1),1),"")</f>
        <v>6.9</v>
      </c>
      <c r="V335" s="37">
        <v>4.5</v>
      </c>
      <c r="W335" s="38"/>
    </row>
    <row r="336" ht="24" customHeight="1" spans="1:23" x14ac:dyDescent="0.25">
      <c r="A336" s="31">
        <v>1399</v>
      </c>
      <c r="B336" s="32" t="s">
        <v>395</v>
      </c>
      <c r="C336" s="33" t="s">
        <v>24</v>
      </c>
      <c r="D336" s="34">
        <v>2020</v>
      </c>
      <c r="E336" s="34" t="s">
        <v>27</v>
      </c>
      <c r="F336" s="6">
        <v>6</v>
      </c>
      <c r="G336" s="6"/>
      <c r="H336" s="6"/>
      <c r="I336" s="6"/>
      <c r="J336" s="6"/>
      <c r="K336" s="6"/>
      <c r="L336" s="6"/>
      <c r="M336" s="6"/>
      <c r="N336" s="6"/>
      <c r="O336" s="6">
        <v>7</v>
      </c>
      <c r="P336" s="6"/>
      <c r="Q336" s="6"/>
      <c r="R336" s="6"/>
      <c r="S336" s="35">
        <f>SUM(F336:R336)</f>
        <v>13</v>
      </c>
      <c r="T336" s="35">
        <f>COUNT(F336:R336)</f>
        <v>2</v>
      </c>
      <c r="U336" s="36">
        <f>IF(T336&gt;=2,ROUND((IF(T336=2,0.55,IF(T336&lt;=4,0.7,IF(T336&lt;=6,0.8,IF(T336&lt;=9,0.9,1))))*(S336/T336)+(1-(IF(T336=2,0.55,IF(T336&lt;=4,0.7,IF(T336&lt;=6,0.8,IF(T336&lt;=9,0.9,1))))))*$Y$1),1),"")</f>
        <v>7.2</v>
      </c>
      <c r="V336" s="37">
        <v>6.8</v>
      </c>
      <c r="W336" s="38"/>
    </row>
    <row r="337" ht="24" customHeight="1" spans="1:23" x14ac:dyDescent="0.25">
      <c r="A337" s="31">
        <v>668</v>
      </c>
      <c r="B337" s="32" t="s">
        <v>396</v>
      </c>
      <c r="C337" s="33" t="s">
        <v>24</v>
      </c>
      <c r="D337" s="34">
        <v>1998</v>
      </c>
      <c r="E337" s="34" t="s">
        <v>30</v>
      </c>
      <c r="F337" s="6"/>
      <c r="G337" s="6"/>
      <c r="H337" s="6"/>
      <c r="I337" s="6"/>
      <c r="J337" s="6"/>
      <c r="K337" s="6">
        <v>8</v>
      </c>
      <c r="L337" s="6"/>
      <c r="M337" s="6"/>
      <c r="N337" s="6"/>
      <c r="O337" s="6"/>
      <c r="P337" s="6"/>
      <c r="Q337" s="6">
        <v>8</v>
      </c>
      <c r="R337" s="6"/>
      <c r="S337" s="35">
        <f>SUM(F337:R337)</f>
        <v>16</v>
      </c>
      <c r="T337" s="35">
        <f>COUNT(F337:R337)</f>
        <v>2</v>
      </c>
      <c r="U337" s="36">
        <f>IF(T337&gt;=2,ROUND((IF(T337=2,0.55,IF(T337&lt;=4,0.7,IF(T337&lt;=6,0.8,IF(T337&lt;=9,0.9,1))))*(S337/T337)+(1-(IF(T337=2,0.55,IF(T337&lt;=4,0.7,IF(T337&lt;=6,0.8,IF(T337&lt;=9,0.9,1))))))*$Y$1),1),"")</f>
        <v>8</v>
      </c>
      <c r="V337" s="37">
        <v>5.5</v>
      </c>
      <c r="W337" s="38"/>
    </row>
    <row r="338" ht="24" customHeight="1" spans="1:23" x14ac:dyDescent="0.25">
      <c r="A338" s="31">
        <v>713</v>
      </c>
      <c r="B338" s="32" t="s">
        <v>397</v>
      </c>
      <c r="C338" s="33" t="s">
        <v>24</v>
      </c>
      <c r="D338" s="34">
        <v>2019</v>
      </c>
      <c r="E338" s="34" t="s">
        <v>27</v>
      </c>
      <c r="F338" s="6"/>
      <c r="G338" s="6"/>
      <c r="H338" s="6"/>
      <c r="I338" s="6"/>
      <c r="J338" s="6"/>
      <c r="K338" s="6"/>
      <c r="L338" s="6">
        <v>8</v>
      </c>
      <c r="M338" s="6"/>
      <c r="N338" s="6"/>
      <c r="O338" s="6"/>
      <c r="P338" s="6"/>
      <c r="Q338" s="6"/>
      <c r="R338" s="6">
        <v>8</v>
      </c>
      <c r="S338" s="35">
        <f>SUM(F338:R338)</f>
        <v>16</v>
      </c>
      <c r="T338" s="35">
        <f>COUNT(F338:R338)</f>
        <v>2</v>
      </c>
      <c r="U338" s="36">
        <f>IF(T338&gt;=2,ROUND((IF(T338=2,0.55,IF(T338&lt;=4,0.7,IF(T338&lt;=6,0.8,IF(T338&lt;=9,0.9,1))))*(S338/T338)+(1-(IF(T338=2,0.55,IF(T338&lt;=4,0.7,IF(T338&lt;=6,0.8,IF(T338&lt;=9,0.9,1))))))*$Y$1),1),"")</f>
        <v>8</v>
      </c>
      <c r="V338" s="37">
        <v>8.1</v>
      </c>
      <c r="W338" s="38"/>
    </row>
    <row r="339" ht="24" customHeight="1" spans="1:23" x14ac:dyDescent="0.25">
      <c r="A339" s="31">
        <v>1369</v>
      </c>
      <c r="B339" s="32" t="s">
        <v>398</v>
      </c>
      <c r="C339" s="33" t="s">
        <v>24</v>
      </c>
      <c r="D339" s="34">
        <v>2019</v>
      </c>
      <c r="E339" s="34" t="s">
        <v>30</v>
      </c>
      <c r="F339" s="6">
        <v>8</v>
      </c>
      <c r="G339" s="6"/>
      <c r="H339" s="6"/>
      <c r="I339" s="6"/>
      <c r="J339" s="6"/>
      <c r="K339" s="6"/>
      <c r="L339" s="6"/>
      <c r="M339" s="6"/>
      <c r="N339" s="6"/>
      <c r="O339" s="6">
        <v>8</v>
      </c>
      <c r="P339" s="6"/>
      <c r="Q339" s="6"/>
      <c r="R339" s="6"/>
      <c r="S339" s="35">
        <f>SUM(F339:R339)</f>
        <v>16</v>
      </c>
      <c r="T339" s="35">
        <f>COUNT(F339:R339)</f>
        <v>2</v>
      </c>
      <c r="U339" s="36">
        <f>IF(T339&gt;=2,ROUND((IF(T339=2,0.55,IF(T339&lt;=4,0.7,IF(T339&lt;=6,0.8,IF(T339&lt;=9,0.9,1))))*(S339/T339)+(1-(IF(T339=2,0.55,IF(T339&lt;=4,0.7,IF(T339&lt;=6,0.8,IF(T339&lt;=9,0.9,1))))))*$Y$1),1),"")</f>
        <v>8</v>
      </c>
      <c r="V339" s="37">
        <v>6</v>
      </c>
      <c r="W339" s="38"/>
    </row>
    <row r="340" ht="24" customHeight="1" spans="1:23" x14ac:dyDescent="0.25">
      <c r="A340" s="40">
        <v>2250</v>
      </c>
      <c r="B340" s="32" t="s">
        <v>399</v>
      </c>
      <c r="C340" s="33" t="s">
        <v>24</v>
      </c>
      <c r="D340" s="34">
        <v>2009</v>
      </c>
      <c r="E340" s="41"/>
      <c r="F340" s="6"/>
      <c r="G340" s="6">
        <v>7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35">
        <f>SUM(F340:R340)</f>
        <v>7</v>
      </c>
      <c r="T340" s="35">
        <f>COUNT(F340:R340)</f>
        <v>1</v>
      </c>
      <c r="U340" s="36">
        <f>IF(T340&gt;=2,ROUND((IF(T340=2,0.55,IF(T340&lt;=4,0.7,IF(T340&lt;=6,0.8,IF(T340&lt;=9,0.9,1))))*(S340/T340)+(1-(IF(T340=2,0.55,IF(T340&lt;=4,0.7,IF(T340&lt;=6,0.8,IF(T340&lt;=9,0.9,1))))))*$Y$1),1),"")</f>
      </c>
      <c r="V340" s="37">
        <v>5.6</v>
      </c>
      <c r="W340" s="38"/>
    </row>
    <row r="341" ht="24" customHeight="1" spans="1:23" x14ac:dyDescent="0.25">
      <c r="A341" s="31">
        <v>1095</v>
      </c>
      <c r="B341" s="32" t="s">
        <v>400</v>
      </c>
      <c r="C341" s="33" t="s">
        <v>29</v>
      </c>
      <c r="D341" s="34">
        <v>2018</v>
      </c>
      <c r="E341" s="34" t="s">
        <v>401</v>
      </c>
      <c r="F341" s="6"/>
      <c r="G341" s="6"/>
      <c r="H341" s="6"/>
      <c r="I341" s="6"/>
      <c r="J341" s="6"/>
      <c r="K341" s="6"/>
      <c r="L341" s="6">
        <v>8</v>
      </c>
      <c r="M341" s="6"/>
      <c r="N341" s="6"/>
      <c r="O341" s="6"/>
      <c r="P341" s="6"/>
      <c r="Q341" s="6"/>
      <c r="R341" s="6"/>
      <c r="S341" s="35">
        <f>SUM(F341:R341)</f>
        <v>8</v>
      </c>
      <c r="T341" s="35">
        <f>COUNT(F341:R341)</f>
        <v>1</v>
      </c>
      <c r="U341" s="36">
        <f>IF(T341&gt;=2,ROUND((IF(T341=2,0.55,IF(T341&lt;=4,0.7,IF(T341&lt;=6,0.8,IF(T341&lt;=9,0.9,1))))*(S341/T341)+(1-(IF(T341=2,0.55,IF(T341&lt;=4,0.7,IF(T341&lt;=6,0.8,IF(T341&lt;=9,0.9,1))))))*$Y$1),1),"")</f>
      </c>
      <c r="V341" s="37">
        <v>8.3</v>
      </c>
      <c r="W341" s="38"/>
    </row>
    <row r="342" ht="24" customHeight="1" spans="1:23" x14ac:dyDescent="0.25">
      <c r="A342" s="40">
        <v>2249</v>
      </c>
      <c r="B342" s="32" t="s">
        <v>402</v>
      </c>
      <c r="C342" s="33" t="s">
        <v>24</v>
      </c>
      <c r="D342" s="34">
        <v>2009</v>
      </c>
      <c r="E342" s="41"/>
      <c r="F342" s="6"/>
      <c r="G342" s="6">
        <v>7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35">
        <f>SUM(F342:R342)</f>
        <v>7</v>
      </c>
      <c r="T342" s="35">
        <f>COUNT(F342:R342)</f>
        <v>1</v>
      </c>
      <c r="U342" s="36">
        <f>IF(T342&gt;=2,ROUND((IF(T342=2,0.55,IF(T342&lt;=4,0.7,IF(T342&lt;=6,0.8,IF(T342&lt;=9,0.9,1))))*(S342/T342)+(1-(IF(T342=2,0.55,IF(T342&lt;=4,0.7,IF(T342&lt;=6,0.8,IF(T342&lt;=9,0.9,1))))))*$Y$1),1),"")</f>
      </c>
      <c r="V342" s="37">
        <v>7.7</v>
      </c>
      <c r="W342" s="38"/>
    </row>
    <row r="343" ht="24" customHeight="1" spans="1:23" x14ac:dyDescent="0.25">
      <c r="A343" s="31">
        <v>1129</v>
      </c>
      <c r="B343" s="32" t="s">
        <v>403</v>
      </c>
      <c r="C343" s="33" t="s">
        <v>24</v>
      </c>
      <c r="D343" s="34">
        <v>2018</v>
      </c>
      <c r="E343" s="34" t="s">
        <v>244</v>
      </c>
      <c r="F343" s="6">
        <v>6</v>
      </c>
      <c r="G343" s="6"/>
      <c r="H343" s="6"/>
      <c r="I343" s="6"/>
      <c r="J343" s="6"/>
      <c r="K343" s="6">
        <v>8</v>
      </c>
      <c r="L343" s="6"/>
      <c r="M343" s="6"/>
      <c r="N343" s="6"/>
      <c r="O343" s="6">
        <v>6</v>
      </c>
      <c r="P343" s="6"/>
      <c r="Q343" s="6">
        <v>8</v>
      </c>
      <c r="R343" s="6"/>
      <c r="S343" s="35">
        <f>SUM(F343:R343)</f>
        <v>28</v>
      </c>
      <c r="T343" s="35">
        <f>COUNT(F343:R343)</f>
        <v>4</v>
      </c>
      <c r="U343" s="36">
        <f>IF(T343&gt;=2,ROUND((IF(T343=2,0.55,IF(T343&lt;=4,0.7,IF(T343&lt;=6,0.8,IF(T343&lt;=9,0.9,1))))*(S343/T343)+(1-(IF(T343=2,0.55,IF(T343&lt;=4,0.7,IF(T343&lt;=6,0.8,IF(T343&lt;=9,0.9,1))))))*$Y$1),1),"")</f>
        <v>7.3</v>
      </c>
      <c r="V343" s="37">
        <v>7.1</v>
      </c>
      <c r="W343" s="38"/>
    </row>
    <row r="344" ht="24" customHeight="1" spans="1:23" x14ac:dyDescent="0.25">
      <c r="A344" s="31">
        <v>1491</v>
      </c>
      <c r="B344" s="32" t="s">
        <v>404</v>
      </c>
      <c r="C344" s="33" t="s">
        <v>24</v>
      </c>
      <c r="D344" s="34">
        <v>2006</v>
      </c>
      <c r="E344" s="34" t="s">
        <v>27</v>
      </c>
      <c r="F344" s="6"/>
      <c r="G344" s="6"/>
      <c r="H344" s="6"/>
      <c r="I344" s="6"/>
      <c r="J344" s="6"/>
      <c r="K344" s="6"/>
      <c r="L344" s="6"/>
      <c r="M344" s="6"/>
      <c r="N344" s="6"/>
      <c r="O344" s="6">
        <v>8</v>
      </c>
      <c r="P344" s="6"/>
      <c r="Q344" s="6"/>
      <c r="R344" s="6"/>
      <c r="S344" s="35">
        <f>SUM(F344:R344)</f>
        <v>8</v>
      </c>
      <c r="T344" s="35">
        <f>COUNT(F344:R344)</f>
        <v>1</v>
      </c>
      <c r="U344" s="36">
        <f>IF(T344&gt;=2,ROUND((IF(T344=2,0.55,IF(T344&lt;=4,0.7,IF(T344&lt;=6,0.8,IF(T344&lt;=9,0.9,1))))*(S344/T344)+(1-(IF(T344=2,0.55,IF(T344&lt;=4,0.7,IF(T344&lt;=6,0.8,IF(T344&lt;=9,0.9,1))))))*$Y$1),1),"")</f>
      </c>
      <c r="V344" s="37">
        <v>6.6</v>
      </c>
      <c r="W344" s="38"/>
    </row>
    <row r="345" ht="24" customHeight="1" spans="1:23" x14ac:dyDescent="0.25">
      <c r="A345" s="31">
        <v>1130</v>
      </c>
      <c r="B345" s="32" t="s">
        <v>405</v>
      </c>
      <c r="C345" s="33" t="s">
        <v>29</v>
      </c>
      <c r="D345" s="34">
        <v>2021</v>
      </c>
      <c r="E345" s="34" t="s">
        <v>106</v>
      </c>
      <c r="F345" s="6"/>
      <c r="G345" s="6"/>
      <c r="H345" s="6"/>
      <c r="I345" s="6"/>
      <c r="J345" s="6"/>
      <c r="K345" s="6">
        <v>8</v>
      </c>
      <c r="L345" s="6">
        <v>10</v>
      </c>
      <c r="M345" s="6"/>
      <c r="N345" s="6"/>
      <c r="O345" s="6"/>
      <c r="P345" s="6"/>
      <c r="Q345" s="6">
        <v>8</v>
      </c>
      <c r="R345" s="6"/>
      <c r="S345" s="35">
        <f>SUM(F345:R345)</f>
        <v>26</v>
      </c>
      <c r="T345" s="35">
        <f>COUNT(F345:R345)</f>
        <v>3</v>
      </c>
      <c r="U345" s="36">
        <f>IF(T345&gt;=2,ROUND((IF(T345=2,0.55,IF(T345&lt;=4,0.7,IF(T345&lt;=6,0.8,IF(T345&lt;=9,0.9,1))))*(S345/T345)+(1-(IF(T345=2,0.55,IF(T345&lt;=4,0.7,IF(T345&lt;=6,0.8,IF(T345&lt;=9,0.9,1))))))*$Y$1),1),"")</f>
        <v>8.5</v>
      </c>
      <c r="V345" s="37">
        <v>8</v>
      </c>
      <c r="W345" s="38"/>
    </row>
    <row r="346" ht="24" customHeight="1" spans="1:23" x14ac:dyDescent="0.25">
      <c r="A346" s="31">
        <v>973</v>
      </c>
      <c r="B346" s="32" t="s">
        <v>406</v>
      </c>
      <c r="C346" s="33" t="s">
        <v>24</v>
      </c>
      <c r="D346" s="34">
        <v>1983</v>
      </c>
      <c r="E346" s="34" t="s">
        <v>30</v>
      </c>
      <c r="F346" s="6"/>
      <c r="G346" s="6"/>
      <c r="H346" s="6"/>
      <c r="I346" s="6"/>
      <c r="J346" s="6">
        <v>8</v>
      </c>
      <c r="K346" s="6"/>
      <c r="L346" s="6"/>
      <c r="M346" s="6"/>
      <c r="N346" s="6"/>
      <c r="O346" s="6"/>
      <c r="P346" s="6">
        <v>7</v>
      </c>
      <c r="Q346" s="6"/>
      <c r="R346" s="6"/>
      <c r="S346" s="35">
        <f>SUM(F346:R346)</f>
        <v>15</v>
      </c>
      <c r="T346" s="35">
        <f>COUNT(F346:R346)</f>
        <v>2</v>
      </c>
      <c r="U346" s="36">
        <f>IF(T346&gt;=2,ROUND((IF(T346=2,0.55,IF(T346&lt;=4,0.7,IF(T346&lt;=6,0.8,IF(T346&lt;=9,0.9,1))))*(S346/T346)+(1-(IF(T346=2,0.55,IF(T346&lt;=4,0.7,IF(T346&lt;=6,0.8,IF(T346&lt;=9,0.9,1))))))*$Y$1),1),"")</f>
        <v>7.8</v>
      </c>
      <c r="V346" s="37">
        <v>8.3</v>
      </c>
      <c r="W346" s="38"/>
    </row>
    <row r="347" ht="24" customHeight="1" spans="1:23" x14ac:dyDescent="0.25">
      <c r="A347" s="40">
        <v>2428</v>
      </c>
      <c r="B347" s="32" t="s">
        <v>407</v>
      </c>
      <c r="C347" s="33" t="s">
        <v>24</v>
      </c>
      <c r="D347" s="34">
        <v>2025</v>
      </c>
      <c r="E347" s="41"/>
      <c r="F347" s="6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35">
        <f>SUM(F347:R347)</f>
        <v>7</v>
      </c>
      <c r="T347" s="35">
        <f>COUNT(F347:R347)</f>
        <v>1</v>
      </c>
      <c r="U347" s="36">
        <f>IF(T347&gt;=2,ROUND((IF(T347=2,0.55,IF(T347&lt;=4,0.7,IF(T347&lt;=6,0.8,IF(T347&lt;=9,0.9,1))))*(S347/T347)+(1-(IF(T347=2,0.55,IF(T347&lt;=4,0.7,IF(T347&lt;=6,0.8,IF(T347&lt;=9,0.9,1))))))*$Y$1),1),"")</f>
      </c>
      <c r="V347" s="37">
        <v>6.9</v>
      </c>
      <c r="W347" s="38"/>
    </row>
    <row r="348" ht="24" customHeight="1" spans="1:23" x14ac:dyDescent="0.25">
      <c r="A348" s="31">
        <v>1802</v>
      </c>
      <c r="B348" s="32" t="s">
        <v>408</v>
      </c>
      <c r="C348" s="33" t="s">
        <v>24</v>
      </c>
      <c r="D348" s="34">
        <v>2013</v>
      </c>
      <c r="E348" s="34" t="s">
        <v>30</v>
      </c>
      <c r="F348" s="6">
        <v>7</v>
      </c>
      <c r="G348" s="6"/>
      <c r="H348" s="6"/>
      <c r="I348" s="6"/>
      <c r="J348" s="6"/>
      <c r="K348" s="6"/>
      <c r="L348" s="6"/>
      <c r="M348" s="6"/>
      <c r="N348" s="6">
        <v>7</v>
      </c>
      <c r="O348" s="6"/>
      <c r="P348" s="6"/>
      <c r="Q348" s="6"/>
      <c r="R348" s="6"/>
      <c r="S348" s="35">
        <f>SUM(F348:R348)</f>
        <v>14</v>
      </c>
      <c r="T348" s="35">
        <f>COUNT(F348:R348)</f>
        <v>2</v>
      </c>
      <c r="U348" s="36">
        <f>IF(T348&gt;=2,ROUND((IF(T348=2,0.55,IF(T348&lt;=4,0.7,IF(T348&lt;=6,0.8,IF(T348&lt;=9,0.9,1))))*(S348/T348)+(1-(IF(T348=2,0.55,IF(T348&lt;=4,0.7,IF(T348&lt;=6,0.8,IF(T348&lt;=9,0.9,1))))))*$Y$1),1),"")</f>
        <v>7.5</v>
      </c>
      <c r="V348" s="37">
        <v>6.4</v>
      </c>
      <c r="W348" s="38"/>
    </row>
    <row r="349" ht="24" customHeight="1" spans="1:23" x14ac:dyDescent="0.25">
      <c r="A349" s="31">
        <v>545</v>
      </c>
      <c r="B349" s="32" t="s">
        <v>409</v>
      </c>
      <c r="C349" s="33" t="s">
        <v>24</v>
      </c>
      <c r="D349" s="34">
        <v>2007</v>
      </c>
      <c r="E349" s="34" t="s">
        <v>410</v>
      </c>
      <c r="F349" s="6">
        <v>8</v>
      </c>
      <c r="G349" s="6">
        <v>8</v>
      </c>
      <c r="H349" s="6"/>
      <c r="I349" s="6">
        <v>8</v>
      </c>
      <c r="J349" s="6">
        <v>8</v>
      </c>
      <c r="K349" s="6"/>
      <c r="L349" s="6"/>
      <c r="M349" s="6"/>
      <c r="N349" s="6">
        <v>8</v>
      </c>
      <c r="O349" s="6">
        <v>8</v>
      </c>
      <c r="P349" s="6">
        <v>8</v>
      </c>
      <c r="Q349" s="6"/>
      <c r="R349" s="6">
        <v>7</v>
      </c>
      <c r="S349" s="35">
        <f>SUM(F349:R349)</f>
        <v>63</v>
      </c>
      <c r="T349" s="35">
        <f>COUNT(F349:R349)</f>
        <v>8</v>
      </c>
      <c r="U349" s="36">
        <f>IF(T349&gt;=2,ROUND((IF(T349=2,0.55,IF(T349&lt;=4,0.7,IF(T349&lt;=6,0.8,IF(T349&lt;=9,0.9,1))))*(S349/T349)+(1-(IF(T349=2,0.55,IF(T349&lt;=4,0.7,IF(T349&lt;=6,0.8,IF(T349&lt;=9,0.9,1))))))*$Y$1),1),"")</f>
        <v>7.9</v>
      </c>
      <c r="V349" s="37">
        <v>8.2</v>
      </c>
      <c r="W349" s="38"/>
    </row>
    <row r="350" ht="24" customHeight="1" spans="1:23" x14ac:dyDescent="0.25">
      <c r="A350" s="31">
        <v>1605</v>
      </c>
      <c r="B350" s="32" t="s">
        <v>411</v>
      </c>
      <c r="C350" s="33" t="s">
        <v>24</v>
      </c>
      <c r="D350" s="34">
        <v>2023</v>
      </c>
      <c r="E350" s="34" t="s">
        <v>30</v>
      </c>
      <c r="F350" s="6"/>
      <c r="G350" s="6"/>
      <c r="H350" s="6"/>
      <c r="I350" s="6"/>
      <c r="J350" s="6"/>
      <c r="K350" s="6"/>
      <c r="L350" s="6"/>
      <c r="M350" s="6"/>
      <c r="N350" s="6">
        <v>5</v>
      </c>
      <c r="O350" s="6"/>
      <c r="P350" s="6"/>
      <c r="Q350" s="6"/>
      <c r="R350" s="6"/>
      <c r="S350" s="35">
        <f>SUM(F350:R350)</f>
        <v>5</v>
      </c>
      <c r="T350" s="35">
        <f>COUNT(F350:R350)</f>
        <v>1</v>
      </c>
      <c r="U350" s="36">
        <f>IF(T350&gt;=2,ROUND((IF(T350=2,0.55,IF(T350&lt;=4,0.7,IF(T350&lt;=6,0.8,IF(T350&lt;=9,0.9,1))))*(S350/T350)+(1-(IF(T350=2,0.55,IF(T350&lt;=4,0.7,IF(T350&lt;=6,0.8,IF(T350&lt;=9,0.9,1))))))*$Y$1),1),"")</f>
      </c>
      <c r="V350" s="37">
        <v>6.5</v>
      </c>
      <c r="W350" s="38"/>
    </row>
    <row r="351" ht="24" customHeight="1" spans="1:23" x14ac:dyDescent="0.25">
      <c r="A351" s="31">
        <v>2015</v>
      </c>
      <c r="B351" s="32" t="s">
        <v>412</v>
      </c>
      <c r="C351" s="33" t="s">
        <v>29</v>
      </c>
      <c r="D351" s="34">
        <v>2019</v>
      </c>
      <c r="E351" s="34"/>
      <c r="F351" s="6">
        <v>6</v>
      </c>
      <c r="G351" s="6"/>
      <c r="H351" s="6">
        <v>8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35">
        <f>SUM(F351:R351)</f>
        <v>14</v>
      </c>
      <c r="T351" s="35">
        <f>COUNT(F351:R351)</f>
        <v>2</v>
      </c>
      <c r="U351" s="36">
        <f>IF(T351&gt;=2,ROUND((IF(T351=2,0.55,IF(T351&lt;=4,0.7,IF(T351&lt;=6,0.8,IF(T351&lt;=9,0.9,1))))*(S351/T351)+(1-(IF(T351=2,0.55,IF(T351&lt;=4,0.7,IF(T351&lt;=6,0.8,IF(T351&lt;=9,0.9,1))))))*$Y$1),1),"")</f>
        <v>7.5</v>
      </c>
      <c r="V351" s="37">
        <v>7.6</v>
      </c>
      <c r="W351" s="38"/>
    </row>
    <row r="352" ht="24" customHeight="1" spans="1:23" x14ac:dyDescent="0.25">
      <c r="A352" s="40">
        <v>2390</v>
      </c>
      <c r="B352" s="32" t="s">
        <v>413</v>
      </c>
      <c r="C352" s="33" t="s">
        <v>158</v>
      </c>
      <c r="D352" s="34">
        <v>2007</v>
      </c>
      <c r="E352" s="41"/>
      <c r="F352" s="6">
        <v>7</v>
      </c>
      <c r="G352" s="6"/>
      <c r="H352" s="6"/>
      <c r="I352" s="6"/>
      <c r="J352" s="6"/>
      <c r="K352" s="6"/>
      <c r="L352" s="6">
        <v>7</v>
      </c>
      <c r="M352" s="6"/>
      <c r="N352" s="6"/>
      <c r="O352" s="6"/>
      <c r="P352" s="6"/>
      <c r="Q352" s="6"/>
      <c r="R352" s="6"/>
      <c r="S352" s="35">
        <f>SUM(F352:R352)</f>
        <v>14</v>
      </c>
      <c r="T352" s="35">
        <f>COUNT(F352:R352)</f>
        <v>2</v>
      </c>
      <c r="U352" s="36">
        <f>IF(T352&gt;=2,ROUND((IF(T352=2,0.55,IF(T352&lt;=4,0.7,IF(T352&lt;=6,0.8,IF(T352&lt;=9,0.9,1))))*(S352/T352)+(1-(IF(T352=2,0.55,IF(T352&lt;=4,0.7,IF(T352&lt;=6,0.8,IF(T352&lt;=9,0.9,1))))))*$Y$1),1),"")</f>
        <v>7.5</v>
      </c>
      <c r="V352" s="37">
        <v>7.5</v>
      </c>
      <c r="W352" s="38"/>
    </row>
    <row r="353" ht="24" customHeight="1" spans="1:23" x14ac:dyDescent="0.25">
      <c r="A353" s="31">
        <v>1306</v>
      </c>
      <c r="B353" s="32" t="s">
        <v>414</v>
      </c>
      <c r="C353" s="33" t="s">
        <v>29</v>
      </c>
      <c r="D353" s="34">
        <v>2019</v>
      </c>
      <c r="E353" s="34" t="s">
        <v>69</v>
      </c>
      <c r="F353" s="6"/>
      <c r="G353" s="6"/>
      <c r="H353" s="6">
        <v>8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35">
        <f>SUM(F353:R353)</f>
        <v>8</v>
      </c>
      <c r="T353" s="35">
        <f>COUNT(F353:R353)</f>
        <v>1</v>
      </c>
      <c r="U353" s="36">
        <f>IF(T353&gt;=2,ROUND((IF(T353=2,0.55,IF(T353&lt;=4,0.7,IF(T353&lt;=6,0.8,IF(T353&lt;=9,0.9,1))))*(S353/T353)+(1-(IF(T353=2,0.55,IF(T353&lt;=4,0.7,IF(T353&lt;=6,0.8,IF(T353&lt;=9,0.9,1))))))*$Y$1),1),"")</f>
      </c>
      <c r="V353" s="37">
        <v>7.6</v>
      </c>
      <c r="W353" s="38"/>
    </row>
    <row r="354" ht="24" customHeight="1" spans="1:23" x14ac:dyDescent="0.25">
      <c r="A354" s="31">
        <v>323</v>
      </c>
      <c r="B354" s="32" t="s">
        <v>415</v>
      </c>
      <c r="C354" s="33" t="s">
        <v>24</v>
      </c>
      <c r="D354" s="34">
        <v>2014</v>
      </c>
      <c r="E354" s="34" t="s">
        <v>416</v>
      </c>
      <c r="F354" s="6"/>
      <c r="G354" s="6"/>
      <c r="H354" s="6">
        <v>6</v>
      </c>
      <c r="I354" s="6">
        <v>6</v>
      </c>
      <c r="J354" s="6">
        <v>8</v>
      </c>
      <c r="K354" s="6">
        <v>8</v>
      </c>
      <c r="L354" s="6">
        <v>7</v>
      </c>
      <c r="M354" s="6"/>
      <c r="N354" s="6">
        <v>6</v>
      </c>
      <c r="O354" s="6">
        <v>8</v>
      </c>
      <c r="P354" s="6"/>
      <c r="Q354" s="6">
        <v>8</v>
      </c>
      <c r="R354" s="6">
        <v>6</v>
      </c>
      <c r="S354" s="35">
        <f>SUM(F354:R354)</f>
        <v>63</v>
      </c>
      <c r="T354" s="35">
        <f>COUNT(F354:R354)</f>
        <v>9</v>
      </c>
      <c r="U354" s="36">
        <f>IF(T354&gt;=2,ROUND((IF(T354=2,0.55,IF(T354&lt;=4,0.7,IF(T354&lt;=6,0.8,IF(T354&lt;=9,0.9,1))))*(S354/T354)+(1-(IF(T354=2,0.55,IF(T354&lt;=4,0.7,IF(T354&lt;=6,0.8,IF(T354&lt;=9,0.9,1))))))*$Y$1),1),"")</f>
        <v>7.1</v>
      </c>
      <c r="V354" s="37">
        <v>6.7</v>
      </c>
      <c r="W354" s="38"/>
    </row>
    <row r="355" ht="24" customHeight="1" spans="1:23" s="39" customFormat="1" x14ac:dyDescent="0.25">
      <c r="A355" s="40">
        <v>2424</v>
      </c>
      <c r="B355" s="32" t="s">
        <v>417</v>
      </c>
      <c r="C355" s="33" t="s">
        <v>24</v>
      </c>
      <c r="D355" s="34">
        <v>2025</v>
      </c>
      <c r="E355" s="41"/>
      <c r="F355" s="6"/>
      <c r="G355" s="6"/>
      <c r="H355" s="6"/>
      <c r="I355" s="6"/>
      <c r="J355" s="6"/>
      <c r="K355" s="6"/>
      <c r="L355" s="6"/>
      <c r="M355" s="6"/>
      <c r="N355" s="6"/>
      <c r="O355" s="6">
        <v>6</v>
      </c>
      <c r="P355" s="6"/>
      <c r="Q355" s="6"/>
      <c r="R355" s="6"/>
      <c r="S355" s="35">
        <f>SUM(F355:R355)</f>
        <v>6</v>
      </c>
      <c r="T355" s="35">
        <f>COUNT(F355:R355)</f>
        <v>1</v>
      </c>
      <c r="U355" s="36">
        <f>IF(T355&gt;=2,ROUND((IF(T355=2,0.55,IF(T355&lt;=4,0.7,IF(T355&lt;=6,0.8,IF(T355&lt;=9,0.9,1))))*(S355/T355)+(1-(IF(T355=2,0.55,IF(T355&lt;=4,0.7,IF(T355&lt;=6,0.8,IF(T355&lt;=9,0.9,1))))))*$Y$1),1),"")</f>
      </c>
      <c r="V355" s="37">
        <v>4.7</v>
      </c>
      <c r="W355" s="38"/>
    </row>
    <row r="356" ht="24" customHeight="1" spans="1:23" x14ac:dyDescent="0.25">
      <c r="A356" s="31">
        <v>1621</v>
      </c>
      <c r="B356" s="32" t="s">
        <v>418</v>
      </c>
      <c r="C356" s="33" t="s">
        <v>24</v>
      </c>
      <c r="D356" s="34">
        <v>2020</v>
      </c>
      <c r="E356" s="34" t="s">
        <v>27</v>
      </c>
      <c r="F356" s="6"/>
      <c r="G356" s="6"/>
      <c r="H356" s="6"/>
      <c r="I356" s="6"/>
      <c r="J356" s="6"/>
      <c r="K356" s="6"/>
      <c r="L356" s="6"/>
      <c r="M356" s="6"/>
      <c r="N356" s="6"/>
      <c r="O356" s="6">
        <v>6</v>
      </c>
      <c r="P356" s="6"/>
      <c r="Q356" s="6"/>
      <c r="R356" s="6"/>
      <c r="S356" s="35">
        <f>SUM(F356:R356)</f>
        <v>6</v>
      </c>
      <c r="T356" s="35">
        <f>COUNT(F356:R356)</f>
        <v>1</v>
      </c>
      <c r="U356" s="36">
        <f>IF(T356&gt;=2,ROUND((IF(T356=2,0.55,IF(T356&lt;=4,0.7,IF(T356&lt;=6,0.8,IF(T356&lt;=9,0.9,1))))*(S356/T356)+(1-(IF(T356=2,0.55,IF(T356&lt;=4,0.7,IF(T356&lt;=6,0.8,IF(T356&lt;=9,0.9,1))))))*$Y$1),1),"")</f>
      </c>
      <c r="V356" s="37">
        <v>5.9</v>
      </c>
      <c r="W356" s="38"/>
    </row>
    <row r="357" ht="24" customHeight="1" spans="1:23" x14ac:dyDescent="0.25">
      <c r="A357" s="31">
        <v>1345</v>
      </c>
      <c r="B357" s="32" t="s">
        <v>419</v>
      </c>
      <c r="C357" s="33" t="s">
        <v>29</v>
      </c>
      <c r="D357" s="34">
        <v>2018</v>
      </c>
      <c r="E357" s="34" t="s">
        <v>30</v>
      </c>
      <c r="F357" s="6">
        <v>8</v>
      </c>
      <c r="G357" s="6"/>
      <c r="H357" s="6">
        <v>8</v>
      </c>
      <c r="I357" s="6"/>
      <c r="J357" s="6"/>
      <c r="K357" s="6"/>
      <c r="L357" s="6"/>
      <c r="M357" s="6"/>
      <c r="N357" s="6">
        <v>8</v>
      </c>
      <c r="O357" s="6"/>
      <c r="P357" s="6"/>
      <c r="Q357" s="6"/>
      <c r="R357" s="6"/>
      <c r="S357" s="35">
        <f>SUM(F357:R357)</f>
        <v>24</v>
      </c>
      <c r="T357" s="35">
        <f>COUNT(F357:R357)</f>
        <v>3</v>
      </c>
      <c r="U357" s="36">
        <f>IF(T357&gt;=2,ROUND((IF(T357=2,0.55,IF(T357&lt;=4,0.7,IF(T357&lt;=6,0.8,IF(T357&lt;=9,0.9,1))))*(S357/T357)+(1-(IF(T357=2,0.55,IF(T357&lt;=4,0.7,IF(T357&lt;=6,0.8,IF(T357&lt;=9,0.9,1))))))*$Y$1),1),"")</f>
        <v>8</v>
      </c>
      <c r="V357" s="37">
        <v>7.2</v>
      </c>
      <c r="W357" s="38"/>
    </row>
    <row r="358" ht="24" customHeight="1" spans="1:23" x14ac:dyDescent="0.25">
      <c r="A358" s="31">
        <v>699</v>
      </c>
      <c r="B358" s="32" t="s">
        <v>420</v>
      </c>
      <c r="C358" s="33" t="s">
        <v>24</v>
      </c>
      <c r="D358" s="34">
        <v>2014</v>
      </c>
      <c r="E358" s="34" t="s">
        <v>30</v>
      </c>
      <c r="F358" s="6">
        <v>8</v>
      </c>
      <c r="G358" s="6"/>
      <c r="H358" s="6"/>
      <c r="I358" s="6"/>
      <c r="J358" s="6">
        <v>8</v>
      </c>
      <c r="K358" s="6"/>
      <c r="L358" s="6"/>
      <c r="M358" s="6"/>
      <c r="N358" s="6"/>
      <c r="O358" s="6"/>
      <c r="P358" s="6"/>
      <c r="Q358" s="6"/>
      <c r="R358" s="6">
        <v>8</v>
      </c>
      <c r="S358" s="35">
        <f>SUM(F358:R358)</f>
        <v>24</v>
      </c>
      <c r="T358" s="35">
        <f>COUNT(F358:R358)</f>
        <v>3</v>
      </c>
      <c r="U358" s="36">
        <f>IF(T358&gt;=2,ROUND((IF(T358=2,0.55,IF(T358&lt;=4,0.7,IF(T358&lt;=6,0.8,IF(T358&lt;=9,0.9,1))))*(S358/T358)+(1-(IF(T358=2,0.55,IF(T358&lt;=4,0.7,IF(T358&lt;=6,0.8,IF(T358&lt;=9,0.9,1))))))*$Y$1),1),"")</f>
        <v>8</v>
      </c>
      <c r="V358" s="37">
        <v>7.3</v>
      </c>
      <c r="W358" s="38"/>
    </row>
    <row r="359" ht="24" customHeight="1" spans="1:23" s="39" customFormat="1" x14ac:dyDescent="0.25">
      <c r="A359" s="31">
        <v>169</v>
      </c>
      <c r="B359" s="32" t="s">
        <v>421</v>
      </c>
      <c r="C359" s="33" t="s">
        <v>24</v>
      </c>
      <c r="D359" s="34">
        <v>2014</v>
      </c>
      <c r="E359" s="34" t="s">
        <v>30</v>
      </c>
      <c r="F359" s="6">
        <v>8</v>
      </c>
      <c r="G359" s="6"/>
      <c r="H359" s="6">
        <v>8</v>
      </c>
      <c r="I359" s="6"/>
      <c r="J359" s="6">
        <v>7</v>
      </c>
      <c r="K359" s="6">
        <v>10</v>
      </c>
      <c r="L359" s="6"/>
      <c r="M359" s="6">
        <v>8</v>
      </c>
      <c r="N359" s="6">
        <v>8</v>
      </c>
      <c r="O359" s="6"/>
      <c r="P359" s="6"/>
      <c r="Q359" s="6">
        <v>10</v>
      </c>
      <c r="R359" s="6">
        <v>10</v>
      </c>
      <c r="S359" s="35">
        <f>SUM(F359:R359)</f>
        <v>69</v>
      </c>
      <c r="T359" s="35">
        <f>COUNT(F359:R359)</f>
        <v>8</v>
      </c>
      <c r="U359" s="36">
        <f>IF(T359&gt;=2,ROUND((IF(T359=2,0.55,IF(T359&lt;=4,0.7,IF(T359&lt;=6,0.8,IF(T359&lt;=9,0.9,1))))*(S359/T359)+(1-(IF(T359=2,0.55,IF(T359&lt;=4,0.7,IF(T359&lt;=6,0.8,IF(T359&lt;=9,0.9,1))))))*$Y$1),1),"")</f>
        <v>8.6</v>
      </c>
      <c r="V359" s="37">
        <v>6.2</v>
      </c>
      <c r="W359" s="38"/>
    </row>
    <row r="360" ht="24" customHeight="1" spans="1:23" x14ac:dyDescent="0.25">
      <c r="A360" s="40">
        <v>2370</v>
      </c>
      <c r="B360" s="32" t="s">
        <v>422</v>
      </c>
      <c r="C360" s="33" t="s">
        <v>24</v>
      </c>
      <c r="D360" s="34">
        <v>2025</v>
      </c>
      <c r="E360" s="41"/>
      <c r="F360" s="6"/>
      <c r="G360" s="6"/>
      <c r="H360" s="6"/>
      <c r="I360" s="6"/>
      <c r="J360" s="6"/>
      <c r="K360" s="6"/>
      <c r="L360" s="6"/>
      <c r="M360" s="6">
        <v>7</v>
      </c>
      <c r="N360" s="6"/>
      <c r="O360" s="6">
        <v>7</v>
      </c>
      <c r="P360" s="6"/>
      <c r="Q360" s="6"/>
      <c r="R360" s="6"/>
      <c r="S360" s="35">
        <f>SUM(F360:R360)</f>
        <v>14</v>
      </c>
      <c r="T360" s="35">
        <f>COUNT(F360:R360)</f>
        <v>2</v>
      </c>
      <c r="U360" s="36">
        <f>IF(T360&gt;=2,ROUND((IF(T360=2,0.55,IF(T360&lt;=4,0.7,IF(T360&lt;=6,0.8,IF(T360&lt;=9,0.9,1))))*(S360/T360)+(1-(IF(T360=2,0.55,IF(T360&lt;=4,0.7,IF(T360&lt;=6,0.8,IF(T360&lt;=9,0.9,1))))))*$Y$1),1),"")</f>
        <v>7.5</v>
      </c>
      <c r="V360" s="37">
        <v>6</v>
      </c>
      <c r="W360" s="38"/>
    </row>
    <row r="361" ht="24" customHeight="1" spans="1:23" s="39" customFormat="1" x14ac:dyDescent="0.25">
      <c r="A361" s="31">
        <v>1850</v>
      </c>
      <c r="B361" s="32" t="s">
        <v>423</v>
      </c>
      <c r="C361" s="33" t="s">
        <v>24</v>
      </c>
      <c r="D361" s="34">
        <v>2013</v>
      </c>
      <c r="E361" s="34" t="s">
        <v>25</v>
      </c>
      <c r="F361" s="6"/>
      <c r="G361" s="6">
        <v>8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35">
        <f>SUM(F361:R361)</f>
        <v>8</v>
      </c>
      <c r="T361" s="35">
        <f>COUNT(F361:R361)</f>
        <v>1</v>
      </c>
      <c r="U361" s="36">
        <f>IF(T361&gt;=2,ROUND((IF(T361=2,0.55,IF(T361&lt;=4,0.7,IF(T361&lt;=6,0.8,IF(T361&lt;=9,0.9,1))))*(S361/T361)+(1-(IF(T361=2,0.55,IF(T361&lt;=4,0.7,IF(T361&lt;=6,0.8,IF(T361&lt;=9,0.9,1))))))*$Y$1),1),"")</f>
      </c>
      <c r="V361" s="37">
        <v>8.1</v>
      </c>
      <c r="W361" s="38"/>
    </row>
    <row r="362" ht="47.25" customHeight="1" spans="1:23" x14ac:dyDescent="0.25">
      <c r="A362" s="31">
        <v>2008</v>
      </c>
      <c r="B362" s="32" t="s">
        <v>424</v>
      </c>
      <c r="C362" s="33" t="s">
        <v>29</v>
      </c>
      <c r="D362" s="34">
        <v>2022</v>
      </c>
      <c r="E362" s="34"/>
      <c r="F362" s="6"/>
      <c r="G362" s="6"/>
      <c r="H362" s="6"/>
      <c r="I362" s="6"/>
      <c r="J362" s="6"/>
      <c r="K362" s="6"/>
      <c r="L362" s="6">
        <v>10</v>
      </c>
      <c r="M362" s="6"/>
      <c r="N362" s="6"/>
      <c r="O362" s="6"/>
      <c r="P362" s="6"/>
      <c r="Q362" s="6"/>
      <c r="R362" s="6"/>
      <c r="S362" s="35">
        <f>SUM(F362:R362)</f>
        <v>10</v>
      </c>
      <c r="T362" s="35">
        <f>COUNT(F362:R362)</f>
        <v>1</v>
      </c>
      <c r="U362" s="36">
        <f>IF(T362&gt;=2,ROUND((IF(T362=2,0.55,IF(T362&lt;=4,0.7,IF(T362&lt;=6,0.8,IF(T362&lt;=9,0.9,1))))*(S362/T362)+(1-(IF(T362=2,0.55,IF(T362&lt;=4,0.7,IF(T362&lt;=6,0.8,IF(T362&lt;=9,0.9,1))))))*$Y$1),1),"")</f>
      </c>
      <c r="V362" s="37">
        <v>8.6</v>
      </c>
      <c r="W362" s="38"/>
    </row>
    <row r="363" ht="24" customHeight="1" spans="1:23" x14ac:dyDescent="0.25">
      <c r="A363" s="31">
        <v>1510</v>
      </c>
      <c r="B363" s="32" t="s">
        <v>425</v>
      </c>
      <c r="C363" s="33" t="s">
        <v>24</v>
      </c>
      <c r="D363" s="34">
        <v>2022</v>
      </c>
      <c r="E363" s="34" t="s">
        <v>30</v>
      </c>
      <c r="F363" s="6">
        <v>8</v>
      </c>
      <c r="G363" s="6"/>
      <c r="H363" s="6"/>
      <c r="I363" s="6"/>
      <c r="J363" s="6">
        <v>8</v>
      </c>
      <c r="K363" s="6"/>
      <c r="L363" s="6">
        <v>7</v>
      </c>
      <c r="M363" s="6"/>
      <c r="N363" s="6"/>
      <c r="O363" s="6"/>
      <c r="P363" s="6"/>
      <c r="Q363" s="6"/>
      <c r="R363" s="6"/>
      <c r="S363" s="35">
        <f>SUM(F363:R363)</f>
        <v>23</v>
      </c>
      <c r="T363" s="35">
        <f>COUNT(F363:R363)</f>
        <v>3</v>
      </c>
      <c r="U363" s="36">
        <f>IF(T363&gt;=2,ROUND((IF(T363=2,0.55,IF(T363&lt;=4,0.7,IF(T363&lt;=6,0.8,IF(T363&lt;=9,0.9,1))))*(S363/T363)+(1-(IF(T363=2,0.55,IF(T363&lt;=4,0.7,IF(T363&lt;=6,0.8,IF(T363&lt;=9,0.9,1))))))*$Y$1),1),"")</f>
        <v>7.8</v>
      </c>
      <c r="V363" s="37">
        <v>7.8</v>
      </c>
      <c r="W363" s="38"/>
    </row>
    <row r="364" ht="24" customHeight="1" spans="1:23" x14ac:dyDescent="0.25">
      <c r="A364" s="31">
        <v>1556</v>
      </c>
      <c r="B364" s="32" t="s">
        <v>426</v>
      </c>
      <c r="C364" s="33" t="s">
        <v>24</v>
      </c>
      <c r="D364" s="34">
        <v>2023</v>
      </c>
      <c r="E364" s="34" t="s">
        <v>30</v>
      </c>
      <c r="F364" s="6"/>
      <c r="G364" s="6"/>
      <c r="H364" s="6"/>
      <c r="I364" s="6"/>
      <c r="J364" s="6"/>
      <c r="K364" s="6"/>
      <c r="L364" s="6"/>
      <c r="M364" s="6"/>
      <c r="N364" s="6"/>
      <c r="O364" s="6">
        <v>8</v>
      </c>
      <c r="P364" s="6"/>
      <c r="Q364" s="6"/>
      <c r="R364" s="6"/>
      <c r="S364" s="35">
        <f>SUM(F364:R364)</f>
        <v>8</v>
      </c>
      <c r="T364" s="35">
        <f>COUNT(F364:R364)</f>
        <v>1</v>
      </c>
      <c r="U364" s="36">
        <f>IF(T364&gt;=2,ROUND((IF(T364=2,0.55,IF(T364&lt;=4,0.7,IF(T364&lt;=6,0.8,IF(T364&lt;=9,0.9,1))))*(S364/T364)+(1-(IF(T364=2,0.55,IF(T364&lt;=4,0.7,IF(T364&lt;=6,0.8,IF(T364&lt;=9,0.9,1))))))*$Y$1),1),"")</f>
      </c>
      <c r="V364" s="37">
        <v>7.2</v>
      </c>
      <c r="W364" s="38"/>
    </row>
    <row r="365" ht="47.25" customHeight="1" spans="1:23" x14ac:dyDescent="0.25">
      <c r="A365" s="40">
        <v>2274</v>
      </c>
      <c r="B365" s="32" t="s">
        <v>427</v>
      </c>
      <c r="C365" s="33" t="s">
        <v>24</v>
      </c>
      <c r="D365" s="34">
        <v>2011</v>
      </c>
      <c r="E365" s="41"/>
      <c r="F365" s="6"/>
      <c r="G365" s="6">
        <v>8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35">
        <f>SUM(F365:R365)</f>
        <v>8</v>
      </c>
      <c r="T365" s="35">
        <f>COUNT(F365:R365)</f>
        <v>1</v>
      </c>
      <c r="U365" s="36">
        <f>IF(T365&gt;=2,ROUND((IF(T365=2,0.55,IF(T365&lt;=4,0.7,IF(T365&lt;=6,0.8,IF(T365&lt;=9,0.9,1))))*(S365/T365)+(1-(IF(T365=2,0.55,IF(T365&lt;=4,0.7,IF(T365&lt;=6,0.8,IF(T365&lt;=9,0.9,1))))))*$Y$1),1),"")</f>
      </c>
      <c r="V365" s="37">
        <v>6.2</v>
      </c>
      <c r="W365" s="38"/>
    </row>
    <row r="366" ht="24" customHeight="1" spans="1:23" x14ac:dyDescent="0.25">
      <c r="A366" s="31">
        <v>427</v>
      </c>
      <c r="B366" s="32" t="s">
        <v>428</v>
      </c>
      <c r="C366" s="33" t="s">
        <v>24</v>
      </c>
      <c r="D366" s="34">
        <v>2004</v>
      </c>
      <c r="E366" s="34" t="s">
        <v>43</v>
      </c>
      <c r="F366" s="6"/>
      <c r="G366" s="6"/>
      <c r="H366" s="6"/>
      <c r="I366" s="6"/>
      <c r="J366" s="6"/>
      <c r="K366" s="6"/>
      <c r="L366" s="6">
        <v>8</v>
      </c>
      <c r="M366" s="6"/>
      <c r="N366" s="6"/>
      <c r="O366" s="6"/>
      <c r="P366" s="6"/>
      <c r="Q366" s="6"/>
      <c r="R366" s="6"/>
      <c r="S366" s="35">
        <f>SUM(F366:R366)</f>
        <v>8</v>
      </c>
      <c r="T366" s="35">
        <f>COUNT(F366:R366)</f>
        <v>1</v>
      </c>
      <c r="U366" s="36">
        <f>IF(T366&gt;=2,ROUND((IF(T366=2,0.55,IF(T366&lt;=4,0.7,IF(T366&lt;=6,0.8,IF(T366&lt;=9,0.9,1))))*(S366/T366)+(1-(IF(T366=2,0.55,IF(T366&lt;=4,0.7,IF(T366&lt;=6,0.8,IF(T366&lt;=9,0.9,1))))))*$Y$1),1),"")</f>
      </c>
      <c r="V366" s="37">
        <v>6.2</v>
      </c>
      <c r="W366" s="38"/>
    </row>
    <row r="367" ht="24" customHeight="1" spans="1:23" x14ac:dyDescent="0.25">
      <c r="A367" s="31">
        <v>827</v>
      </c>
      <c r="B367" s="32" t="s">
        <v>429</v>
      </c>
      <c r="C367" s="33" t="s">
        <v>24</v>
      </c>
      <c r="D367" s="34">
        <v>2020</v>
      </c>
      <c r="E367" s="34" t="s">
        <v>30</v>
      </c>
      <c r="F367" s="6"/>
      <c r="G367" s="6">
        <v>8</v>
      </c>
      <c r="H367" s="6">
        <v>8</v>
      </c>
      <c r="I367" s="6">
        <v>8</v>
      </c>
      <c r="J367" s="6">
        <v>8</v>
      </c>
      <c r="K367" s="6">
        <v>10</v>
      </c>
      <c r="L367" s="6"/>
      <c r="M367" s="6"/>
      <c r="N367" s="6">
        <v>8</v>
      </c>
      <c r="O367" s="6">
        <v>8</v>
      </c>
      <c r="P367" s="6">
        <v>6</v>
      </c>
      <c r="Q367" s="6">
        <v>10</v>
      </c>
      <c r="R367" s="6"/>
      <c r="S367" s="35">
        <f>SUM(F367:R367)</f>
        <v>74</v>
      </c>
      <c r="T367" s="35">
        <f>COUNT(F367:R367)</f>
        <v>9</v>
      </c>
      <c r="U367" s="36">
        <f>IF(T367&gt;=2,ROUND((IF(T367=2,0.55,IF(T367&lt;=4,0.7,IF(T367&lt;=6,0.8,IF(T367&lt;=9,0.9,1))))*(S367/T367)+(1-(IF(T367=2,0.55,IF(T367&lt;=4,0.7,IF(T367&lt;=6,0.8,IF(T367&lt;=9,0.9,1))))))*$Y$1),1),"")</f>
        <v>8.2</v>
      </c>
      <c r="V367" s="37">
        <v>6.8</v>
      </c>
      <c r="W367" s="38"/>
    </row>
    <row r="368" ht="24" customHeight="1" spans="1:23" x14ac:dyDescent="0.25">
      <c r="A368" s="31">
        <v>2461</v>
      </c>
      <c r="B368" s="32" t="s">
        <v>430</v>
      </c>
      <c r="C368" s="33" t="s">
        <v>29</v>
      </c>
      <c r="D368" s="34">
        <v>2026</v>
      </c>
      <c r="E368" s="41"/>
      <c r="F368" s="6"/>
      <c r="G368" s="6"/>
      <c r="H368" s="6"/>
      <c r="I368" s="6"/>
      <c r="J368" s="6">
        <v>7</v>
      </c>
      <c r="K368" s="6"/>
      <c r="L368" s="6"/>
      <c r="M368" s="6"/>
      <c r="N368" s="6"/>
      <c r="O368" s="6"/>
      <c r="P368" s="6"/>
      <c r="Q368" s="6"/>
      <c r="R368" s="6"/>
      <c r="S368" s="35">
        <f>SUM(F368:R368)</f>
        <v>7</v>
      </c>
      <c r="T368" s="35">
        <f>COUNT(F368:R368)</f>
        <v>1</v>
      </c>
      <c r="U368" s="36">
        <f>IF(T368&gt;=2,ROUND((IF(T368=2,0.55,IF(T368&lt;=4,0.7,IF(T368&lt;=6,0.8,IF(T368&lt;=9,0.9,1))))*(S368/T368)+(1-(IF(T368=2,0.55,IF(T368&lt;=4,0.7,IF(T368&lt;=6,0.8,IF(T368&lt;=9,0.9,1))))))*$Y$1),1),"")</f>
      </c>
      <c r="V368" s="37">
        <v>7.6</v>
      </c>
      <c r="W368" s="38"/>
    </row>
    <row r="369" ht="24" customHeight="1" spans="1:23" x14ac:dyDescent="0.25">
      <c r="A369" s="31">
        <v>786</v>
      </c>
      <c r="B369" s="32" t="s">
        <v>431</v>
      </c>
      <c r="C369" s="33" t="s">
        <v>24</v>
      </c>
      <c r="D369" s="34">
        <v>2017</v>
      </c>
      <c r="E369" s="34" t="s">
        <v>30</v>
      </c>
      <c r="F369" s="6"/>
      <c r="G369" s="6"/>
      <c r="H369" s="6"/>
      <c r="I369" s="6"/>
      <c r="J369" s="6"/>
      <c r="K369" s="6"/>
      <c r="L369" s="6">
        <v>6</v>
      </c>
      <c r="M369" s="6"/>
      <c r="N369" s="6"/>
      <c r="O369" s="6"/>
      <c r="P369" s="6"/>
      <c r="Q369" s="6"/>
      <c r="R369" s="6"/>
      <c r="S369" s="35">
        <f>SUM(F369:R369)</f>
        <v>6</v>
      </c>
      <c r="T369" s="35">
        <f>COUNT(F369:R369)</f>
        <v>1</v>
      </c>
      <c r="U369" s="36">
        <f>IF(T369&gt;=2,ROUND((IF(T369=2,0.55,IF(T369&lt;=4,0.7,IF(T369&lt;=6,0.8,IF(T369&lt;=9,0.9,1))))*(S369/T369)+(1-(IF(T369=2,0.55,IF(T369&lt;=4,0.7,IF(T369&lt;=6,0.8,IF(T369&lt;=9,0.9,1))))))*$Y$1),1),"")</f>
      </c>
      <c r="V369" s="37">
        <v>6.5</v>
      </c>
      <c r="W369" s="38"/>
    </row>
    <row r="370" ht="24" customHeight="1" spans="1:23" s="39" customFormat="1" x14ac:dyDescent="0.25">
      <c r="A370" s="42">
        <v>127</v>
      </c>
      <c r="B370" s="32" t="s">
        <v>432</v>
      </c>
      <c r="C370" s="43" t="s">
        <v>114</v>
      </c>
      <c r="D370" s="44">
        <v>2018</v>
      </c>
      <c r="E370" s="44" t="s">
        <v>30</v>
      </c>
      <c r="F370" s="6">
        <v>8</v>
      </c>
      <c r="G370" s="6">
        <v>8</v>
      </c>
      <c r="H370" s="6">
        <v>8</v>
      </c>
      <c r="I370" s="6">
        <v>10</v>
      </c>
      <c r="J370" s="6">
        <v>8</v>
      </c>
      <c r="K370" s="6">
        <v>10</v>
      </c>
      <c r="L370" s="6">
        <v>8</v>
      </c>
      <c r="M370" s="6">
        <v>8</v>
      </c>
      <c r="N370" s="6">
        <v>8</v>
      </c>
      <c r="O370" s="6"/>
      <c r="P370" s="6">
        <v>8</v>
      </c>
      <c r="Q370" s="6">
        <v>10</v>
      </c>
      <c r="R370" s="6">
        <v>8</v>
      </c>
      <c r="S370" s="45">
        <f>SUM(F370:R370)</f>
        <v>102</v>
      </c>
      <c r="T370" s="45">
        <f>COUNT(F370:R370)</f>
        <v>12</v>
      </c>
      <c r="U370" s="36">
        <f>IF(T370&gt;=2,ROUND((IF(T370=2,0.55,IF(T370&lt;=4,0.7,IF(T370&lt;=6,0.8,IF(T370&lt;=9,0.9,1))))*(S370/T370)+(1-(IF(T370=2,0.55,IF(T370&lt;=4,0.7,IF(T370&lt;=6,0.8,IF(T370&lt;=9,0.9,1))))))*$Y$1),1),"")</f>
        <v>8.5</v>
      </c>
      <c r="V370" s="37">
        <v>7.6</v>
      </c>
      <c r="W370" s="38" t="s">
        <v>44</v>
      </c>
    </row>
    <row r="371" ht="24" customHeight="1" spans="1:23" x14ac:dyDescent="0.25">
      <c r="A371" s="31">
        <v>176</v>
      </c>
      <c r="B371" s="32" t="s">
        <v>433</v>
      </c>
      <c r="C371" s="33" t="s">
        <v>24</v>
      </c>
      <c r="D371" s="34">
        <v>2019</v>
      </c>
      <c r="E371" s="34" t="s">
        <v>52</v>
      </c>
      <c r="F371" s="6"/>
      <c r="G371" s="6">
        <v>8</v>
      </c>
      <c r="H371" s="6"/>
      <c r="I371" s="6"/>
      <c r="J371" s="6">
        <v>10</v>
      </c>
      <c r="K371" s="6">
        <v>10</v>
      </c>
      <c r="L371" s="6">
        <v>10</v>
      </c>
      <c r="M371" s="6"/>
      <c r="N371" s="6"/>
      <c r="O371" s="6">
        <v>8</v>
      </c>
      <c r="P371" s="6">
        <v>8</v>
      </c>
      <c r="Q371" s="6">
        <v>10</v>
      </c>
      <c r="R371" s="6">
        <v>10</v>
      </c>
      <c r="S371" s="35">
        <f>SUM(F371:R371)</f>
        <v>74</v>
      </c>
      <c r="T371" s="35">
        <f>COUNT(F371:R371)</f>
        <v>8</v>
      </c>
      <c r="U371" s="36">
        <f>IF(T371&gt;=2,ROUND((IF(T371=2,0.55,IF(T371&lt;=4,0.7,IF(T371&lt;=6,0.8,IF(T371&lt;=9,0.9,1))))*(S371/T371)+(1-(IF(T371=2,0.55,IF(T371&lt;=4,0.7,IF(T371&lt;=6,0.8,IF(T371&lt;=9,0.9,1))))))*$Y$1),1),"")</f>
        <v>9.1</v>
      </c>
      <c r="V371" s="37">
        <v>7.3</v>
      </c>
      <c r="W371" s="38"/>
    </row>
    <row r="372" ht="24" customHeight="1" spans="1:23" x14ac:dyDescent="0.25">
      <c r="A372" s="31">
        <v>1108</v>
      </c>
      <c r="B372" s="67" t="s">
        <v>434</v>
      </c>
      <c r="C372" s="33" t="s">
        <v>24</v>
      </c>
      <c r="D372" s="34">
        <v>2017</v>
      </c>
      <c r="E372" s="34" t="s">
        <v>30</v>
      </c>
      <c r="F372" s="6"/>
      <c r="G372" s="6"/>
      <c r="H372" s="6"/>
      <c r="I372" s="6"/>
      <c r="J372" s="6"/>
      <c r="K372" s="6"/>
      <c r="L372" s="6"/>
      <c r="M372" s="6"/>
      <c r="N372" s="6"/>
      <c r="O372" s="6">
        <v>8</v>
      </c>
      <c r="P372" s="6"/>
      <c r="Q372" s="6"/>
      <c r="R372" s="6"/>
      <c r="S372" s="35">
        <f>SUM(F372:R372)</f>
        <v>8</v>
      </c>
      <c r="T372" s="35">
        <f>COUNT(F372:R372)</f>
        <v>1</v>
      </c>
      <c r="U372" s="36">
        <f>IF(T372&gt;=2,ROUND((IF(T372=2,0.55,IF(T372&lt;=4,0.7,IF(T372&lt;=6,0.8,IF(T372&lt;=9,0.9,1))))*(S372/T372)+(1-(IF(T372=2,0.55,IF(T372&lt;=4,0.7,IF(T372&lt;=6,0.8,IF(T372&lt;=9,0.9,1))))))*$Y$1),1),"")</f>
      </c>
      <c r="V372" s="37">
        <v>6.5</v>
      </c>
      <c r="W372" s="38"/>
    </row>
    <row r="373" ht="24" customHeight="1" spans="1:23" x14ac:dyDescent="0.25">
      <c r="A373" s="31">
        <v>1981</v>
      </c>
      <c r="B373" s="32" t="s">
        <v>435</v>
      </c>
      <c r="C373" s="33" t="s">
        <v>24</v>
      </c>
      <c r="D373" s="34">
        <v>2024</v>
      </c>
      <c r="E373" s="34" t="s">
        <v>25</v>
      </c>
      <c r="F373" s="6">
        <v>8</v>
      </c>
      <c r="G373" s="6">
        <v>8</v>
      </c>
      <c r="H373" s="6"/>
      <c r="I373" s="6"/>
      <c r="J373" s="6"/>
      <c r="K373" s="6"/>
      <c r="L373" s="6"/>
      <c r="M373" s="6"/>
      <c r="N373" s="6"/>
      <c r="O373" s="6"/>
      <c r="P373" s="6">
        <v>9</v>
      </c>
      <c r="Q373" s="6"/>
      <c r="R373" s="6"/>
      <c r="S373" s="35">
        <f>SUM(F373:R373)</f>
        <v>25</v>
      </c>
      <c r="T373" s="35">
        <f>COUNT(F373:R373)</f>
        <v>3</v>
      </c>
      <c r="U373" s="36">
        <f>IF(T373&gt;=2,ROUND((IF(T373=2,0.55,IF(T373&lt;=4,0.7,IF(T373&lt;=6,0.8,IF(T373&lt;=9,0.9,1))))*(S373/T373)+(1-(IF(T373=2,0.55,IF(T373&lt;=4,0.7,IF(T373&lt;=6,0.8,IF(T373&lt;=9,0.9,1))))))*$Y$1),1),"")</f>
        <v>8.3</v>
      </c>
      <c r="V373" s="37">
        <v>8.2</v>
      </c>
      <c r="W373" s="38"/>
    </row>
    <row r="374" ht="24" customHeight="1" spans="1:23" x14ac:dyDescent="0.25">
      <c r="A374" s="31">
        <v>623</v>
      </c>
      <c r="B374" s="32" t="s">
        <v>436</v>
      </c>
      <c r="C374" s="33" t="s">
        <v>24</v>
      </c>
      <c r="D374" s="34">
        <v>1999</v>
      </c>
      <c r="E374" s="34" t="s">
        <v>374</v>
      </c>
      <c r="F374" s="6"/>
      <c r="G374" s="6"/>
      <c r="H374" s="6"/>
      <c r="I374" s="6">
        <v>8</v>
      </c>
      <c r="J374" s="6"/>
      <c r="K374" s="6">
        <v>8</v>
      </c>
      <c r="L374" s="6">
        <v>8</v>
      </c>
      <c r="M374" s="6"/>
      <c r="N374" s="6"/>
      <c r="O374" s="6">
        <v>9</v>
      </c>
      <c r="P374" s="6"/>
      <c r="Q374" s="6">
        <v>8</v>
      </c>
      <c r="R374" s="6"/>
      <c r="S374" s="35">
        <f>SUM(F374:R374)</f>
        <v>41</v>
      </c>
      <c r="T374" s="35">
        <f>COUNT(F374:R374)</f>
        <v>5</v>
      </c>
      <c r="U374" s="36">
        <f>IF(T374&gt;=2,ROUND((IF(T374=2,0.55,IF(T374&lt;=4,0.7,IF(T374&lt;=6,0.8,IF(T374&lt;=9,0.9,1))))*(S374/T374)+(1-(IF(T374=2,0.55,IF(T374&lt;=4,0.7,IF(T374&lt;=6,0.8,IF(T374&lt;=9,0.9,1))))))*$Y$1),1),"")</f>
        <v>8.2</v>
      </c>
      <c r="V374" s="37">
        <v>6.5</v>
      </c>
      <c r="W374" s="38"/>
    </row>
    <row r="375" ht="47.25" customHeight="1" spans="1:23" x14ac:dyDescent="0.25">
      <c r="A375" s="31">
        <v>1780</v>
      </c>
      <c r="B375" s="32" t="s">
        <v>437</v>
      </c>
      <c r="C375" s="33" t="s">
        <v>29</v>
      </c>
      <c r="D375" s="34">
        <v>2024</v>
      </c>
      <c r="E375" s="34" t="s">
        <v>30</v>
      </c>
      <c r="F375" s="6">
        <v>8</v>
      </c>
      <c r="G375" s="6"/>
      <c r="H375" s="6"/>
      <c r="I375" s="6"/>
      <c r="J375" s="6"/>
      <c r="K375" s="6">
        <v>8</v>
      </c>
      <c r="L375" s="6">
        <v>10</v>
      </c>
      <c r="M375" s="6"/>
      <c r="N375" s="6"/>
      <c r="O375" s="6"/>
      <c r="P375" s="6"/>
      <c r="Q375" s="6">
        <v>8</v>
      </c>
      <c r="R375" s="6"/>
      <c r="S375" s="35">
        <f>SUM(F375:R375)</f>
        <v>34</v>
      </c>
      <c r="T375" s="35">
        <f>COUNT(F375:R375)</f>
        <v>4</v>
      </c>
      <c r="U375" s="36">
        <f>IF(T375&gt;=2,ROUND((IF(T375=2,0.55,IF(T375&lt;=4,0.7,IF(T375&lt;=6,0.8,IF(T375&lt;=9,0.9,1))))*(S375/T375)+(1-(IF(T375=2,0.55,IF(T375&lt;=4,0.7,IF(T375&lt;=6,0.8,IF(T375&lt;=9,0.9,1))))))*$Y$1),1),"")</f>
        <v>8.4</v>
      </c>
      <c r="V375" s="37">
        <v>8.1</v>
      </c>
      <c r="W375" s="38"/>
    </row>
    <row r="376" ht="24" customHeight="1" spans="1:23" x14ac:dyDescent="0.25">
      <c r="A376" s="31">
        <v>616</v>
      </c>
      <c r="B376" s="32" t="s">
        <v>438</v>
      </c>
      <c r="C376" s="33" t="s">
        <v>24</v>
      </c>
      <c r="D376" s="34">
        <v>2016</v>
      </c>
      <c r="E376" s="34" t="s">
        <v>30</v>
      </c>
      <c r="F376" s="6">
        <v>8</v>
      </c>
      <c r="G376" s="6"/>
      <c r="H376" s="6"/>
      <c r="I376" s="6">
        <v>8</v>
      </c>
      <c r="J376" s="6">
        <v>8</v>
      </c>
      <c r="K376" s="6"/>
      <c r="L376" s="6">
        <v>8</v>
      </c>
      <c r="M376" s="6"/>
      <c r="N376" s="6"/>
      <c r="O376" s="6">
        <v>8</v>
      </c>
      <c r="P376" s="6"/>
      <c r="Q376" s="6"/>
      <c r="R376" s="6">
        <v>8</v>
      </c>
      <c r="S376" s="35">
        <f>SUM(F376:R376)</f>
        <v>48</v>
      </c>
      <c r="T376" s="35">
        <f>COUNT(F376:R376)</f>
        <v>6</v>
      </c>
      <c r="U376" s="36">
        <f>IF(T376&gt;=2,ROUND((IF(T376=2,0.55,IF(T376&lt;=4,0.7,IF(T376&lt;=6,0.8,IF(T376&lt;=9,0.9,1))))*(S376/T376)+(1-(IF(T376=2,0.55,IF(T376&lt;=4,0.7,IF(T376&lt;=6,0.8,IF(T376&lt;=9,0.9,1))))))*$Y$1),1),"")</f>
        <v>8</v>
      </c>
      <c r="V376" s="37">
        <v>7.1</v>
      </c>
      <c r="W376" s="38"/>
    </row>
    <row r="377" ht="24" customHeight="1" spans="1:23" x14ac:dyDescent="0.25">
      <c r="A377" s="40">
        <v>2273</v>
      </c>
      <c r="B377" s="32" t="s">
        <v>439</v>
      </c>
      <c r="C377" s="33" t="s">
        <v>24</v>
      </c>
      <c r="D377" s="34">
        <v>2011</v>
      </c>
      <c r="E377" s="41"/>
      <c r="F377" s="6"/>
      <c r="G377" s="6">
        <v>8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35">
        <f>SUM(F377:R377)</f>
        <v>8</v>
      </c>
      <c r="T377" s="35">
        <f>COUNT(F377:R377)</f>
        <v>1</v>
      </c>
      <c r="U377" s="36">
        <f>IF(T377&gt;=2,ROUND((IF(T377=2,0.55,IF(T377&lt;=4,0.7,IF(T377&lt;=6,0.8,IF(T377&lt;=9,0.9,1))))*(S377/T377)+(1-(IF(T377=2,0.55,IF(T377&lt;=4,0.7,IF(T377&lt;=6,0.8,IF(T377&lt;=9,0.9,1))))))*$Y$1),1),"")</f>
      </c>
      <c r="V377" s="37">
        <v>6.9</v>
      </c>
      <c r="W377" s="38"/>
    </row>
    <row r="378" ht="24" customHeight="1" spans="1:23" x14ac:dyDescent="0.25">
      <c r="A378" s="31">
        <v>1113</v>
      </c>
      <c r="B378" s="32" t="s">
        <v>440</v>
      </c>
      <c r="C378" s="33" t="s">
        <v>24</v>
      </c>
      <c r="D378" s="34">
        <v>2003</v>
      </c>
      <c r="E378" s="34" t="s">
        <v>27</v>
      </c>
      <c r="F378" s="6">
        <v>8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35">
        <f>SUM(F378:R378)</f>
        <v>8</v>
      </c>
      <c r="T378" s="35">
        <f>COUNT(F378:R378)</f>
        <v>1</v>
      </c>
      <c r="U378" s="36">
        <f>IF(T378&gt;=2,ROUND((IF(T378=2,0.55,IF(T378&lt;=4,0.7,IF(T378&lt;=6,0.8,IF(T378&lt;=9,0.9,1))))*(S378/T378)+(1-(IF(T378=2,0.55,IF(T378&lt;=4,0.7,IF(T378&lt;=6,0.8,IF(T378&lt;=9,0.9,1))))))*$Y$1),1),"")</f>
      </c>
      <c r="V378" s="37">
        <v>6.2</v>
      </c>
      <c r="W378" s="38"/>
    </row>
    <row r="379" ht="24" customHeight="1" spans="1:23" x14ac:dyDescent="0.25">
      <c r="A379" s="31">
        <v>1832</v>
      </c>
      <c r="B379" s="32" t="s">
        <v>441</v>
      </c>
      <c r="C379" s="33" t="s">
        <v>24</v>
      </c>
      <c r="D379" s="34">
        <v>2008</v>
      </c>
      <c r="E379" s="34" t="s">
        <v>111</v>
      </c>
      <c r="F379" s="6">
        <v>8</v>
      </c>
      <c r="G379" s="6">
        <v>8</v>
      </c>
      <c r="H379" s="6"/>
      <c r="I379" s="6">
        <v>7</v>
      </c>
      <c r="J379" s="6"/>
      <c r="K379" s="6"/>
      <c r="L379" s="6">
        <v>6</v>
      </c>
      <c r="M379" s="6"/>
      <c r="N379" s="6"/>
      <c r="O379" s="6"/>
      <c r="P379" s="6">
        <v>8</v>
      </c>
      <c r="Q379" s="6"/>
      <c r="R379" s="6"/>
      <c r="S379" s="35">
        <f>SUM(F379:R379)</f>
        <v>37</v>
      </c>
      <c r="T379" s="35">
        <f>COUNT(F379:R379)</f>
        <v>5</v>
      </c>
      <c r="U379" s="36">
        <f>IF(T379&gt;=2,ROUND((IF(T379=2,0.55,IF(T379&lt;=4,0.7,IF(T379&lt;=6,0.8,IF(T379&lt;=9,0.9,1))))*(S379/T379)+(1-(IF(T379=2,0.55,IF(T379&lt;=4,0.7,IF(T379&lt;=6,0.8,IF(T379&lt;=9,0.9,1))))))*$Y$1),1),"")</f>
        <v>7.5</v>
      </c>
      <c r="V379" s="37">
        <v>7.5</v>
      </c>
      <c r="W379" s="38"/>
    </row>
    <row r="380" ht="24" customHeight="1" spans="1:23" x14ac:dyDescent="0.25">
      <c r="A380" s="31">
        <v>1859</v>
      </c>
      <c r="B380" s="32" t="s">
        <v>442</v>
      </c>
      <c r="C380" s="33" t="s">
        <v>24</v>
      </c>
      <c r="D380" s="34">
        <v>2023</v>
      </c>
      <c r="E380" s="34" t="s">
        <v>25</v>
      </c>
      <c r="F380" s="6"/>
      <c r="G380" s="6">
        <v>7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35">
        <f>SUM(F380:R380)</f>
        <v>7</v>
      </c>
      <c r="T380" s="35">
        <f>COUNT(F380:R380)</f>
        <v>1</v>
      </c>
      <c r="U380" s="36">
        <f>IF(T380&gt;=2,ROUND((IF(T380=2,0.55,IF(T380&lt;=4,0.7,IF(T380&lt;=6,0.8,IF(T380&lt;=9,0.9,1))))*(S380/T380)+(1-(IF(T380=2,0.55,IF(T380&lt;=4,0.7,IF(T380&lt;=6,0.8,IF(T380&lt;=9,0.9,1))))))*$Y$1),1),"")</f>
      </c>
      <c r="V380" s="37">
        <v>7.6</v>
      </c>
      <c r="W380" s="38"/>
    </row>
    <row r="381" ht="24" customHeight="1" spans="1:23" x14ac:dyDescent="0.25">
      <c r="A381" s="31">
        <v>1065</v>
      </c>
      <c r="B381" s="32" t="s">
        <v>443</v>
      </c>
      <c r="C381" s="33" t="s">
        <v>24</v>
      </c>
      <c r="D381" s="34">
        <v>2018</v>
      </c>
      <c r="E381" s="34" t="s">
        <v>30</v>
      </c>
      <c r="F381" s="6"/>
      <c r="G381" s="6"/>
      <c r="H381" s="6"/>
      <c r="I381" s="6"/>
      <c r="J381" s="6">
        <v>6</v>
      </c>
      <c r="K381" s="6">
        <v>8</v>
      </c>
      <c r="L381" s="6"/>
      <c r="M381" s="6"/>
      <c r="N381" s="6"/>
      <c r="O381" s="6">
        <v>6</v>
      </c>
      <c r="P381" s="6"/>
      <c r="Q381" s="6">
        <v>8</v>
      </c>
      <c r="R381" s="6"/>
      <c r="S381" s="35">
        <f>SUM(F381:R381)</f>
        <v>28</v>
      </c>
      <c r="T381" s="35">
        <f>COUNT(F381:R381)</f>
        <v>4</v>
      </c>
      <c r="U381" s="36">
        <f>IF(T381&gt;=2,ROUND((IF(T381=2,0.55,IF(T381&lt;=4,0.7,IF(T381&lt;=6,0.8,IF(T381&lt;=9,0.9,1))))*(S381/T381)+(1-(IF(T381=2,0.55,IF(T381&lt;=4,0.7,IF(T381&lt;=6,0.8,IF(T381&lt;=9,0.9,1))))))*$Y$1),1),"")</f>
        <v>7.3</v>
      </c>
      <c r="V381" s="37">
        <v>6.6</v>
      </c>
      <c r="W381" s="38"/>
    </row>
    <row r="382" ht="24" customHeight="1" spans="1:23" x14ac:dyDescent="0.25">
      <c r="A382" s="31">
        <v>126</v>
      </c>
      <c r="B382" s="32" t="s">
        <v>444</v>
      </c>
      <c r="C382" s="33" t="s">
        <v>24</v>
      </c>
      <c r="D382" s="34">
        <v>1981</v>
      </c>
      <c r="E382" s="34" t="s">
        <v>25</v>
      </c>
      <c r="F382" s="6">
        <v>10</v>
      </c>
      <c r="G382" s="6">
        <v>9</v>
      </c>
      <c r="H382" s="6"/>
      <c r="I382" s="6">
        <v>6</v>
      </c>
      <c r="J382" s="6"/>
      <c r="K382" s="6"/>
      <c r="L382" s="6"/>
      <c r="M382" s="6"/>
      <c r="N382" s="6"/>
      <c r="O382" s="6"/>
      <c r="P382" s="6">
        <v>8</v>
      </c>
      <c r="Q382" s="6"/>
      <c r="R382" s="6"/>
      <c r="S382" s="35">
        <f>SUM(F382:R382)</f>
        <v>33</v>
      </c>
      <c r="T382" s="35">
        <f>COUNT(F382:R382)</f>
        <v>4</v>
      </c>
      <c r="U382" s="36">
        <f>IF(T382&gt;=2,ROUND((IF(T382=2,0.55,IF(T382&lt;=4,0.7,IF(T382&lt;=6,0.8,IF(T382&lt;=9,0.9,1))))*(S382/T382)+(1-(IF(T382=2,0.55,IF(T382&lt;=4,0.7,IF(T382&lt;=6,0.8,IF(T382&lt;=9,0.9,1))))))*$Y$1),1),"")</f>
        <v>8.2</v>
      </c>
      <c r="V382" s="37">
        <v>7.3</v>
      </c>
      <c r="W382" s="38"/>
    </row>
    <row r="383" ht="24" customHeight="1" spans="1:23" x14ac:dyDescent="0.25">
      <c r="A383" s="31">
        <v>831</v>
      </c>
      <c r="B383" s="32" t="s">
        <v>445</v>
      </c>
      <c r="C383" s="33" t="s">
        <v>24</v>
      </c>
      <c r="D383" s="34">
        <v>2019</v>
      </c>
      <c r="E383" s="34" t="s">
        <v>446</v>
      </c>
      <c r="F383" s="6">
        <v>8</v>
      </c>
      <c r="G383" s="6">
        <v>7</v>
      </c>
      <c r="H383" s="6">
        <v>7</v>
      </c>
      <c r="I383" s="6">
        <v>7</v>
      </c>
      <c r="J383" s="6">
        <v>9</v>
      </c>
      <c r="K383" s="6"/>
      <c r="L383" s="6">
        <v>6</v>
      </c>
      <c r="M383" s="6"/>
      <c r="N383" s="6"/>
      <c r="O383" s="6"/>
      <c r="P383" s="6">
        <v>8</v>
      </c>
      <c r="Q383" s="6"/>
      <c r="R383" s="6"/>
      <c r="S383" s="35">
        <f>SUM(F383:R383)</f>
        <v>52</v>
      </c>
      <c r="T383" s="35">
        <f>COUNT(F383:R383)</f>
        <v>7</v>
      </c>
      <c r="U383" s="36">
        <f>IF(T383&gt;=2,ROUND((IF(T383=2,0.55,IF(T383&lt;=4,0.7,IF(T383&lt;=6,0.8,IF(T383&lt;=9,0.9,1))))*(S383/T383)+(1-(IF(T383=2,0.55,IF(T383&lt;=4,0.7,IF(T383&lt;=6,0.8,IF(T383&lt;=9,0.9,1))))))*$Y$1),1),"")</f>
        <v>7.5</v>
      </c>
      <c r="V383" s="37">
        <v>8</v>
      </c>
      <c r="W383" s="38"/>
    </row>
    <row r="384" ht="24" customHeight="1" spans="1:23" x14ac:dyDescent="0.25">
      <c r="A384" s="31">
        <v>1959</v>
      </c>
      <c r="B384" s="32" t="s">
        <v>447</v>
      </c>
      <c r="C384" s="33" t="s">
        <v>24</v>
      </c>
      <c r="D384" s="34">
        <v>2021</v>
      </c>
      <c r="E384" s="34" t="s">
        <v>30</v>
      </c>
      <c r="F384" s="6"/>
      <c r="G384" s="6"/>
      <c r="H384" s="6"/>
      <c r="I384" s="6"/>
      <c r="J384" s="6"/>
      <c r="K384" s="6"/>
      <c r="L384" s="6"/>
      <c r="M384" s="6"/>
      <c r="N384" s="6"/>
      <c r="O384" s="6">
        <v>8</v>
      </c>
      <c r="P384" s="6"/>
      <c r="Q384" s="6"/>
      <c r="R384" s="6"/>
      <c r="S384" s="35">
        <f>SUM(F384:R384)</f>
        <v>8</v>
      </c>
      <c r="T384" s="35">
        <f>COUNT(F384:R384)</f>
        <v>1</v>
      </c>
      <c r="U384" s="36">
        <f>IF(T384&gt;=2,ROUND((IF(T384=2,0.55,IF(T384&lt;=4,0.7,IF(T384&lt;=6,0.8,IF(T384&lt;=9,0.9,1))))*(S384/T384)+(1-(IF(T384=2,0.55,IF(T384&lt;=4,0.7,IF(T384&lt;=6,0.8,IF(T384&lt;=9,0.9,1))))))*$Y$1),1),"")</f>
      </c>
      <c r="V384" s="37">
        <v>6.7</v>
      </c>
      <c r="W384" s="38"/>
    </row>
    <row r="385" ht="24" customHeight="1" spans="1:23" x14ac:dyDescent="0.25">
      <c r="A385" s="31">
        <v>1622</v>
      </c>
      <c r="B385" s="32" t="s">
        <v>448</v>
      </c>
      <c r="C385" s="33" t="s">
        <v>24</v>
      </c>
      <c r="D385" s="34">
        <v>2021</v>
      </c>
      <c r="E385" s="34" t="s">
        <v>30</v>
      </c>
      <c r="F385" s="6">
        <v>7</v>
      </c>
      <c r="G385" s="6"/>
      <c r="H385" s="6"/>
      <c r="I385" s="6"/>
      <c r="J385" s="6">
        <v>8</v>
      </c>
      <c r="K385" s="6"/>
      <c r="L385" s="6"/>
      <c r="M385" s="6"/>
      <c r="N385" s="6"/>
      <c r="O385" s="6"/>
      <c r="P385" s="6"/>
      <c r="Q385" s="6"/>
      <c r="R385" s="6"/>
      <c r="S385" s="35">
        <f>SUM(F385:R385)</f>
        <v>15</v>
      </c>
      <c r="T385" s="35">
        <f>COUNT(F385:R385)</f>
        <v>2</v>
      </c>
      <c r="U385" s="36">
        <f>IF(T385&gt;=2,ROUND((IF(T385=2,0.55,IF(T385&lt;=4,0.7,IF(T385&lt;=6,0.8,IF(T385&lt;=9,0.9,1))))*(S385/T385)+(1-(IF(T385=2,0.55,IF(T385&lt;=4,0.7,IF(T385&lt;=6,0.8,IF(T385&lt;=9,0.9,1))))))*$Y$1),1),"")</f>
        <v>7.8</v>
      </c>
      <c r="V385" s="37">
        <v>7.3</v>
      </c>
      <c r="W385" s="38"/>
    </row>
    <row r="386" ht="24" customHeight="1" spans="1:23" x14ac:dyDescent="0.25">
      <c r="A386" s="31">
        <v>429</v>
      </c>
      <c r="B386" s="32" t="s">
        <v>449</v>
      </c>
      <c r="C386" s="33" t="s">
        <v>24</v>
      </c>
      <c r="D386" s="34">
        <v>2014</v>
      </c>
      <c r="E386" s="34" t="s">
        <v>179</v>
      </c>
      <c r="F386" s="6"/>
      <c r="G386" s="6"/>
      <c r="H386" s="6">
        <v>6</v>
      </c>
      <c r="I386" s="6"/>
      <c r="J386" s="6"/>
      <c r="K386" s="6">
        <v>10</v>
      </c>
      <c r="L386" s="6"/>
      <c r="M386" s="6"/>
      <c r="N386" s="6"/>
      <c r="O386" s="6"/>
      <c r="P386" s="6"/>
      <c r="Q386" s="6">
        <v>10</v>
      </c>
      <c r="R386" s="6">
        <v>4</v>
      </c>
      <c r="S386" s="35">
        <f>SUM(F386:R386)</f>
        <v>30</v>
      </c>
      <c r="T386" s="35">
        <f>COUNT(F386:R386)</f>
        <v>4</v>
      </c>
      <c r="U386" s="36">
        <f>IF(T386&gt;=2,ROUND((IF(T386=2,0.55,IF(T386&lt;=4,0.7,IF(T386&lt;=6,0.8,IF(T386&lt;=9,0.9,1))))*(S386/T386)+(1-(IF(T386=2,0.55,IF(T386&lt;=4,0.7,IF(T386&lt;=6,0.8,IF(T386&lt;=9,0.9,1))))))*$Y$1),1),"")</f>
        <v>7.7</v>
      </c>
      <c r="V386" s="37">
        <v>7</v>
      </c>
      <c r="W386" s="38"/>
    </row>
    <row r="387" ht="24" customHeight="1" spans="1:23" x14ac:dyDescent="0.25">
      <c r="A387" s="31">
        <v>1225</v>
      </c>
      <c r="B387" s="32" t="s">
        <v>450</v>
      </c>
      <c r="C387" s="33" t="s">
        <v>24</v>
      </c>
      <c r="D387" s="34">
        <v>2021</v>
      </c>
      <c r="E387" s="34" t="s">
        <v>25</v>
      </c>
      <c r="F387" s="6"/>
      <c r="G387" s="6"/>
      <c r="H387" s="6"/>
      <c r="I387" s="6"/>
      <c r="J387" s="6"/>
      <c r="K387" s="6">
        <v>8</v>
      </c>
      <c r="L387" s="6"/>
      <c r="M387" s="6"/>
      <c r="N387" s="6"/>
      <c r="O387" s="6"/>
      <c r="P387" s="6"/>
      <c r="Q387" s="6">
        <v>8</v>
      </c>
      <c r="R387" s="6"/>
      <c r="S387" s="35">
        <f>SUM(F387:R387)</f>
        <v>16</v>
      </c>
      <c r="T387" s="35">
        <f>COUNT(F387:R387)</f>
        <v>2</v>
      </c>
      <c r="U387" s="36">
        <f>IF(T387&gt;=2,ROUND((IF(T387=2,0.55,IF(T387&lt;=4,0.7,IF(T387&lt;=6,0.8,IF(T387&lt;=9,0.9,1))))*(S387/T387)+(1-(IF(T387=2,0.55,IF(T387&lt;=4,0.7,IF(T387&lt;=6,0.8,IF(T387&lt;=9,0.9,1))))))*$Y$1),1),"")</f>
        <v>8</v>
      </c>
      <c r="V387" s="37">
        <v>6.6</v>
      </c>
      <c r="W387" s="38"/>
    </row>
    <row r="388" ht="24" customHeight="1" spans="1:23" x14ac:dyDescent="0.25">
      <c r="A388" s="31">
        <v>1486</v>
      </c>
      <c r="B388" s="32" t="s">
        <v>451</v>
      </c>
      <c r="C388" s="33" t="s">
        <v>24</v>
      </c>
      <c r="D388" s="34">
        <v>2020</v>
      </c>
      <c r="E388" s="34" t="s">
        <v>30</v>
      </c>
      <c r="F388" s="6">
        <v>8</v>
      </c>
      <c r="G388" s="6"/>
      <c r="H388" s="6"/>
      <c r="I388" s="6"/>
      <c r="J388" s="6"/>
      <c r="K388" s="6">
        <v>9</v>
      </c>
      <c r="L388" s="6"/>
      <c r="M388" s="6"/>
      <c r="N388" s="6"/>
      <c r="O388" s="6">
        <v>8</v>
      </c>
      <c r="P388" s="6"/>
      <c r="Q388" s="6">
        <v>9</v>
      </c>
      <c r="R388" s="6">
        <v>9</v>
      </c>
      <c r="S388" s="35">
        <f>SUM(F388:R388)</f>
        <v>43</v>
      </c>
      <c r="T388" s="35">
        <f>COUNT(F388:R388)</f>
        <v>5</v>
      </c>
      <c r="U388" s="36">
        <f>IF(T388&gt;=2,ROUND((IF(T388=2,0.55,IF(T388&lt;=4,0.7,IF(T388&lt;=6,0.8,IF(T388&lt;=9,0.9,1))))*(S388/T388)+(1-(IF(T388=2,0.55,IF(T388&lt;=4,0.7,IF(T388&lt;=6,0.8,IF(T388&lt;=9,0.9,1))))))*$Y$1),1),"")</f>
        <v>8.5</v>
      </c>
      <c r="V388" s="37">
        <v>6.6</v>
      </c>
      <c r="W388" s="38"/>
    </row>
    <row r="389" ht="24" customHeight="1" spans="1:23" x14ac:dyDescent="0.25">
      <c r="A389" s="31">
        <v>1613</v>
      </c>
      <c r="B389" s="32" t="s">
        <v>452</v>
      </c>
      <c r="C389" s="33" t="s">
        <v>24</v>
      </c>
      <c r="D389" s="34">
        <v>2019</v>
      </c>
      <c r="E389" s="34" t="s">
        <v>30</v>
      </c>
      <c r="F389" s="6"/>
      <c r="G389" s="6"/>
      <c r="H389" s="6"/>
      <c r="I389" s="6"/>
      <c r="J389" s="6"/>
      <c r="K389" s="6"/>
      <c r="L389" s="6"/>
      <c r="M389" s="6"/>
      <c r="N389" s="6"/>
      <c r="O389" s="6">
        <v>7</v>
      </c>
      <c r="P389" s="6"/>
      <c r="Q389" s="6"/>
      <c r="R389" s="6"/>
      <c r="S389" s="35">
        <f>SUM(F389:R389)</f>
        <v>7</v>
      </c>
      <c r="T389" s="35">
        <f>COUNT(F389:R389)</f>
        <v>1</v>
      </c>
      <c r="U389" s="36">
        <f>IF(T389&gt;=2,ROUND((IF(T389=2,0.55,IF(T389&lt;=4,0.7,IF(T389&lt;=6,0.8,IF(T389&lt;=9,0.9,1))))*(S389/T389)+(1-(IF(T389=2,0.55,IF(T389&lt;=4,0.7,IF(T389&lt;=6,0.8,IF(T389&lt;=9,0.9,1))))))*$Y$1),1),"")</f>
      </c>
      <c r="V389" s="37">
        <v>6.2</v>
      </c>
      <c r="W389" s="38"/>
    </row>
    <row r="390" ht="24" customHeight="1" spans="1:23" x14ac:dyDescent="0.25">
      <c r="A390" s="31">
        <v>1176</v>
      </c>
      <c r="B390" s="32" t="s">
        <v>453</v>
      </c>
      <c r="C390" s="33" t="s">
        <v>24</v>
      </c>
      <c r="D390" s="34">
        <v>2020</v>
      </c>
      <c r="E390" s="34" t="s">
        <v>30</v>
      </c>
      <c r="F390" s="6"/>
      <c r="G390" s="6"/>
      <c r="H390" s="6"/>
      <c r="I390" s="6"/>
      <c r="J390" s="6"/>
      <c r="K390" s="6"/>
      <c r="L390" s="6"/>
      <c r="M390" s="6"/>
      <c r="N390" s="6">
        <v>6</v>
      </c>
      <c r="O390" s="6"/>
      <c r="P390" s="6"/>
      <c r="Q390" s="6"/>
      <c r="R390" s="6"/>
      <c r="S390" s="35">
        <f>SUM(F390:R390)</f>
        <v>6</v>
      </c>
      <c r="T390" s="35">
        <f>COUNT(F390:R390)</f>
        <v>1</v>
      </c>
      <c r="U390" s="36">
        <f>IF(T390&gt;=2,ROUND((IF(T390=2,0.55,IF(T390&lt;=4,0.7,IF(T390&lt;=6,0.8,IF(T390&lt;=9,0.9,1))))*(S390/T390)+(1-(IF(T390=2,0.55,IF(T390&lt;=4,0.7,IF(T390&lt;=6,0.8,IF(T390&lt;=9,0.9,1))))))*$Y$1),1),"")</f>
      </c>
      <c r="V390" s="37">
        <v>6.8</v>
      </c>
      <c r="W390" s="38"/>
    </row>
    <row r="391" ht="24" customHeight="1" spans="1:23" x14ac:dyDescent="0.25">
      <c r="A391" s="31">
        <v>892</v>
      </c>
      <c r="B391" s="32" t="s">
        <v>454</v>
      </c>
      <c r="C391" s="33" t="s">
        <v>24</v>
      </c>
      <c r="D391" s="34">
        <v>2000</v>
      </c>
      <c r="E391" s="34" t="s">
        <v>27</v>
      </c>
      <c r="F391" s="6">
        <v>8</v>
      </c>
      <c r="G391" s="6">
        <v>7</v>
      </c>
      <c r="H391" s="6">
        <v>6</v>
      </c>
      <c r="I391" s="6"/>
      <c r="J391" s="6">
        <v>10</v>
      </c>
      <c r="K391" s="6"/>
      <c r="L391" s="6"/>
      <c r="M391" s="6"/>
      <c r="N391" s="6"/>
      <c r="O391" s="6"/>
      <c r="P391" s="6">
        <v>6</v>
      </c>
      <c r="Q391" s="6"/>
      <c r="R391" s="6">
        <v>10</v>
      </c>
      <c r="S391" s="35">
        <f>SUM(F391:R391)</f>
        <v>47</v>
      </c>
      <c r="T391" s="35">
        <f>COUNT(F391:R391)</f>
        <v>6</v>
      </c>
      <c r="U391" s="36">
        <f>IF(T391&gt;=2,ROUND((IF(T391=2,0.55,IF(T391&lt;=4,0.7,IF(T391&lt;=6,0.8,IF(T391&lt;=9,0.9,1))))*(S391/T391)+(1-(IF(T391=2,0.55,IF(T391&lt;=4,0.7,IF(T391&lt;=6,0.8,IF(T391&lt;=9,0.9,1))))))*$Y$1),1),"")</f>
        <v>7.9</v>
      </c>
      <c r="V391" s="37">
        <v>8.3</v>
      </c>
      <c r="W391" s="38"/>
    </row>
    <row r="392" ht="24" customHeight="1" spans="1:23" x14ac:dyDescent="0.25">
      <c r="A392" s="31">
        <v>1831</v>
      </c>
      <c r="B392" s="32" t="s">
        <v>455</v>
      </c>
      <c r="C392" s="33" t="s">
        <v>24</v>
      </c>
      <c r="D392" s="34">
        <v>2023</v>
      </c>
      <c r="E392" s="34" t="s">
        <v>25</v>
      </c>
      <c r="F392" s="6"/>
      <c r="G392" s="6">
        <v>9</v>
      </c>
      <c r="H392" s="6"/>
      <c r="I392" s="6">
        <v>9</v>
      </c>
      <c r="J392" s="6">
        <v>9</v>
      </c>
      <c r="K392" s="6">
        <v>8</v>
      </c>
      <c r="L392" s="6">
        <v>8</v>
      </c>
      <c r="M392" s="6"/>
      <c r="N392" s="6">
        <v>9</v>
      </c>
      <c r="O392" s="6">
        <v>8</v>
      </c>
      <c r="P392" s="6">
        <v>8</v>
      </c>
      <c r="Q392" s="6">
        <v>8</v>
      </c>
      <c r="R392" s="6"/>
      <c r="S392" s="35">
        <f>SUM(F392:R392)</f>
        <v>76</v>
      </c>
      <c r="T392" s="35">
        <f>COUNT(F392:R392)</f>
        <v>9</v>
      </c>
      <c r="U392" s="36">
        <f>IF(T392&gt;=2,ROUND((IF(T392=2,0.55,IF(T392&lt;=4,0.7,IF(T392&lt;=6,0.8,IF(T392&lt;=9,0.9,1))))*(S392/T392)+(1-(IF(T392=2,0.55,IF(T392&lt;=4,0.7,IF(T392&lt;=6,0.8,IF(T392&lt;=9,0.9,1))))))*$Y$1),1),"")</f>
        <v>8.4</v>
      </c>
      <c r="V392" s="37">
        <v>8.7</v>
      </c>
      <c r="W392" s="38"/>
    </row>
    <row r="393" ht="24" customHeight="1" spans="1:23" x14ac:dyDescent="0.25">
      <c r="A393" s="31">
        <v>125</v>
      </c>
      <c r="B393" s="32" t="s">
        <v>456</v>
      </c>
      <c r="C393" s="33" t="s">
        <v>114</v>
      </c>
      <c r="D393" s="34">
        <v>2014</v>
      </c>
      <c r="E393" s="34" t="s">
        <v>92</v>
      </c>
      <c r="F393" s="6">
        <v>8</v>
      </c>
      <c r="G393" s="6">
        <v>8</v>
      </c>
      <c r="H393" s="6">
        <v>8</v>
      </c>
      <c r="I393" s="6">
        <v>8</v>
      </c>
      <c r="J393" s="6">
        <v>9</v>
      </c>
      <c r="K393" s="6">
        <v>10</v>
      </c>
      <c r="L393" s="6">
        <v>8</v>
      </c>
      <c r="M393" s="6"/>
      <c r="N393" s="6">
        <v>8</v>
      </c>
      <c r="O393" s="6">
        <v>8</v>
      </c>
      <c r="P393" s="6">
        <v>8</v>
      </c>
      <c r="Q393" s="6">
        <v>10</v>
      </c>
      <c r="R393" s="6">
        <v>10</v>
      </c>
      <c r="S393" s="35">
        <f>SUM(F393:R393)</f>
        <v>103</v>
      </c>
      <c r="T393" s="35">
        <f>COUNT(F393:R393)</f>
        <v>12</v>
      </c>
      <c r="U393" s="36">
        <f>IF(T393&gt;=2,ROUND((IF(T393=2,0.55,IF(T393&lt;=4,0.7,IF(T393&lt;=6,0.8,IF(T393&lt;=9,0.9,1))))*(S393/T393)+(1-(IF(T393=2,0.55,IF(T393&lt;=4,0.7,IF(T393&lt;=6,0.8,IF(T393&lt;=9,0.9,1))))))*$Y$1),1),"")</f>
        <v>8.6</v>
      </c>
      <c r="V393" s="37">
        <v>8.1</v>
      </c>
      <c r="W393" s="38"/>
    </row>
    <row r="394" ht="47.25" customHeight="1" spans="1:23" x14ac:dyDescent="0.25">
      <c r="A394" s="31">
        <v>923</v>
      </c>
      <c r="B394" s="32" t="s">
        <v>457</v>
      </c>
      <c r="C394" s="33" t="s">
        <v>24</v>
      </c>
      <c r="D394" s="34">
        <v>2020</v>
      </c>
      <c r="E394" s="34" t="s">
        <v>30</v>
      </c>
      <c r="F394" s="6">
        <v>6</v>
      </c>
      <c r="G394" s="6">
        <v>7</v>
      </c>
      <c r="H394" s="6">
        <v>8</v>
      </c>
      <c r="I394" s="6"/>
      <c r="J394" s="6">
        <v>6</v>
      </c>
      <c r="K394" s="6"/>
      <c r="L394" s="6"/>
      <c r="M394" s="6"/>
      <c r="N394" s="6"/>
      <c r="O394" s="6">
        <v>8</v>
      </c>
      <c r="P394" s="6"/>
      <c r="Q394" s="6"/>
      <c r="R394" s="6"/>
      <c r="S394" s="35">
        <f>SUM(F394:R394)</f>
        <v>35</v>
      </c>
      <c r="T394" s="35">
        <f>COUNT(F394:R394)</f>
        <v>5</v>
      </c>
      <c r="U394" s="36">
        <f>IF(T394&gt;=2,ROUND((IF(T394=2,0.55,IF(T394&lt;=4,0.7,IF(T394&lt;=6,0.8,IF(T394&lt;=9,0.9,1))))*(S394/T394)+(1-(IF(T394=2,0.55,IF(T394&lt;=4,0.7,IF(T394&lt;=6,0.8,IF(T394&lt;=9,0.9,1))))))*$Y$1),1),"")</f>
        <v>7.2</v>
      </c>
      <c r="V394" s="37">
        <v>6.8</v>
      </c>
      <c r="W394" s="38"/>
    </row>
    <row r="395" ht="47.25" customHeight="1" spans="1:23" x14ac:dyDescent="0.25">
      <c r="A395" s="31">
        <v>1359</v>
      </c>
      <c r="B395" s="32" t="s">
        <v>458</v>
      </c>
      <c r="C395" s="33" t="s">
        <v>24</v>
      </c>
      <c r="D395" s="34">
        <v>2007</v>
      </c>
      <c r="E395" s="34" t="s">
        <v>106</v>
      </c>
      <c r="F395" s="6"/>
      <c r="G395" s="6"/>
      <c r="H395" s="6"/>
      <c r="I395" s="6"/>
      <c r="J395" s="6"/>
      <c r="K395" s="6"/>
      <c r="L395" s="6">
        <v>7</v>
      </c>
      <c r="M395" s="6"/>
      <c r="N395" s="6"/>
      <c r="O395" s="6">
        <v>8</v>
      </c>
      <c r="P395" s="6"/>
      <c r="Q395" s="6"/>
      <c r="R395" s="6"/>
      <c r="S395" s="35">
        <f>SUM(F395:R395)</f>
        <v>15</v>
      </c>
      <c r="T395" s="35">
        <f>COUNT(F395:R395)</f>
        <v>2</v>
      </c>
      <c r="U395" s="36">
        <f>IF(T395&gt;=2,ROUND((IF(T395=2,0.55,IF(T395&lt;=4,0.7,IF(T395&lt;=6,0.8,IF(T395&lt;=9,0.9,1))))*(S395/T395)+(1-(IF(T395=2,0.55,IF(T395&lt;=4,0.7,IF(T395&lt;=6,0.8,IF(T395&lt;=9,0.9,1))))))*$Y$1),1),"")</f>
        <v>7.8</v>
      </c>
      <c r="V395" s="37">
        <v>7.4</v>
      </c>
      <c r="W395" s="38"/>
    </row>
    <row r="396" ht="24" customHeight="1" spans="1:23" x14ac:dyDescent="0.25">
      <c r="A396" s="31">
        <v>1154</v>
      </c>
      <c r="B396" s="32" t="s">
        <v>459</v>
      </c>
      <c r="C396" s="33" t="s">
        <v>29</v>
      </c>
      <c r="D396" s="34">
        <v>2013</v>
      </c>
      <c r="E396" s="34" t="s">
        <v>69</v>
      </c>
      <c r="F396" s="6"/>
      <c r="G396" s="6"/>
      <c r="H396" s="6">
        <v>10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35">
        <f>SUM(F396:R396)</f>
        <v>10</v>
      </c>
      <c r="T396" s="35">
        <f>COUNT(F396:R396)</f>
        <v>1</v>
      </c>
      <c r="U396" s="36">
        <f>IF(T396&gt;=2,ROUND((IF(T396=2,0.55,IF(T396&lt;=4,0.7,IF(T396&lt;=6,0.8,IF(T396&lt;=9,0.9,1))))*(S396/T396)+(1-(IF(T396=2,0.55,IF(T396&lt;=4,0.7,IF(T396&lt;=6,0.8,IF(T396&lt;=9,0.9,1))))))*$Y$1),1),"")</f>
      </c>
      <c r="V396" s="37">
        <v>7.4</v>
      </c>
      <c r="W396" s="38"/>
    </row>
    <row r="397" ht="24" customHeight="1" spans="1:23" x14ac:dyDescent="0.25">
      <c r="A397" s="31">
        <v>1329</v>
      </c>
      <c r="B397" s="32" t="s">
        <v>460</v>
      </c>
      <c r="C397" s="33" t="s">
        <v>114</v>
      </c>
      <c r="D397" s="34">
        <v>2015</v>
      </c>
      <c r="E397" s="34" t="s">
        <v>30</v>
      </c>
      <c r="F397" s="6"/>
      <c r="G397" s="6"/>
      <c r="H397" s="6"/>
      <c r="I397" s="6"/>
      <c r="J397" s="6"/>
      <c r="K397" s="6"/>
      <c r="L397" s="6"/>
      <c r="M397" s="6"/>
      <c r="N397" s="6">
        <v>7</v>
      </c>
      <c r="O397" s="6"/>
      <c r="P397" s="6"/>
      <c r="Q397" s="6"/>
      <c r="R397" s="6"/>
      <c r="S397" s="35">
        <f>SUM(F397:R397)</f>
        <v>7</v>
      </c>
      <c r="T397" s="35">
        <f>COUNT(F397:R397)</f>
        <v>1</v>
      </c>
      <c r="U397" s="36">
        <f>IF(T397&gt;=2,ROUND((IF(T397=2,0.55,IF(T397&lt;=4,0.7,IF(T397&lt;=6,0.8,IF(T397&lt;=9,0.9,1))))*(S397/T397)+(1-(IF(T397=2,0.55,IF(T397&lt;=4,0.7,IF(T397&lt;=6,0.8,IF(T397&lt;=9,0.9,1))))))*$Y$1),1),"")</f>
      </c>
      <c r="V397" s="37">
        <v>5.4</v>
      </c>
      <c r="W397" s="38"/>
    </row>
    <row r="398" ht="24" customHeight="1" spans="1:23" x14ac:dyDescent="0.25">
      <c r="A398" s="31">
        <v>604</v>
      </c>
      <c r="B398" s="32" t="s">
        <v>461</v>
      </c>
      <c r="C398" s="33" t="s">
        <v>24</v>
      </c>
      <c r="D398" s="34">
        <v>2013</v>
      </c>
      <c r="E398" s="34" t="s">
        <v>43</v>
      </c>
      <c r="F398" s="6">
        <v>8</v>
      </c>
      <c r="G398" s="6"/>
      <c r="H398" s="6"/>
      <c r="I398" s="6"/>
      <c r="J398" s="6"/>
      <c r="K398" s="6">
        <v>10</v>
      </c>
      <c r="L398" s="6">
        <v>6</v>
      </c>
      <c r="M398" s="6">
        <v>8</v>
      </c>
      <c r="N398" s="6"/>
      <c r="O398" s="6">
        <v>8</v>
      </c>
      <c r="P398" s="6"/>
      <c r="Q398" s="6">
        <v>10</v>
      </c>
      <c r="R398" s="6">
        <v>8</v>
      </c>
      <c r="S398" s="35">
        <f>SUM(F398:R398)</f>
        <v>58</v>
      </c>
      <c r="T398" s="35">
        <f>COUNT(F398:R398)</f>
        <v>7</v>
      </c>
      <c r="U398" s="36">
        <f>IF(T398&gt;=2,ROUND((IF(T398=2,0.55,IF(T398&lt;=4,0.7,IF(T398&lt;=6,0.8,IF(T398&lt;=9,0.9,1))))*(S398/T398)+(1-(IF(T398=2,0.55,IF(T398&lt;=4,0.7,IF(T398&lt;=6,0.8,IF(T398&lt;=9,0.9,1))))))*$Y$1),1),"")</f>
        <v>8.3</v>
      </c>
      <c r="V398" s="37">
        <v>6.9</v>
      </c>
      <c r="W398" s="38"/>
    </row>
    <row r="399" ht="24" customHeight="1" spans="1:23" x14ac:dyDescent="0.25">
      <c r="A399" s="31">
        <v>727</v>
      </c>
      <c r="B399" s="32" t="s">
        <v>462</v>
      </c>
      <c r="C399" s="33" t="s">
        <v>24</v>
      </c>
      <c r="D399" s="34">
        <v>2020</v>
      </c>
      <c r="E399" s="34" t="s">
        <v>30</v>
      </c>
      <c r="F399" s="6"/>
      <c r="G399" s="6">
        <v>8</v>
      </c>
      <c r="H399" s="6"/>
      <c r="I399" s="6"/>
      <c r="J399" s="6"/>
      <c r="K399" s="6"/>
      <c r="L399" s="6"/>
      <c r="M399" s="6"/>
      <c r="N399" s="6"/>
      <c r="O399" s="6"/>
      <c r="P399" s="6">
        <v>8</v>
      </c>
      <c r="Q399" s="6"/>
      <c r="R399" s="6"/>
      <c r="S399" s="35">
        <f>SUM(F399:R399)</f>
        <v>16</v>
      </c>
      <c r="T399" s="35">
        <f>COUNT(F399:R399)</f>
        <v>2</v>
      </c>
      <c r="U399" s="36">
        <f>IF(T399&gt;=2,ROUND((IF(T399=2,0.55,IF(T399&lt;=4,0.7,IF(T399&lt;=6,0.8,IF(T399&lt;=9,0.9,1))))*(S399/T399)+(1-(IF(T399=2,0.55,IF(T399&lt;=4,0.7,IF(T399&lt;=6,0.8,IF(T399&lt;=9,0.9,1))))))*$Y$1),1),"")</f>
        <v>8</v>
      </c>
      <c r="V399" s="37">
        <v>7.1</v>
      </c>
      <c r="W399" s="38"/>
    </row>
    <row r="400" ht="24" customHeight="1" spans="1:23" x14ac:dyDescent="0.25">
      <c r="A400" s="31">
        <v>162</v>
      </c>
      <c r="B400" s="32" t="s">
        <v>463</v>
      </c>
      <c r="C400" s="33" t="s">
        <v>29</v>
      </c>
      <c r="D400" s="34">
        <v>2020</v>
      </c>
      <c r="E400" s="34" t="s">
        <v>30</v>
      </c>
      <c r="F400" s="6">
        <v>8</v>
      </c>
      <c r="G400" s="6"/>
      <c r="H400" s="6"/>
      <c r="I400" s="6"/>
      <c r="J400" s="6"/>
      <c r="K400" s="6"/>
      <c r="L400" s="6">
        <v>8</v>
      </c>
      <c r="M400" s="6">
        <v>8</v>
      </c>
      <c r="N400" s="6">
        <v>10</v>
      </c>
      <c r="O400" s="6"/>
      <c r="P400" s="6"/>
      <c r="Q400" s="6"/>
      <c r="R400" s="6"/>
      <c r="S400" s="35">
        <f>SUM(F400:R400)</f>
        <v>34</v>
      </c>
      <c r="T400" s="35">
        <f>COUNT(F400:R400)</f>
        <v>4</v>
      </c>
      <c r="U400" s="36">
        <f>IF(T400&gt;=2,ROUND((IF(T400=2,0.55,IF(T400&lt;=4,0.7,IF(T400&lt;=6,0.8,IF(T400&lt;=9,0.9,1))))*(S400/T400)+(1-(IF(T400=2,0.55,IF(T400&lt;=4,0.7,IF(T400&lt;=6,0.8,IF(T400&lt;=9,0.9,1))))))*$Y$1),1),"")</f>
        <v>8.4</v>
      </c>
      <c r="V400" s="37">
        <v>7.2</v>
      </c>
      <c r="W400" s="38"/>
    </row>
    <row r="401" ht="24" customHeight="1" spans="1:23" s="39" customFormat="1" x14ac:dyDescent="0.25">
      <c r="A401" s="31">
        <v>1487</v>
      </c>
      <c r="B401" s="32" t="s">
        <v>464</v>
      </c>
      <c r="C401" s="33" t="s">
        <v>29</v>
      </c>
      <c r="D401" s="34">
        <v>2022</v>
      </c>
      <c r="E401" s="34" t="s">
        <v>30</v>
      </c>
      <c r="F401" s="6"/>
      <c r="G401" s="6"/>
      <c r="H401" s="6"/>
      <c r="I401" s="6"/>
      <c r="J401" s="6"/>
      <c r="K401" s="6"/>
      <c r="L401" s="6"/>
      <c r="M401" s="6"/>
      <c r="N401" s="6">
        <v>8</v>
      </c>
      <c r="O401" s="6"/>
      <c r="P401" s="6"/>
      <c r="Q401" s="6"/>
      <c r="R401" s="6"/>
      <c r="S401" s="35">
        <f>SUM(F401:R401)</f>
        <v>8</v>
      </c>
      <c r="T401" s="35">
        <f>COUNT(F401:R401)</f>
        <v>1</v>
      </c>
      <c r="U401" s="36">
        <f>IF(T401&gt;=2,ROUND((IF(T401=2,0.55,IF(T401&lt;=4,0.7,IF(T401&lt;=6,0.8,IF(T401&lt;=9,0.9,1))))*(S401/T401)+(1-(IF(T401=2,0.55,IF(T401&lt;=4,0.7,IF(T401&lt;=6,0.8,IF(T401&lt;=9,0.9,1))))))*$Y$1),1),"")</f>
      </c>
      <c r="V401" s="37">
        <v>7.4</v>
      </c>
      <c r="W401" s="38"/>
    </row>
    <row r="402" ht="24" customHeight="1" spans="1:23" x14ac:dyDescent="0.25">
      <c r="A402" s="31">
        <v>1424</v>
      </c>
      <c r="B402" s="32" t="s">
        <v>465</v>
      </c>
      <c r="C402" s="33" t="s">
        <v>29</v>
      </c>
      <c r="D402" s="34">
        <v>2022</v>
      </c>
      <c r="E402" s="34" t="s">
        <v>30</v>
      </c>
      <c r="F402" s="6"/>
      <c r="G402" s="6"/>
      <c r="H402" s="6"/>
      <c r="I402" s="6">
        <v>7</v>
      </c>
      <c r="J402" s="6"/>
      <c r="K402" s="6">
        <v>8</v>
      </c>
      <c r="L402" s="6">
        <v>7</v>
      </c>
      <c r="M402" s="6"/>
      <c r="N402" s="6"/>
      <c r="O402" s="6"/>
      <c r="P402" s="6"/>
      <c r="Q402" s="6">
        <v>8</v>
      </c>
      <c r="R402" s="6"/>
      <c r="S402" s="35">
        <f>SUM(F402:R402)</f>
        <v>30</v>
      </c>
      <c r="T402" s="35">
        <f>COUNT(F402:R402)</f>
        <v>4</v>
      </c>
      <c r="U402" s="36">
        <f>IF(T402&gt;=2,ROUND((IF(T402=2,0.55,IF(T402&lt;=4,0.7,IF(T402&lt;=6,0.8,IF(T402&lt;=9,0.9,1))))*(S402/T402)+(1-(IF(T402=2,0.55,IF(T402&lt;=4,0.7,IF(T402&lt;=6,0.8,IF(T402&lt;=9,0.9,1))))))*$Y$1),1),"")</f>
        <v>7.7</v>
      </c>
      <c r="V402" s="37">
        <v>7.9</v>
      </c>
      <c r="W402" s="38"/>
    </row>
    <row r="403" ht="24" customHeight="1" spans="1:23" x14ac:dyDescent="0.25">
      <c r="A403" s="31">
        <v>769</v>
      </c>
      <c r="B403" s="32" t="s">
        <v>466</v>
      </c>
      <c r="C403" s="33" t="s">
        <v>24</v>
      </c>
      <c r="D403" s="34">
        <v>2020</v>
      </c>
      <c r="E403" s="34" t="s">
        <v>30</v>
      </c>
      <c r="F403" s="6">
        <v>6</v>
      </c>
      <c r="G403" s="6"/>
      <c r="H403" s="6"/>
      <c r="I403" s="6"/>
      <c r="J403" s="6">
        <v>6</v>
      </c>
      <c r="K403" s="6">
        <v>6</v>
      </c>
      <c r="L403" s="6"/>
      <c r="M403" s="6"/>
      <c r="N403" s="6"/>
      <c r="O403" s="6"/>
      <c r="P403" s="6"/>
      <c r="Q403" s="6">
        <v>6</v>
      </c>
      <c r="R403" s="6"/>
      <c r="S403" s="35">
        <f>SUM(F403:R403)</f>
        <v>24</v>
      </c>
      <c r="T403" s="35">
        <f>COUNT(F403:R403)</f>
        <v>4</v>
      </c>
      <c r="U403" s="36">
        <f>IF(T403&gt;=2,ROUND((IF(T403=2,0.55,IF(T403&lt;=4,0.7,IF(T403&lt;=6,0.8,IF(T403&lt;=9,0.9,1))))*(S403/T403)+(1-(IF(T403=2,0.55,IF(T403&lt;=4,0.7,IF(T403&lt;=6,0.8,IF(T403&lt;=9,0.9,1))))))*$Y$1),1),"")</f>
        <v>6.6</v>
      </c>
      <c r="V403" s="37">
        <v>6.1</v>
      </c>
      <c r="W403" s="38"/>
    </row>
    <row r="404" ht="47.25" customHeight="1" spans="1:23" x14ac:dyDescent="0.25">
      <c r="A404" s="31">
        <v>1788</v>
      </c>
      <c r="B404" s="32" t="s">
        <v>467</v>
      </c>
      <c r="C404" s="33" t="s">
        <v>24</v>
      </c>
      <c r="D404" s="34">
        <v>2015</v>
      </c>
      <c r="E404" s="34" t="s">
        <v>30</v>
      </c>
      <c r="F404" s="6"/>
      <c r="G404" s="6"/>
      <c r="H404" s="6"/>
      <c r="I404" s="6"/>
      <c r="J404" s="6"/>
      <c r="K404" s="6">
        <v>7</v>
      </c>
      <c r="L404" s="6"/>
      <c r="M404" s="6"/>
      <c r="N404" s="6"/>
      <c r="O404" s="6">
        <v>7</v>
      </c>
      <c r="P404" s="6"/>
      <c r="Q404" s="6">
        <v>7</v>
      </c>
      <c r="R404" s="6"/>
      <c r="S404" s="35">
        <f>SUM(F404:R404)</f>
        <v>21</v>
      </c>
      <c r="T404" s="35">
        <f>COUNT(F404:R404)</f>
        <v>3</v>
      </c>
      <c r="U404" s="36">
        <f>IF(T404&gt;=2,ROUND((IF(T404=2,0.55,IF(T404&lt;=4,0.7,IF(T404&lt;=6,0.8,IF(T404&lt;=9,0.9,1))))*(S404/T404)+(1-(IF(T404=2,0.55,IF(T404&lt;=4,0.7,IF(T404&lt;=6,0.8,IF(T404&lt;=9,0.9,1))))))*$Y$1),1),"")</f>
        <v>7.3</v>
      </c>
      <c r="V404" s="37">
        <v>6.7</v>
      </c>
      <c r="W404" s="38"/>
    </row>
    <row r="405" ht="24" customHeight="1" spans="1:23" x14ac:dyDescent="0.25">
      <c r="A405" s="40">
        <v>2289</v>
      </c>
      <c r="B405" s="32" t="s">
        <v>468</v>
      </c>
      <c r="C405" s="33" t="s">
        <v>24</v>
      </c>
      <c r="D405" s="34">
        <v>2012</v>
      </c>
      <c r="E405" s="41"/>
      <c r="F405" s="6"/>
      <c r="G405" s="6">
        <v>8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35">
        <f>SUM(F405:R405)</f>
        <v>8</v>
      </c>
      <c r="T405" s="35">
        <f>COUNT(F405:R405)</f>
        <v>1</v>
      </c>
      <c r="U405" s="36">
        <f>IF(T405&gt;=2,ROUND((IF(T405=2,0.55,IF(T405&lt;=4,0.7,IF(T405&lt;=6,0.8,IF(T405&lt;=9,0.9,1))))*(S405/T405)+(1-(IF(T405=2,0.55,IF(T405&lt;=4,0.7,IF(T405&lt;=6,0.8,IF(T405&lt;=9,0.9,1))))))*$Y$1),1),"")</f>
      </c>
      <c r="V405" s="37">
        <v>6.8</v>
      </c>
      <c r="W405" s="38"/>
    </row>
    <row r="406" ht="24" customHeight="1" spans="1:23" x14ac:dyDescent="0.25">
      <c r="A406" s="31">
        <v>1325</v>
      </c>
      <c r="B406" s="32" t="s">
        <v>469</v>
      </c>
      <c r="C406" s="33" t="s">
        <v>24</v>
      </c>
      <c r="D406" s="34">
        <v>1995</v>
      </c>
      <c r="E406" s="34" t="s">
        <v>30</v>
      </c>
      <c r="F406" s="6"/>
      <c r="G406" s="6">
        <v>8</v>
      </c>
      <c r="H406" s="6"/>
      <c r="I406" s="6"/>
      <c r="J406" s="6"/>
      <c r="K406" s="6">
        <v>8</v>
      </c>
      <c r="L406" s="6">
        <v>8</v>
      </c>
      <c r="M406" s="6"/>
      <c r="N406" s="6"/>
      <c r="O406" s="6"/>
      <c r="P406" s="6"/>
      <c r="Q406" s="6">
        <v>8</v>
      </c>
      <c r="R406" s="6"/>
      <c r="S406" s="35">
        <f>SUM(F406:R406)</f>
        <v>32</v>
      </c>
      <c r="T406" s="35">
        <f>COUNT(F406:R406)</f>
        <v>4</v>
      </c>
      <c r="U406" s="36">
        <f>IF(T406&gt;=2,ROUND((IF(T406=2,0.55,IF(T406&lt;=4,0.7,IF(T406&lt;=6,0.8,IF(T406&lt;=9,0.9,1))))*(S406/T406)+(1-(IF(T406=2,0.55,IF(T406&lt;=4,0.7,IF(T406&lt;=6,0.8,IF(T406&lt;=9,0.9,1))))))*$Y$1),1),"")</f>
        <v>8</v>
      </c>
      <c r="V406" s="37">
        <v>7.7</v>
      </c>
      <c r="W406" s="38"/>
    </row>
    <row r="407" ht="24" customHeight="1" spans="1:23" x14ac:dyDescent="0.25">
      <c r="A407" s="31">
        <v>235</v>
      </c>
      <c r="B407" s="32" t="s">
        <v>470</v>
      </c>
      <c r="C407" s="33" t="s">
        <v>24</v>
      </c>
      <c r="D407" s="34">
        <v>2004</v>
      </c>
      <c r="E407" s="34" t="s">
        <v>30</v>
      </c>
      <c r="F407" s="6">
        <v>8</v>
      </c>
      <c r="G407" s="6">
        <v>7</v>
      </c>
      <c r="H407" s="6">
        <v>10</v>
      </c>
      <c r="I407" s="6">
        <v>10</v>
      </c>
      <c r="J407" s="6">
        <v>10</v>
      </c>
      <c r="K407" s="6">
        <v>10</v>
      </c>
      <c r="L407" s="6">
        <v>8</v>
      </c>
      <c r="M407" s="6">
        <v>8</v>
      </c>
      <c r="N407" s="6">
        <v>10</v>
      </c>
      <c r="O407" s="6"/>
      <c r="P407" s="6">
        <v>10</v>
      </c>
      <c r="Q407" s="6">
        <v>10</v>
      </c>
      <c r="R407" s="6">
        <v>10</v>
      </c>
      <c r="S407" s="35">
        <f>SUM(F407:R407)</f>
        <v>111</v>
      </c>
      <c r="T407" s="35">
        <f>COUNT(F407:R407)</f>
        <v>12</v>
      </c>
      <c r="U407" s="36">
        <f>IF(T407&gt;=2,ROUND((IF(T407=2,0.55,IF(T407&lt;=4,0.7,IF(T407&lt;=6,0.8,IF(T407&lt;=9,0.9,1))))*(S407/T407)+(1-(IF(T407=2,0.55,IF(T407&lt;=4,0.7,IF(T407&lt;=6,0.8,IF(T407&lt;=9,0.9,1))))))*$Y$1),1),"")</f>
        <v>9.3</v>
      </c>
      <c r="V407" s="37">
        <v>7.7</v>
      </c>
      <c r="W407" s="38"/>
    </row>
    <row r="408" ht="24" customHeight="1" spans="1:23" x14ac:dyDescent="0.25">
      <c r="A408" s="31">
        <v>147</v>
      </c>
      <c r="B408" s="32" t="s">
        <v>471</v>
      </c>
      <c r="C408" s="33" t="s">
        <v>24</v>
      </c>
      <c r="D408" s="34">
        <v>2012</v>
      </c>
      <c r="E408" s="34" t="s">
        <v>30</v>
      </c>
      <c r="F408" s="6"/>
      <c r="G408" s="6"/>
      <c r="H408" s="6"/>
      <c r="I408" s="6"/>
      <c r="J408" s="6"/>
      <c r="K408" s="6">
        <v>6</v>
      </c>
      <c r="L408" s="6"/>
      <c r="M408" s="6"/>
      <c r="N408" s="6">
        <v>6</v>
      </c>
      <c r="O408" s="6"/>
      <c r="P408" s="6"/>
      <c r="Q408" s="6">
        <v>6</v>
      </c>
      <c r="R408" s="6"/>
      <c r="S408" s="35">
        <f>SUM(F408:R408)</f>
        <v>18</v>
      </c>
      <c r="T408" s="35">
        <f>COUNT(F408:R408)</f>
        <v>3</v>
      </c>
      <c r="U408" s="36">
        <f>IF(T408&gt;=2,ROUND((IF(T408=2,0.55,IF(T408&lt;=4,0.7,IF(T408&lt;=6,0.8,IF(T408&lt;=9,0.9,1))))*(S408/T408)+(1-(IF(T408=2,0.55,IF(T408&lt;=4,0.7,IF(T408&lt;=6,0.8,IF(T408&lt;=9,0.9,1))))))*$Y$1),1),"")</f>
        <v>6.6</v>
      </c>
      <c r="V408" s="37">
        <v>7.9</v>
      </c>
      <c r="W408" s="38"/>
    </row>
    <row r="409" ht="24" customHeight="1" spans="1:23" x14ac:dyDescent="0.25">
      <c r="A409" s="31">
        <v>1575</v>
      </c>
      <c r="B409" s="32" t="s">
        <v>472</v>
      </c>
      <c r="C409" s="33" t="s">
        <v>29</v>
      </c>
      <c r="D409" s="34">
        <v>2023</v>
      </c>
      <c r="E409" s="34" t="s">
        <v>30</v>
      </c>
      <c r="F409" s="6"/>
      <c r="G409" s="6"/>
      <c r="H409" s="6"/>
      <c r="I409" s="6"/>
      <c r="J409" s="6"/>
      <c r="K409" s="6"/>
      <c r="L409" s="6"/>
      <c r="M409" s="6"/>
      <c r="N409" s="6"/>
      <c r="O409" s="6">
        <v>7</v>
      </c>
      <c r="P409" s="6"/>
      <c r="Q409" s="6"/>
      <c r="R409" s="6"/>
      <c r="S409" s="35">
        <f>SUM(F409:R409)</f>
        <v>7</v>
      </c>
      <c r="T409" s="35">
        <f>COUNT(F409:R409)</f>
        <v>1</v>
      </c>
      <c r="U409" s="36">
        <f>IF(T409&gt;=2,ROUND((IF(T409=2,0.55,IF(T409&lt;=4,0.7,IF(T409&lt;=6,0.8,IF(T409&lt;=9,0.9,1))))*(S409/T409)+(1-(IF(T409=2,0.55,IF(T409&lt;=4,0.7,IF(T409&lt;=6,0.8,IF(T409&lt;=9,0.9,1))))))*$Y$1),1),"")</f>
      </c>
      <c r="V409" s="37">
        <v>6.6</v>
      </c>
      <c r="W409" s="38"/>
    </row>
    <row r="410" ht="24" customHeight="1" spans="1:23" x14ac:dyDescent="0.25">
      <c r="A410" s="31">
        <v>1005</v>
      </c>
      <c r="B410" s="32" t="s">
        <v>473</v>
      </c>
      <c r="C410" s="33" t="s">
        <v>24</v>
      </c>
      <c r="D410" s="34">
        <v>2019</v>
      </c>
      <c r="E410" s="34" t="s">
        <v>30</v>
      </c>
      <c r="F410" s="6"/>
      <c r="G410" s="6">
        <v>7</v>
      </c>
      <c r="H410" s="6"/>
      <c r="I410" s="6"/>
      <c r="J410" s="6">
        <v>8</v>
      </c>
      <c r="K410" s="6">
        <v>8</v>
      </c>
      <c r="L410" s="6"/>
      <c r="M410" s="6"/>
      <c r="N410" s="6"/>
      <c r="O410" s="6">
        <v>10</v>
      </c>
      <c r="P410" s="6"/>
      <c r="Q410" s="6">
        <v>8</v>
      </c>
      <c r="R410" s="6"/>
      <c r="S410" s="35">
        <f>SUM(F410:R410)</f>
        <v>41</v>
      </c>
      <c r="T410" s="35">
        <f>COUNT(F410:R410)</f>
        <v>5</v>
      </c>
      <c r="U410" s="36">
        <f>IF(T410&gt;=2,ROUND((IF(T410=2,0.55,IF(T410&lt;=4,0.7,IF(T410&lt;=6,0.8,IF(T410&lt;=9,0.9,1))))*(S410/T410)+(1-(IF(T410=2,0.55,IF(T410&lt;=4,0.7,IF(T410&lt;=6,0.8,IF(T410&lt;=9,0.9,1))))))*$Y$1),1),"")</f>
        <v>8.2</v>
      </c>
      <c r="V410" s="37">
        <v>6.3</v>
      </c>
      <c r="W410" s="38"/>
    </row>
    <row r="411" ht="24" customHeight="1" spans="1:23" x14ac:dyDescent="0.25">
      <c r="A411" s="31">
        <v>1104</v>
      </c>
      <c r="B411" s="32" t="s">
        <v>474</v>
      </c>
      <c r="C411" s="33" t="s">
        <v>24</v>
      </c>
      <c r="D411" s="34">
        <v>2019</v>
      </c>
      <c r="E411" s="34" t="s">
        <v>27</v>
      </c>
      <c r="F411" s="6">
        <v>8</v>
      </c>
      <c r="G411" s="6"/>
      <c r="H411" s="6"/>
      <c r="I411" s="6"/>
      <c r="J411" s="6"/>
      <c r="K411" s="6">
        <v>8</v>
      </c>
      <c r="L411" s="6"/>
      <c r="M411" s="6"/>
      <c r="N411" s="6"/>
      <c r="O411" s="6"/>
      <c r="P411" s="6"/>
      <c r="Q411" s="6">
        <v>8</v>
      </c>
      <c r="R411" s="6"/>
      <c r="S411" s="35">
        <f>SUM(F411:R411)</f>
        <v>24</v>
      </c>
      <c r="T411" s="35">
        <f>COUNT(F411:R411)</f>
        <v>3</v>
      </c>
      <c r="U411" s="36">
        <f>IF(T411&gt;=2,ROUND((IF(T411=2,0.55,IF(T411&lt;=4,0.7,IF(T411&lt;=6,0.8,IF(T411&lt;=9,0.9,1))))*(S411/T411)+(1-(IF(T411=2,0.55,IF(T411&lt;=4,0.7,IF(T411&lt;=6,0.8,IF(T411&lt;=9,0.9,1))))))*$Y$1),1),"")</f>
        <v>8</v>
      </c>
      <c r="V411" s="37">
        <v>7.3</v>
      </c>
      <c r="W411" s="38"/>
    </row>
    <row r="412" ht="24" customHeight="1" spans="1:23" x14ac:dyDescent="0.25">
      <c r="A412" s="31">
        <v>1013</v>
      </c>
      <c r="B412" s="32" t="s">
        <v>475</v>
      </c>
      <c r="C412" s="33" t="s">
        <v>24</v>
      </c>
      <c r="D412" s="34">
        <v>2020</v>
      </c>
      <c r="E412" s="34" t="s">
        <v>476</v>
      </c>
      <c r="F412" s="6">
        <v>8</v>
      </c>
      <c r="G412" s="6">
        <v>8</v>
      </c>
      <c r="H412" s="6">
        <v>8</v>
      </c>
      <c r="I412" s="6">
        <v>10</v>
      </c>
      <c r="J412" s="6">
        <v>9</v>
      </c>
      <c r="K412" s="6">
        <v>8</v>
      </c>
      <c r="L412" s="6">
        <v>8</v>
      </c>
      <c r="M412" s="6"/>
      <c r="N412" s="6"/>
      <c r="O412" s="6">
        <v>8</v>
      </c>
      <c r="P412" s="6">
        <v>8</v>
      </c>
      <c r="Q412" s="6">
        <v>8</v>
      </c>
      <c r="R412" s="6">
        <v>8</v>
      </c>
      <c r="S412" s="35">
        <f>SUM(F412:R412)</f>
        <v>91</v>
      </c>
      <c r="T412" s="35">
        <f>COUNT(F412:R412)</f>
        <v>11</v>
      </c>
      <c r="U412" s="36">
        <f>IF(T412&gt;=2,ROUND((IF(T412=2,0.55,IF(T412&lt;=4,0.7,IF(T412&lt;=6,0.8,IF(T412&lt;=9,0.9,1))))*(S412/T412)+(1-(IF(T412=2,0.55,IF(T412&lt;=4,0.7,IF(T412&lt;=6,0.8,IF(T412&lt;=9,0.9,1))))))*$Y$1),1),"")</f>
        <v>8.3</v>
      </c>
      <c r="V412" s="37">
        <v>8</v>
      </c>
      <c r="W412" s="38"/>
    </row>
    <row r="413" ht="47.25" customHeight="1" spans="1:23" x14ac:dyDescent="0.25">
      <c r="A413" s="31">
        <v>962</v>
      </c>
      <c r="B413" s="32" t="s">
        <v>477</v>
      </c>
      <c r="C413" s="33" t="s">
        <v>24</v>
      </c>
      <c r="D413" s="34">
        <v>2019</v>
      </c>
      <c r="E413" s="34" t="s">
        <v>27</v>
      </c>
      <c r="F413" s="6">
        <v>6</v>
      </c>
      <c r="G413" s="6"/>
      <c r="H413" s="6"/>
      <c r="I413" s="6">
        <v>6</v>
      </c>
      <c r="J413" s="6">
        <v>8</v>
      </c>
      <c r="K413" s="6">
        <v>8</v>
      </c>
      <c r="L413" s="6">
        <v>6</v>
      </c>
      <c r="M413" s="6"/>
      <c r="N413" s="6">
        <v>6</v>
      </c>
      <c r="O413" s="6">
        <v>6</v>
      </c>
      <c r="P413" s="6"/>
      <c r="Q413" s="6">
        <v>8</v>
      </c>
      <c r="R413" s="6"/>
      <c r="S413" s="35">
        <f>SUM(F413:R413)</f>
        <v>54</v>
      </c>
      <c r="T413" s="35">
        <f>COUNT(F413:R413)</f>
        <v>8</v>
      </c>
      <c r="U413" s="36">
        <f>IF(T413&gt;=2,ROUND((IF(T413=2,0.55,IF(T413&lt;=4,0.7,IF(T413&lt;=6,0.8,IF(T413&lt;=9,0.9,1))))*(S413/T413)+(1-(IF(T413=2,0.55,IF(T413&lt;=4,0.7,IF(T413&lt;=6,0.8,IF(T413&lt;=9,0.9,1))))))*$Y$1),1),"")</f>
        <v>6.9</v>
      </c>
      <c r="V413" s="37">
        <v>6.7</v>
      </c>
      <c r="W413" s="38"/>
    </row>
    <row r="414" ht="47.25" customHeight="1" spans="1:23" x14ac:dyDescent="0.25">
      <c r="A414" s="31">
        <v>1041</v>
      </c>
      <c r="B414" s="32" t="s">
        <v>478</v>
      </c>
      <c r="C414" s="33" t="s">
        <v>24</v>
      </c>
      <c r="D414" s="34">
        <v>2013</v>
      </c>
      <c r="E414" s="34" t="s">
        <v>30</v>
      </c>
      <c r="F414" s="6">
        <v>8</v>
      </c>
      <c r="G414" s="6"/>
      <c r="H414" s="6">
        <v>8</v>
      </c>
      <c r="I414" s="6"/>
      <c r="J414" s="6"/>
      <c r="K414" s="6">
        <v>8</v>
      </c>
      <c r="L414" s="6">
        <v>8</v>
      </c>
      <c r="M414" s="6"/>
      <c r="N414" s="6"/>
      <c r="O414" s="6">
        <v>8</v>
      </c>
      <c r="P414" s="6"/>
      <c r="Q414" s="6">
        <v>8</v>
      </c>
      <c r="R414" s="6"/>
      <c r="S414" s="35">
        <f>SUM(F414:R414)</f>
        <v>48</v>
      </c>
      <c r="T414" s="35">
        <f>COUNT(F414:R414)</f>
        <v>6</v>
      </c>
      <c r="U414" s="36">
        <f>IF(T414&gt;=2,ROUND((IF(T414=2,0.55,IF(T414&lt;=4,0.7,IF(T414&lt;=6,0.8,IF(T414&lt;=9,0.9,1))))*(S414/T414)+(1-(IF(T414=2,0.55,IF(T414&lt;=4,0.7,IF(T414&lt;=6,0.8,IF(T414&lt;=9,0.9,1))))))*$Y$1),1),"")</f>
        <v>8</v>
      </c>
      <c r="V414" s="37">
        <v>7.8</v>
      </c>
      <c r="W414" s="38"/>
    </row>
    <row r="415" ht="24" customHeight="1" spans="1:23" x14ac:dyDescent="0.25">
      <c r="A415" s="40">
        <v>2086</v>
      </c>
      <c r="B415" s="32" t="s">
        <v>479</v>
      </c>
      <c r="C415" s="33" t="s">
        <v>24</v>
      </c>
      <c r="D415" s="34">
        <v>1992</v>
      </c>
      <c r="E415" s="41"/>
      <c r="F415" s="6"/>
      <c r="G415" s="6">
        <v>7</v>
      </c>
      <c r="H415" s="6"/>
      <c r="I415" s="6"/>
      <c r="J415" s="6"/>
      <c r="K415" s="6"/>
      <c r="L415" s="6">
        <v>9</v>
      </c>
      <c r="M415" s="6"/>
      <c r="N415" s="6"/>
      <c r="O415" s="6">
        <v>8</v>
      </c>
      <c r="P415" s="6"/>
      <c r="Q415" s="6"/>
      <c r="R415" s="6"/>
      <c r="S415" s="35">
        <f>SUM(F415:R415)</f>
        <v>24</v>
      </c>
      <c r="T415" s="35">
        <f>COUNT(F415:R415)</f>
        <v>3</v>
      </c>
      <c r="U415" s="36">
        <f>IF(T415&gt;=2,ROUND((IF(T415=2,0.55,IF(T415&lt;=4,0.7,IF(T415&lt;=6,0.8,IF(T415&lt;=9,0.9,1))))*(S415/T415)+(1-(IF(T415=2,0.55,IF(T415&lt;=4,0.7,IF(T415&lt;=6,0.8,IF(T415&lt;=9,0.9,1))))))*$Y$1),1),"")</f>
        <v>8</v>
      </c>
      <c r="V415" s="37">
        <v>7.8</v>
      </c>
      <c r="W415" s="38"/>
    </row>
    <row r="416" ht="24" customHeight="1" spans="1:23" x14ac:dyDescent="0.25">
      <c r="A416" s="42">
        <v>438</v>
      </c>
      <c r="B416" s="32" t="s">
        <v>480</v>
      </c>
      <c r="C416" s="43" t="s">
        <v>24</v>
      </c>
      <c r="D416" s="44">
        <v>2018</v>
      </c>
      <c r="E416" s="44" t="s">
        <v>27</v>
      </c>
      <c r="F416" s="6">
        <v>8</v>
      </c>
      <c r="G416" s="6"/>
      <c r="H416" s="6">
        <v>8</v>
      </c>
      <c r="I416" s="6">
        <v>8</v>
      </c>
      <c r="J416" s="6">
        <v>10</v>
      </c>
      <c r="K416" s="6">
        <v>10</v>
      </c>
      <c r="L416" s="6">
        <v>8</v>
      </c>
      <c r="M416" s="6">
        <v>8</v>
      </c>
      <c r="N416" s="6">
        <v>8</v>
      </c>
      <c r="O416" s="6">
        <v>8</v>
      </c>
      <c r="P416" s="6"/>
      <c r="Q416" s="6">
        <v>10</v>
      </c>
      <c r="R416" s="6">
        <v>10</v>
      </c>
      <c r="S416" s="45">
        <f>SUM(F416:R416)</f>
        <v>96</v>
      </c>
      <c r="T416" s="45">
        <f>COUNT(F416:R416)</f>
        <v>11</v>
      </c>
      <c r="U416" s="36">
        <f>IF(T416&gt;=2,ROUND((IF(T416=2,0.55,IF(T416&lt;=4,0.7,IF(T416&lt;=6,0.8,IF(T416&lt;=9,0.9,1))))*(S416/T416)+(1-(IF(T416=2,0.55,IF(T416&lt;=4,0.7,IF(T416&lt;=6,0.8,IF(T416&lt;=9,0.9,1))))))*$Y$1),1),"")</f>
        <v>8.7</v>
      </c>
      <c r="V416" s="37">
        <v>7.4</v>
      </c>
      <c r="W416" s="38" t="s">
        <v>44</v>
      </c>
    </row>
    <row r="417" ht="24" customHeight="1" spans="1:23" x14ac:dyDescent="0.25">
      <c r="A417" s="31">
        <v>621</v>
      </c>
      <c r="B417" s="32" t="s">
        <v>481</v>
      </c>
      <c r="C417" s="33" t="s">
        <v>24</v>
      </c>
      <c r="D417" s="34">
        <v>2010</v>
      </c>
      <c r="E417" s="34" t="s">
        <v>52</v>
      </c>
      <c r="F417" s="6"/>
      <c r="G417" s="6"/>
      <c r="H417" s="6"/>
      <c r="I417" s="6"/>
      <c r="J417" s="6"/>
      <c r="K417" s="6"/>
      <c r="L417" s="6">
        <v>8</v>
      </c>
      <c r="M417" s="6"/>
      <c r="N417" s="6"/>
      <c r="O417" s="6"/>
      <c r="P417" s="6"/>
      <c r="Q417" s="6"/>
      <c r="R417" s="6"/>
      <c r="S417" s="35">
        <f>SUM(F417:R417)</f>
        <v>8</v>
      </c>
      <c r="T417" s="35">
        <f>COUNT(F417:R417)</f>
        <v>1</v>
      </c>
      <c r="U417" s="36">
        <f>IF(T417&gt;=2,ROUND((IF(T417=2,0.55,IF(T417&lt;=4,0.7,IF(T417&lt;=6,0.8,IF(T417&lt;=9,0.9,1))))*(S417/T417)+(1-(IF(T417=2,0.55,IF(T417&lt;=4,0.7,IF(T417&lt;=6,0.8,IF(T417&lt;=9,0.9,1))))))*$Y$1),1),"")</f>
      </c>
      <c r="V417" s="37">
        <v>6.3</v>
      </c>
      <c r="W417" s="38"/>
    </row>
    <row r="418" ht="24" customHeight="1" spans="1:23" x14ac:dyDescent="0.25">
      <c r="A418" s="31">
        <v>1583</v>
      </c>
      <c r="B418" s="32" t="s">
        <v>482</v>
      </c>
      <c r="C418" s="33" t="s">
        <v>24</v>
      </c>
      <c r="D418" s="34">
        <v>2022</v>
      </c>
      <c r="E418" s="34" t="s">
        <v>27</v>
      </c>
      <c r="F418" s="6">
        <v>7</v>
      </c>
      <c r="G418" s="6"/>
      <c r="H418" s="6"/>
      <c r="I418" s="6"/>
      <c r="J418" s="6"/>
      <c r="K418" s="6">
        <v>8</v>
      </c>
      <c r="L418" s="6"/>
      <c r="M418" s="6"/>
      <c r="N418" s="6"/>
      <c r="O418" s="6">
        <v>8</v>
      </c>
      <c r="P418" s="6"/>
      <c r="Q418" s="6">
        <v>8</v>
      </c>
      <c r="R418" s="6"/>
      <c r="S418" s="35">
        <f>SUM(F418:R418)</f>
        <v>31</v>
      </c>
      <c r="T418" s="35">
        <f>COUNT(F418:R418)</f>
        <v>4</v>
      </c>
      <c r="U418" s="36">
        <f>IF(T418&gt;=2,ROUND((IF(T418=2,0.55,IF(T418&lt;=4,0.7,IF(T418&lt;=6,0.8,IF(T418&lt;=9,0.9,1))))*(S418/T418)+(1-(IF(T418=2,0.55,IF(T418&lt;=4,0.7,IF(T418&lt;=6,0.8,IF(T418&lt;=9,0.9,1))))))*$Y$1),1),"")</f>
        <v>7.9</v>
      </c>
      <c r="V418" s="37">
        <v>5.6</v>
      </c>
      <c r="W418" s="38"/>
    </row>
    <row r="419" ht="24" customHeight="1" spans="1:23" x14ac:dyDescent="0.25">
      <c r="A419" s="31">
        <v>367</v>
      </c>
      <c r="B419" s="32" t="s">
        <v>483</v>
      </c>
      <c r="C419" s="33" t="s">
        <v>24</v>
      </c>
      <c r="D419" s="34">
        <v>2019</v>
      </c>
      <c r="E419" s="34" t="s">
        <v>179</v>
      </c>
      <c r="F419" s="6"/>
      <c r="G419" s="6"/>
      <c r="H419" s="6">
        <v>8</v>
      </c>
      <c r="I419" s="6">
        <v>8</v>
      </c>
      <c r="J419" s="6"/>
      <c r="K419" s="6">
        <v>10</v>
      </c>
      <c r="L419" s="6"/>
      <c r="M419" s="6"/>
      <c r="N419" s="6"/>
      <c r="O419" s="6"/>
      <c r="P419" s="6"/>
      <c r="Q419" s="6">
        <v>10</v>
      </c>
      <c r="R419" s="6"/>
      <c r="S419" s="35">
        <f>SUM(F419:R419)</f>
        <v>36</v>
      </c>
      <c r="T419" s="35">
        <f>COUNT(F419:R419)</f>
        <v>4</v>
      </c>
      <c r="U419" s="36">
        <f>IF(T419&gt;=2,ROUND((IF(T419=2,0.55,IF(T419&lt;=4,0.7,IF(T419&lt;=6,0.8,IF(T419&lt;=9,0.9,1))))*(S419/T419)+(1-(IF(T419=2,0.55,IF(T419&lt;=4,0.7,IF(T419&lt;=6,0.8,IF(T419&lt;=9,0.9,1))))))*$Y$1),1),"")</f>
        <v>8.7</v>
      </c>
      <c r="V419" s="37">
        <v>5.2</v>
      </c>
      <c r="W419" s="38"/>
    </row>
    <row r="420" ht="24" customHeight="1" spans="1:23" x14ac:dyDescent="0.25">
      <c r="A420" s="31">
        <v>1650</v>
      </c>
      <c r="B420" s="32" t="s">
        <v>484</v>
      </c>
      <c r="C420" s="33" t="s">
        <v>29</v>
      </c>
      <c r="D420" s="34">
        <v>2023</v>
      </c>
      <c r="E420" s="34" t="s">
        <v>30</v>
      </c>
      <c r="F420" s="6">
        <v>6</v>
      </c>
      <c r="G420" s="6"/>
      <c r="H420" s="6"/>
      <c r="I420" s="6"/>
      <c r="J420" s="6">
        <v>6</v>
      </c>
      <c r="K420" s="6"/>
      <c r="L420" s="6"/>
      <c r="M420" s="6">
        <v>8</v>
      </c>
      <c r="N420" s="6"/>
      <c r="O420" s="6">
        <v>8</v>
      </c>
      <c r="P420" s="6"/>
      <c r="Q420" s="6"/>
      <c r="R420" s="6"/>
      <c r="S420" s="35">
        <f>SUM(F420:R420)</f>
        <v>28</v>
      </c>
      <c r="T420" s="35">
        <f>COUNT(F420:R420)</f>
        <v>4</v>
      </c>
      <c r="U420" s="36">
        <f>IF(T420&gt;=2,ROUND((IF(T420=2,0.55,IF(T420&lt;=4,0.7,IF(T420&lt;=6,0.8,IF(T420&lt;=9,0.9,1))))*(S420/T420)+(1-(IF(T420=2,0.55,IF(T420&lt;=4,0.7,IF(T420&lt;=6,0.8,IF(T420&lt;=9,0.9,1))))))*$Y$1),1),"")</f>
        <v>7.3</v>
      </c>
      <c r="V420" s="37">
        <v>6.5</v>
      </c>
      <c r="W420" s="38"/>
    </row>
    <row r="421" ht="24" customHeight="1" spans="1:23" x14ac:dyDescent="0.25">
      <c r="A421" s="31">
        <v>124</v>
      </c>
      <c r="B421" s="32" t="s">
        <v>485</v>
      </c>
      <c r="C421" s="33" t="s">
        <v>24</v>
      </c>
      <c r="D421" s="34">
        <v>2008</v>
      </c>
      <c r="E421" s="34" t="s">
        <v>486</v>
      </c>
      <c r="F421" s="6">
        <v>8</v>
      </c>
      <c r="G421" s="6">
        <v>8</v>
      </c>
      <c r="H421" s="6">
        <v>10</v>
      </c>
      <c r="I421" s="6">
        <v>6</v>
      </c>
      <c r="J421" s="6">
        <v>8</v>
      </c>
      <c r="K421" s="6">
        <v>10</v>
      </c>
      <c r="L421" s="6">
        <v>8</v>
      </c>
      <c r="M421" s="6">
        <v>8</v>
      </c>
      <c r="N421" s="6">
        <v>8</v>
      </c>
      <c r="O421" s="6"/>
      <c r="P421" s="6">
        <v>8</v>
      </c>
      <c r="Q421" s="6">
        <v>10</v>
      </c>
      <c r="R421" s="6"/>
      <c r="S421" s="35">
        <f>SUM(F421:R421)</f>
        <v>92</v>
      </c>
      <c r="T421" s="35">
        <f>COUNT(F421:R421)</f>
        <v>11</v>
      </c>
      <c r="U421" s="36">
        <f>IF(T421&gt;=2,ROUND((IF(T421=2,0.55,IF(T421&lt;=4,0.7,IF(T421&lt;=6,0.8,IF(T421&lt;=9,0.9,1))))*(S421/T421)+(1-(IF(T421=2,0.55,IF(T421&lt;=4,0.7,IF(T421&lt;=6,0.8,IF(T421&lt;=9,0.9,1))))))*$Y$1),1),"")</f>
        <v>8.4</v>
      </c>
      <c r="V421" s="37">
        <v>8</v>
      </c>
      <c r="W421" s="38"/>
    </row>
    <row r="422" ht="24" customHeight="1" spans="1:23" x14ac:dyDescent="0.25">
      <c r="A422" s="40">
        <v>2228</v>
      </c>
      <c r="B422" s="32" t="s">
        <v>487</v>
      </c>
      <c r="C422" s="33" t="s">
        <v>24</v>
      </c>
      <c r="D422" s="34">
        <v>2008</v>
      </c>
      <c r="E422" s="41"/>
      <c r="F422" s="6"/>
      <c r="G422" s="6">
        <v>7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35">
        <f>SUM(F422:R422)</f>
        <v>7</v>
      </c>
      <c r="T422" s="35">
        <f>COUNT(F422:R422)</f>
        <v>1</v>
      </c>
      <c r="U422" s="36">
        <f>IF(T422&gt;=2,ROUND((IF(T422=2,0.55,IF(T422&lt;=4,0.7,IF(T422&lt;=6,0.8,IF(T422&lt;=9,0.9,1))))*(S422/T422)+(1-(IF(T422=2,0.55,IF(T422&lt;=4,0.7,IF(T422&lt;=6,0.8,IF(T422&lt;=9,0.9,1))))))*$Y$1),1),"")</f>
      </c>
      <c r="V422" s="37">
        <v>7</v>
      </c>
      <c r="W422" s="38"/>
    </row>
    <row r="423" ht="24" customHeight="1" spans="1:23" x14ac:dyDescent="0.25">
      <c r="A423" s="31">
        <v>1360</v>
      </c>
      <c r="B423" s="32" t="s">
        <v>488</v>
      </c>
      <c r="C423" s="33" t="s">
        <v>29</v>
      </c>
      <c r="D423" s="34">
        <v>2022</v>
      </c>
      <c r="E423" s="34" t="s">
        <v>30</v>
      </c>
      <c r="F423" s="6">
        <v>8</v>
      </c>
      <c r="G423" s="6"/>
      <c r="H423" s="6"/>
      <c r="I423" s="6">
        <v>9</v>
      </c>
      <c r="J423" s="6">
        <v>8</v>
      </c>
      <c r="K423" s="6"/>
      <c r="L423" s="6"/>
      <c r="M423" s="6">
        <v>8</v>
      </c>
      <c r="N423" s="6"/>
      <c r="O423" s="6">
        <v>8</v>
      </c>
      <c r="P423" s="6"/>
      <c r="Q423" s="6"/>
      <c r="R423" s="6"/>
      <c r="S423" s="35">
        <f>SUM(F423:R423)</f>
        <v>41</v>
      </c>
      <c r="T423" s="35">
        <f>COUNT(F423:R423)</f>
        <v>5</v>
      </c>
      <c r="U423" s="36">
        <f>IF(T423&gt;=2,ROUND((IF(T423=2,0.55,IF(T423&lt;=4,0.7,IF(T423&lt;=6,0.8,IF(T423&lt;=9,0.9,1))))*(S423/T423)+(1-(IF(T423=2,0.55,IF(T423&lt;=4,0.7,IF(T423&lt;=6,0.8,IF(T423&lt;=9,0.9,1))))))*$Y$1),1),"")</f>
        <v>8.2</v>
      </c>
      <c r="V423" s="37">
        <v>7.1</v>
      </c>
      <c r="W423" s="38"/>
    </row>
    <row r="424" ht="24" customHeight="1" spans="1:23" x14ac:dyDescent="0.25">
      <c r="A424" s="31">
        <v>270</v>
      </c>
      <c r="B424" s="32" t="s">
        <v>489</v>
      </c>
      <c r="C424" s="33" t="s">
        <v>24</v>
      </c>
      <c r="D424" s="34">
        <v>2014</v>
      </c>
      <c r="E424" s="34" t="s">
        <v>30</v>
      </c>
      <c r="F424" s="6"/>
      <c r="G424" s="6"/>
      <c r="H424" s="6"/>
      <c r="I424" s="6"/>
      <c r="J424" s="6">
        <v>6</v>
      </c>
      <c r="K424" s="6"/>
      <c r="L424" s="6">
        <v>8</v>
      </c>
      <c r="M424" s="6"/>
      <c r="N424" s="6"/>
      <c r="O424" s="6"/>
      <c r="P424" s="6"/>
      <c r="Q424" s="6"/>
      <c r="R424" s="6"/>
      <c r="S424" s="35">
        <f>SUM(F424:R424)</f>
        <v>14</v>
      </c>
      <c r="T424" s="35">
        <f>COUNT(F424:R424)</f>
        <v>2</v>
      </c>
      <c r="U424" s="36">
        <f>IF(T424&gt;=2,ROUND((IF(T424=2,0.55,IF(T424&lt;=4,0.7,IF(T424&lt;=6,0.8,IF(T424&lt;=9,0.9,1))))*(S424/T424)+(1-(IF(T424=2,0.55,IF(T424&lt;=4,0.7,IF(T424&lt;=6,0.8,IF(T424&lt;=9,0.9,1))))))*$Y$1),1),"")</f>
        <v>7.5</v>
      </c>
      <c r="V424" s="37">
        <v>7</v>
      </c>
      <c r="W424" s="38"/>
    </row>
    <row r="425" ht="24" customHeight="1" spans="1:23" x14ac:dyDescent="0.25">
      <c r="A425" s="31">
        <v>677</v>
      </c>
      <c r="B425" s="32" t="s">
        <v>490</v>
      </c>
      <c r="C425" s="33" t="s">
        <v>24</v>
      </c>
      <c r="D425" s="34">
        <v>2015</v>
      </c>
      <c r="E425" s="34" t="s">
        <v>491</v>
      </c>
      <c r="F425" s="6">
        <v>6</v>
      </c>
      <c r="G425" s="6"/>
      <c r="H425" s="6"/>
      <c r="I425" s="6">
        <v>6</v>
      </c>
      <c r="J425" s="6"/>
      <c r="K425" s="6">
        <v>8</v>
      </c>
      <c r="L425" s="6">
        <v>6</v>
      </c>
      <c r="M425" s="6">
        <v>6</v>
      </c>
      <c r="N425" s="6">
        <v>6</v>
      </c>
      <c r="O425" s="6">
        <v>6</v>
      </c>
      <c r="P425" s="6"/>
      <c r="Q425" s="6">
        <v>8</v>
      </c>
      <c r="R425" s="6"/>
      <c r="S425" s="35">
        <f>SUM(F425:R425)</f>
        <v>52</v>
      </c>
      <c r="T425" s="35">
        <f>COUNT(F425:R425)</f>
        <v>8</v>
      </c>
      <c r="U425" s="36">
        <f>IF(T425&gt;=2,ROUND((IF(T425=2,0.55,IF(T425&lt;=4,0.7,IF(T425&lt;=6,0.8,IF(T425&lt;=9,0.9,1))))*(S425/T425)+(1-(IF(T425=2,0.55,IF(T425&lt;=4,0.7,IF(T425&lt;=6,0.8,IF(T425&lt;=9,0.9,1))))))*$Y$1),1),"")</f>
        <v>6.7</v>
      </c>
      <c r="V425" s="37">
        <v>7.8</v>
      </c>
      <c r="W425" s="38"/>
    </row>
    <row r="426" ht="24" customHeight="1" spans="1:23" x14ac:dyDescent="0.25">
      <c r="A426" s="31">
        <v>1955</v>
      </c>
      <c r="B426" s="32" t="s">
        <v>492</v>
      </c>
      <c r="C426" s="33" t="s">
        <v>29</v>
      </c>
      <c r="D426" s="34">
        <v>2025</v>
      </c>
      <c r="E426" s="34" t="s">
        <v>30</v>
      </c>
      <c r="F426" s="6">
        <v>7</v>
      </c>
      <c r="G426" s="6"/>
      <c r="H426" s="6">
        <v>7</v>
      </c>
      <c r="I426" s="6"/>
      <c r="J426" s="6"/>
      <c r="K426" s="6"/>
      <c r="L426" s="6"/>
      <c r="M426" s="6"/>
      <c r="N426" s="6"/>
      <c r="O426" s="6">
        <v>9</v>
      </c>
      <c r="P426" s="6"/>
      <c r="Q426" s="6"/>
      <c r="R426" s="6"/>
      <c r="S426" s="35">
        <f>SUM(F426:R426)</f>
        <v>23</v>
      </c>
      <c r="T426" s="35">
        <f>COUNT(F426:R426)</f>
        <v>3</v>
      </c>
      <c r="U426" s="36">
        <f>IF(T426&gt;=2,ROUND((IF(T426=2,0.55,IF(T426&lt;=4,0.7,IF(T426&lt;=6,0.8,IF(T426&lt;=9,0.9,1))))*(S426/T426)+(1-(IF(T426=2,0.55,IF(T426&lt;=4,0.7,IF(T426&lt;=6,0.8,IF(T426&lt;=9,0.9,1))))))*$Y$1),1),"")</f>
        <v>7.8</v>
      </c>
      <c r="V426" s="37">
        <v>6.1</v>
      </c>
      <c r="W426" s="38"/>
    </row>
    <row r="427" ht="24" customHeight="1" spans="1:23" x14ac:dyDescent="0.25">
      <c r="A427" s="46">
        <v>1252</v>
      </c>
      <c r="B427" s="32" t="s">
        <v>493</v>
      </c>
      <c r="C427" s="33" t="s">
        <v>29</v>
      </c>
      <c r="D427" s="34">
        <v>2022</v>
      </c>
      <c r="E427" s="34" t="s">
        <v>30</v>
      </c>
      <c r="F427" s="6"/>
      <c r="G427" s="6"/>
      <c r="H427" s="6"/>
      <c r="I427" s="6"/>
      <c r="J427" s="6"/>
      <c r="K427" s="6"/>
      <c r="L427" s="6"/>
      <c r="M427" s="6"/>
      <c r="N427" s="6">
        <v>8</v>
      </c>
      <c r="O427" s="6"/>
      <c r="P427" s="6"/>
      <c r="Q427" s="6"/>
      <c r="R427" s="6"/>
      <c r="S427" s="35">
        <f>SUM(F427:R427)</f>
        <v>8</v>
      </c>
      <c r="T427" s="35">
        <f>COUNT(F427:R427)</f>
        <v>1</v>
      </c>
      <c r="U427" s="36">
        <f>IF(T427&gt;=2,ROUND((IF(T427=2,0.55,IF(T427&lt;=4,0.7,IF(T427&lt;=6,0.8,IF(T427&lt;=9,0.9,1))))*(S427/T427)+(1-(IF(T427=2,0.55,IF(T427&lt;=4,0.7,IF(T427&lt;=6,0.8,IF(T427&lt;=9,0.9,1))))))*$Y$1),1),"")</f>
      </c>
      <c r="V427" s="37">
        <v>6.8</v>
      </c>
      <c r="W427" s="38"/>
    </row>
    <row r="428" ht="24" customHeight="1" spans="1:23" x14ac:dyDescent="0.25">
      <c r="A428" s="31">
        <v>1615</v>
      </c>
      <c r="B428" s="32" t="s">
        <v>494</v>
      </c>
      <c r="C428" s="33" t="s">
        <v>24</v>
      </c>
      <c r="D428" s="34">
        <v>2018</v>
      </c>
      <c r="E428" s="34"/>
      <c r="F428" s="6"/>
      <c r="G428" s="6"/>
      <c r="H428" s="6"/>
      <c r="I428" s="6"/>
      <c r="J428" s="6"/>
      <c r="K428" s="6"/>
      <c r="L428" s="6"/>
      <c r="M428" s="6"/>
      <c r="N428" s="6"/>
      <c r="O428" s="6">
        <v>4</v>
      </c>
      <c r="P428" s="6"/>
      <c r="Q428" s="6"/>
      <c r="R428" s="6"/>
      <c r="S428" s="35">
        <f>SUM(F428:R428)</f>
        <v>4</v>
      </c>
      <c r="T428" s="35">
        <f>COUNT(F428:R428)</f>
        <v>1</v>
      </c>
      <c r="U428" s="36">
        <f>IF(T428&gt;=2,ROUND((IF(T428=2,0.55,IF(T428&lt;=4,0.7,IF(T428&lt;=6,0.8,IF(T428&lt;=9,0.9,1))))*(S428/T428)+(1-(IF(T428=2,0.55,IF(T428&lt;=4,0.7,IF(T428&lt;=6,0.8,IF(T428&lt;=9,0.9,1))))))*$Y$1),1),"")</f>
      </c>
      <c r="V428" s="37">
        <v>6.3</v>
      </c>
      <c r="W428" s="38"/>
    </row>
    <row r="429" ht="24" customHeight="1" spans="1:23" x14ac:dyDescent="0.25">
      <c r="A429" s="31">
        <v>1571</v>
      </c>
      <c r="B429" s="32" t="s">
        <v>495</v>
      </c>
      <c r="C429" s="33" t="s">
        <v>24</v>
      </c>
      <c r="D429" s="34">
        <v>2022</v>
      </c>
      <c r="E429" s="34" t="s">
        <v>30</v>
      </c>
      <c r="F429" s="6"/>
      <c r="G429" s="6"/>
      <c r="H429" s="6"/>
      <c r="I429" s="6"/>
      <c r="J429" s="6">
        <v>8</v>
      </c>
      <c r="K429" s="6"/>
      <c r="L429" s="6"/>
      <c r="M429" s="6"/>
      <c r="N429" s="6"/>
      <c r="O429" s="6">
        <v>9</v>
      </c>
      <c r="P429" s="6"/>
      <c r="Q429" s="6"/>
      <c r="R429" s="6"/>
      <c r="S429" s="35">
        <f>SUM(F429:R429)</f>
        <v>17</v>
      </c>
      <c r="T429" s="35">
        <f>COUNT(F429:R429)</f>
        <v>2</v>
      </c>
      <c r="U429" s="36">
        <f>IF(T429&gt;=2,ROUND((IF(T429=2,0.55,IF(T429&lt;=4,0.7,IF(T429&lt;=6,0.8,IF(T429&lt;=9,0.9,1))))*(S429/T429)+(1-(IF(T429=2,0.55,IF(T429&lt;=4,0.7,IF(T429&lt;=6,0.8,IF(T429&lt;=9,0.9,1))))))*$Y$1),1),"")</f>
        <v>8.3</v>
      </c>
      <c r="V429" s="37">
        <v>7.1</v>
      </c>
      <c r="W429" s="38"/>
    </row>
    <row r="430" ht="24" customHeight="1" spans="1:23" x14ac:dyDescent="0.25">
      <c r="A430" s="31">
        <v>1830</v>
      </c>
      <c r="B430" s="32" t="s">
        <v>496</v>
      </c>
      <c r="C430" s="33" t="s">
        <v>24</v>
      </c>
      <c r="D430" s="34">
        <v>2020</v>
      </c>
      <c r="E430" s="34" t="s">
        <v>25</v>
      </c>
      <c r="F430" s="6">
        <v>7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35">
        <f>SUM(F430:R430)</f>
        <v>7</v>
      </c>
      <c r="T430" s="35">
        <f>COUNT(F430:R430)</f>
        <v>1</v>
      </c>
      <c r="U430" s="36">
        <f>IF(T430&gt;=2,ROUND((IF(T430=2,0.55,IF(T430&lt;=4,0.7,IF(T430&lt;=6,0.8,IF(T430&lt;=9,0.9,1))))*(S430/T430)+(1-(IF(T430=2,0.55,IF(T430&lt;=4,0.7,IF(T430&lt;=6,0.8,IF(T430&lt;=9,0.9,1))))))*$Y$1),1),"")</f>
      </c>
      <c r="V430" s="37">
        <v>6.6</v>
      </c>
      <c r="W430" s="38"/>
    </row>
    <row r="431" ht="24" customHeight="1" spans="1:23" x14ac:dyDescent="0.25">
      <c r="A431" s="40">
        <v>2114</v>
      </c>
      <c r="B431" s="32" t="s">
        <v>497</v>
      </c>
      <c r="C431" s="33" t="s">
        <v>24</v>
      </c>
      <c r="D431" s="34">
        <v>2000</v>
      </c>
      <c r="E431" s="41"/>
      <c r="F431" s="6"/>
      <c r="G431" s="6">
        <v>6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35">
        <f>SUM(F431:R431)</f>
        <v>6</v>
      </c>
      <c r="T431" s="35">
        <f>COUNT(F431:R431)</f>
        <v>1</v>
      </c>
      <c r="U431" s="36">
        <f>IF(T431&gt;=2,ROUND((IF(T431=2,0.55,IF(T431&lt;=4,0.7,IF(T431&lt;=6,0.8,IF(T431&lt;=9,0.9,1))))*(S431/T431)+(1-(IF(T431=2,0.55,IF(T431&lt;=4,0.7,IF(T431&lt;=6,0.8,IF(T431&lt;=9,0.9,1))))))*$Y$1),1),"")</f>
      </c>
      <c r="V431" s="37">
        <v>7.9</v>
      </c>
      <c r="W431" s="38"/>
    </row>
    <row r="432" ht="24" customHeight="1" spans="1:23" x14ac:dyDescent="0.25">
      <c r="A432" s="42">
        <v>679</v>
      </c>
      <c r="B432" s="32" t="s">
        <v>498</v>
      </c>
      <c r="C432" s="43" t="s">
        <v>24</v>
      </c>
      <c r="D432" s="44">
        <v>2004</v>
      </c>
      <c r="E432" s="44" t="s">
        <v>137</v>
      </c>
      <c r="F432" s="6">
        <v>8</v>
      </c>
      <c r="G432" s="6">
        <v>8</v>
      </c>
      <c r="H432" s="6">
        <v>8</v>
      </c>
      <c r="I432" s="6">
        <v>10</v>
      </c>
      <c r="J432" s="6">
        <v>8</v>
      </c>
      <c r="K432" s="6">
        <v>10</v>
      </c>
      <c r="L432" s="6">
        <v>8</v>
      </c>
      <c r="M432" s="6">
        <v>8</v>
      </c>
      <c r="N432" s="6">
        <v>8</v>
      </c>
      <c r="O432" s="6"/>
      <c r="P432" s="6">
        <v>8</v>
      </c>
      <c r="Q432" s="6">
        <v>10</v>
      </c>
      <c r="R432" s="6"/>
      <c r="S432" s="45">
        <f>SUM(F432:R432)</f>
        <v>94</v>
      </c>
      <c r="T432" s="45">
        <f>COUNT(F432:R432)</f>
        <v>11</v>
      </c>
      <c r="U432" s="36">
        <f>IF(T432&gt;=2,ROUND((IF(T432=2,0.55,IF(T432&lt;=4,0.7,IF(T432&lt;=6,0.8,IF(T432&lt;=9,0.9,1))))*(S432/T432)+(1-(IF(T432=2,0.55,IF(T432&lt;=4,0.7,IF(T432&lt;=6,0.8,IF(T432&lt;=9,0.9,1))))))*$Y$1),1),"")</f>
        <v>8.5</v>
      </c>
      <c r="V432" s="37">
        <v>8</v>
      </c>
      <c r="W432" s="38" t="s">
        <v>44</v>
      </c>
    </row>
    <row r="433" ht="24" customHeight="1" spans="1:23" x14ac:dyDescent="0.25">
      <c r="A433" s="31">
        <v>1518</v>
      </c>
      <c r="B433" s="32" t="s">
        <v>499</v>
      </c>
      <c r="C433" s="33" t="s">
        <v>24</v>
      </c>
      <c r="D433" s="34">
        <v>2016</v>
      </c>
      <c r="E433" s="34" t="s">
        <v>30</v>
      </c>
      <c r="F433" s="6"/>
      <c r="G433" s="6">
        <v>7</v>
      </c>
      <c r="H433" s="6"/>
      <c r="I433" s="6"/>
      <c r="J433" s="6"/>
      <c r="K433" s="6"/>
      <c r="L433" s="6"/>
      <c r="M433" s="6"/>
      <c r="N433" s="6"/>
      <c r="O433" s="6">
        <v>6</v>
      </c>
      <c r="P433" s="6"/>
      <c r="Q433" s="6"/>
      <c r="R433" s="6"/>
      <c r="S433" s="35">
        <f>SUM(F433:R433)</f>
        <v>13</v>
      </c>
      <c r="T433" s="35">
        <f>COUNT(F433:R433)</f>
        <v>2</v>
      </c>
      <c r="U433" s="36">
        <f>IF(T433&gt;=2,ROUND((IF(T433=2,0.55,IF(T433&lt;=4,0.7,IF(T433&lt;=6,0.8,IF(T433&lt;=9,0.9,1))))*(S433/T433)+(1-(IF(T433=2,0.55,IF(T433&lt;=4,0.7,IF(T433&lt;=6,0.8,IF(T433&lt;=9,0.9,1))))))*$Y$1),1),"")</f>
        <v>7.2</v>
      </c>
      <c r="V433" s="37">
        <v>7.3</v>
      </c>
      <c r="W433" s="38"/>
    </row>
    <row r="434" ht="24" customHeight="1" spans="1:23" x14ac:dyDescent="0.25">
      <c r="A434" s="31">
        <v>1350</v>
      </c>
      <c r="B434" s="32" t="s">
        <v>500</v>
      </c>
      <c r="C434" s="33" t="s">
        <v>158</v>
      </c>
      <c r="D434" s="34">
        <v>2020</v>
      </c>
      <c r="E434" s="34" t="s">
        <v>30</v>
      </c>
      <c r="F434" s="6"/>
      <c r="G434" s="6"/>
      <c r="H434" s="6"/>
      <c r="I434" s="6"/>
      <c r="J434" s="6"/>
      <c r="K434" s="6">
        <v>8</v>
      </c>
      <c r="L434" s="6">
        <v>8</v>
      </c>
      <c r="M434" s="6"/>
      <c r="N434" s="6"/>
      <c r="O434" s="6"/>
      <c r="P434" s="6"/>
      <c r="Q434" s="6">
        <v>8</v>
      </c>
      <c r="R434" s="6"/>
      <c r="S434" s="35">
        <f>SUM(F434:R434)</f>
        <v>24</v>
      </c>
      <c r="T434" s="35">
        <f>COUNT(F434:R434)</f>
        <v>3</v>
      </c>
      <c r="U434" s="36">
        <f>IF(T434&gt;=2,ROUND((IF(T434=2,0.55,IF(T434&lt;=4,0.7,IF(T434&lt;=6,0.8,IF(T434&lt;=9,0.9,1))))*(S434/T434)+(1-(IF(T434=2,0.55,IF(T434&lt;=4,0.7,IF(T434&lt;=6,0.8,IF(T434&lt;=9,0.9,1))))))*$Y$1),1),"")</f>
        <v>8</v>
      </c>
      <c r="V434" s="37">
        <v>7</v>
      </c>
      <c r="W434" s="38"/>
    </row>
    <row r="435" ht="24" customHeight="1" spans="1:23" s="39" customFormat="1" x14ac:dyDescent="0.25">
      <c r="A435" s="40">
        <v>2231</v>
      </c>
      <c r="B435" s="32" t="s">
        <v>501</v>
      </c>
      <c r="C435" s="33" t="s">
        <v>24</v>
      </c>
      <c r="D435" s="34">
        <v>2008</v>
      </c>
      <c r="E435" s="41"/>
      <c r="F435" s="6"/>
      <c r="G435" s="6">
        <v>7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35">
        <f>SUM(F435:R435)</f>
        <v>7</v>
      </c>
      <c r="T435" s="35">
        <f>COUNT(F435:R435)</f>
        <v>1</v>
      </c>
      <c r="U435" s="36">
        <f>IF(T435&gt;=2,ROUND((IF(T435=2,0.55,IF(T435&lt;=4,0.7,IF(T435&lt;=6,0.8,IF(T435&lt;=9,0.9,1))))*(S435/T435)+(1-(IF(T435=2,0.55,IF(T435&lt;=4,0.7,IF(T435&lt;=6,0.8,IF(T435&lt;=9,0.9,1))))))*$Y$1),1),"")</f>
      </c>
      <c r="V435" s="37">
        <v>8.1</v>
      </c>
      <c r="W435" s="38"/>
    </row>
    <row r="436" ht="24" customHeight="1" spans="1:23" x14ac:dyDescent="0.25">
      <c r="A436" s="31">
        <v>423</v>
      </c>
      <c r="B436" s="32" t="s">
        <v>502</v>
      </c>
      <c r="C436" s="33" t="s">
        <v>24</v>
      </c>
      <c r="D436" s="34">
        <v>1994</v>
      </c>
      <c r="E436" s="34" t="s">
        <v>25</v>
      </c>
      <c r="F436" s="6"/>
      <c r="G436" s="6"/>
      <c r="H436" s="6"/>
      <c r="I436" s="6"/>
      <c r="J436" s="6"/>
      <c r="K436" s="6">
        <v>8</v>
      </c>
      <c r="L436" s="6"/>
      <c r="M436" s="6"/>
      <c r="N436" s="6"/>
      <c r="O436" s="6"/>
      <c r="P436" s="6"/>
      <c r="Q436" s="6">
        <v>8</v>
      </c>
      <c r="R436" s="6"/>
      <c r="S436" s="35">
        <f>SUM(F436:R436)</f>
        <v>16</v>
      </c>
      <c r="T436" s="35">
        <f>COUNT(F436:R436)</f>
        <v>2</v>
      </c>
      <c r="U436" s="36">
        <f>IF(T436&gt;=2,ROUND((IF(T436=2,0.55,IF(T436&lt;=4,0.7,IF(T436&lt;=6,0.8,IF(T436&lt;=9,0.9,1))))*(S436/T436)+(1-(IF(T436=2,0.55,IF(T436&lt;=4,0.7,IF(T436&lt;=6,0.8,IF(T436&lt;=9,0.9,1))))))*$Y$1),1),"")</f>
        <v>8</v>
      </c>
      <c r="V436" s="37">
        <v>6.6</v>
      </c>
      <c r="W436" s="38"/>
    </row>
    <row r="437" ht="24" customHeight="1" spans="1:23" x14ac:dyDescent="0.25">
      <c r="A437" s="31">
        <v>1703</v>
      </c>
      <c r="B437" s="32" t="s">
        <v>503</v>
      </c>
      <c r="C437" s="33" t="s">
        <v>24</v>
      </c>
      <c r="D437" s="34">
        <v>2022</v>
      </c>
      <c r="E437" s="34" t="s">
        <v>27</v>
      </c>
      <c r="F437" s="6"/>
      <c r="G437" s="6"/>
      <c r="H437" s="6"/>
      <c r="I437" s="6"/>
      <c r="J437" s="6"/>
      <c r="K437" s="6"/>
      <c r="L437" s="6"/>
      <c r="M437" s="6">
        <v>7</v>
      </c>
      <c r="N437" s="6"/>
      <c r="O437" s="6"/>
      <c r="P437" s="6"/>
      <c r="Q437" s="6"/>
      <c r="R437" s="6"/>
      <c r="S437" s="35">
        <f>SUM(F437:R437)</f>
        <v>7</v>
      </c>
      <c r="T437" s="35">
        <f>COUNT(F437:R437)</f>
        <v>1</v>
      </c>
      <c r="U437" s="36">
        <f>IF(T437&gt;=2,ROUND((IF(T437=2,0.55,IF(T437&lt;=4,0.7,IF(T437&lt;=6,0.8,IF(T437&lt;=9,0.9,1))))*(S437/T437)+(1-(IF(T437=2,0.55,IF(T437&lt;=4,0.7,IF(T437&lt;=6,0.8,IF(T437&lt;=9,0.9,1))))))*$Y$1),1),"")</f>
      </c>
      <c r="V437" s="37">
        <v>5.8</v>
      </c>
      <c r="W437" s="38"/>
    </row>
    <row r="438" ht="24" customHeight="1" spans="1:23" x14ac:dyDescent="0.25">
      <c r="A438" s="31">
        <v>1734</v>
      </c>
      <c r="B438" s="32" t="s">
        <v>504</v>
      </c>
      <c r="C438" s="33" t="s">
        <v>24</v>
      </c>
      <c r="D438" s="34">
        <v>2020</v>
      </c>
      <c r="E438" s="34" t="s">
        <v>30</v>
      </c>
      <c r="F438" s="6"/>
      <c r="G438" s="6"/>
      <c r="H438" s="6"/>
      <c r="I438" s="6"/>
      <c r="J438" s="6"/>
      <c r="K438" s="6"/>
      <c r="L438" s="6"/>
      <c r="M438" s="6"/>
      <c r="N438" s="6"/>
      <c r="O438" s="6">
        <v>7</v>
      </c>
      <c r="P438" s="6"/>
      <c r="Q438" s="6"/>
      <c r="R438" s="6"/>
      <c r="S438" s="35">
        <f>SUM(F438:R438)</f>
        <v>7</v>
      </c>
      <c r="T438" s="35">
        <f>COUNT(F438:R438)</f>
        <v>1</v>
      </c>
      <c r="U438" s="36">
        <f>IF(T438&gt;=2,ROUND((IF(T438=2,0.55,IF(T438&lt;=4,0.7,IF(T438&lt;=6,0.8,IF(T438&lt;=9,0.9,1))))*(S438/T438)+(1-(IF(T438=2,0.55,IF(T438&lt;=4,0.7,IF(T438&lt;=6,0.8,IF(T438&lt;=9,0.9,1))))))*$Y$1),1),"")</f>
      </c>
      <c r="V438" s="37">
        <v>6.4</v>
      </c>
      <c r="W438" s="38"/>
    </row>
    <row r="439" ht="24" customHeight="1" spans="1:23" x14ac:dyDescent="0.25">
      <c r="A439" s="40">
        <v>2069</v>
      </c>
      <c r="B439" s="32" t="s">
        <v>505</v>
      </c>
      <c r="C439" s="33" t="s">
        <v>24</v>
      </c>
      <c r="D439" s="34">
        <v>1966</v>
      </c>
      <c r="E439" s="41"/>
      <c r="F439" s="6"/>
      <c r="G439" s="6">
        <v>7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35">
        <f>SUM(F439:R439)</f>
        <v>7</v>
      </c>
      <c r="T439" s="35">
        <f>COUNT(F439:R439)</f>
        <v>1</v>
      </c>
      <c r="U439" s="36">
        <f>IF(T439&gt;=2,ROUND((IF(T439=2,0.55,IF(T439&lt;=4,0.7,IF(T439&lt;=6,0.8,IF(T439&lt;=9,0.9,1))))*(S439/T439)+(1-(IF(T439=2,0.55,IF(T439&lt;=4,0.7,IF(T439&lt;=6,0.8,IF(T439&lt;=9,0.9,1))))))*$Y$1),1),"")</f>
      </c>
      <c r="V439" s="37">
        <v>8</v>
      </c>
      <c r="W439" s="38"/>
    </row>
    <row r="440" ht="24" customHeight="1" spans="1:23" x14ac:dyDescent="0.25">
      <c r="A440" s="47">
        <v>2018</v>
      </c>
      <c r="B440" s="32" t="s">
        <v>506</v>
      </c>
      <c r="C440" s="48" t="s">
        <v>24</v>
      </c>
      <c r="D440" s="49">
        <v>2024</v>
      </c>
      <c r="E440" s="34"/>
      <c r="F440" s="6">
        <v>8</v>
      </c>
      <c r="G440" s="6">
        <v>8</v>
      </c>
      <c r="H440" s="6">
        <v>8</v>
      </c>
      <c r="I440" s="6">
        <v>8</v>
      </c>
      <c r="J440" s="6">
        <v>8</v>
      </c>
      <c r="K440" s="6">
        <v>8</v>
      </c>
      <c r="L440" s="6">
        <v>8</v>
      </c>
      <c r="M440" s="6">
        <v>8</v>
      </c>
      <c r="N440" s="6">
        <v>8</v>
      </c>
      <c r="O440" s="6">
        <v>8</v>
      </c>
      <c r="P440" s="6">
        <v>8</v>
      </c>
      <c r="Q440" s="6">
        <v>8</v>
      </c>
      <c r="R440" s="6"/>
      <c r="S440" s="50">
        <f>SUM(F440:R440)</f>
        <v>96</v>
      </c>
      <c r="T440" s="50">
        <f>COUNT(F440:R440)</f>
        <v>12</v>
      </c>
      <c r="U440" s="36">
        <f>IF(T440&gt;=2,ROUND((IF(T440=2,0.55,IF(T440&lt;=4,0.7,IF(T440&lt;=6,0.8,IF(T440&lt;=9,0.9,1))))*(S440/T440)+(1-(IF(T440=2,0.55,IF(T440&lt;=4,0.7,IF(T440&lt;=6,0.8,IF(T440&lt;=9,0.9,1))))))*$Y$1),1),"")</f>
        <v>8</v>
      </c>
      <c r="V440" s="37">
        <v>6.9</v>
      </c>
      <c r="W440" s="38" t="s">
        <v>44</v>
      </c>
    </row>
    <row r="441" ht="24" customHeight="1" spans="1:23" x14ac:dyDescent="0.25">
      <c r="A441" s="31">
        <v>1600</v>
      </c>
      <c r="B441" s="32" t="s">
        <v>507</v>
      </c>
      <c r="C441" s="33" t="s">
        <v>24</v>
      </c>
      <c r="D441" s="34">
        <v>2022</v>
      </c>
      <c r="E441" s="34" t="s">
        <v>30</v>
      </c>
      <c r="F441" s="6"/>
      <c r="G441" s="6"/>
      <c r="H441" s="6"/>
      <c r="I441" s="6"/>
      <c r="J441" s="6"/>
      <c r="K441" s="6"/>
      <c r="L441" s="6"/>
      <c r="M441" s="6"/>
      <c r="N441" s="6">
        <v>7</v>
      </c>
      <c r="O441" s="6"/>
      <c r="P441" s="6"/>
      <c r="Q441" s="6"/>
      <c r="R441" s="6"/>
      <c r="S441" s="35">
        <f>SUM(F441:R441)</f>
        <v>7</v>
      </c>
      <c r="T441" s="35">
        <f>COUNT(F441:R441)</f>
        <v>1</v>
      </c>
      <c r="U441" s="36">
        <f>IF(T441&gt;=2,ROUND((IF(T441=2,0.55,IF(T441&lt;=4,0.7,IF(T441&lt;=6,0.8,IF(T441&lt;=9,0.9,1))))*(S441/T441)+(1-(IF(T441=2,0.55,IF(T441&lt;=4,0.7,IF(T441&lt;=6,0.8,IF(T441&lt;=9,0.9,1))))))*$Y$1),1),"")</f>
      </c>
      <c r="V441" s="37">
        <v>5</v>
      </c>
      <c r="W441" s="38"/>
    </row>
    <row r="442" ht="24" customHeight="1" spans="1:23" s="39" customFormat="1" x14ac:dyDescent="0.25">
      <c r="A442" s="31">
        <v>807</v>
      </c>
      <c r="B442" s="32" t="s">
        <v>508</v>
      </c>
      <c r="C442" s="33" t="s">
        <v>24</v>
      </c>
      <c r="D442" s="34">
        <v>2020</v>
      </c>
      <c r="E442" s="34" t="s">
        <v>30</v>
      </c>
      <c r="F442" s="6"/>
      <c r="G442" s="6"/>
      <c r="H442" s="6"/>
      <c r="I442" s="6"/>
      <c r="J442" s="6"/>
      <c r="K442" s="6"/>
      <c r="L442" s="6"/>
      <c r="M442" s="6"/>
      <c r="N442" s="6"/>
      <c r="O442" s="6">
        <v>6</v>
      </c>
      <c r="P442" s="6"/>
      <c r="Q442" s="6"/>
      <c r="R442" s="6"/>
      <c r="S442" s="35">
        <f>SUM(F442:R442)</f>
        <v>6</v>
      </c>
      <c r="T442" s="35">
        <f>COUNT(F442:R442)</f>
        <v>1</v>
      </c>
      <c r="U442" s="36">
        <f>IF(T442&gt;=2,ROUND((IF(T442=2,0.55,IF(T442&lt;=4,0.7,IF(T442&lt;=6,0.8,IF(T442&lt;=9,0.9,1))))*(S442/T442)+(1-(IF(T442=2,0.55,IF(T442&lt;=4,0.7,IF(T442&lt;=6,0.8,IF(T442&lt;=9,0.9,1))))))*$Y$1),1),"")</f>
      </c>
      <c r="V442" s="37">
        <v>5.9</v>
      </c>
      <c r="W442" s="38"/>
    </row>
    <row r="443" ht="24" customHeight="1" spans="1:23" x14ac:dyDescent="0.25">
      <c r="A443" s="31">
        <v>2046</v>
      </c>
      <c r="B443" s="32" t="s">
        <v>509</v>
      </c>
      <c r="C443" s="33" t="s">
        <v>24</v>
      </c>
      <c r="D443" s="34">
        <v>2022</v>
      </c>
      <c r="E443" s="41"/>
      <c r="F443" s="6"/>
      <c r="G443" s="6"/>
      <c r="H443" s="6"/>
      <c r="I443" s="6"/>
      <c r="J443" s="6"/>
      <c r="K443" s="6"/>
      <c r="L443" s="6">
        <v>8</v>
      </c>
      <c r="M443" s="6"/>
      <c r="N443" s="6"/>
      <c r="O443" s="6"/>
      <c r="P443" s="6"/>
      <c r="Q443" s="6"/>
      <c r="R443" s="6"/>
      <c r="S443" s="35">
        <f>SUM(F443:R443)</f>
        <v>8</v>
      </c>
      <c r="T443" s="35">
        <f>COUNT(F443:R443)</f>
        <v>1</v>
      </c>
      <c r="U443" s="36">
        <f>IF(T443&gt;=2,ROUND((IF(T443=2,0.55,IF(T443&lt;=4,0.7,IF(T443&lt;=6,0.8,IF(T443&lt;=9,0.9,1))))*(S443/T443)+(1-(IF(T443=2,0.55,IF(T443&lt;=4,0.7,IF(T443&lt;=6,0.8,IF(T443&lt;=9,0.9,1))))))*$Y$1),1),"")</f>
      </c>
      <c r="V443" s="37">
        <v>7.7</v>
      </c>
      <c r="W443" s="38"/>
    </row>
    <row r="444" ht="24" customHeight="1" spans="1:23" x14ac:dyDescent="0.25">
      <c r="A444" s="31">
        <v>1427</v>
      </c>
      <c r="B444" s="32" t="s">
        <v>510</v>
      </c>
      <c r="C444" s="33" t="s">
        <v>24</v>
      </c>
      <c r="D444" s="34">
        <v>2020</v>
      </c>
      <c r="E444" s="34" t="s">
        <v>30</v>
      </c>
      <c r="F444" s="6"/>
      <c r="G444" s="6"/>
      <c r="H444" s="6"/>
      <c r="I444" s="6"/>
      <c r="J444" s="6"/>
      <c r="K444" s="6"/>
      <c r="L444" s="6"/>
      <c r="M444" s="6"/>
      <c r="N444" s="6"/>
      <c r="O444" s="6">
        <v>7</v>
      </c>
      <c r="P444" s="6"/>
      <c r="Q444" s="6"/>
      <c r="R444" s="6"/>
      <c r="S444" s="35">
        <f>SUM(F444:R444)</f>
        <v>7</v>
      </c>
      <c r="T444" s="35">
        <f>COUNT(F444:R444)</f>
        <v>1</v>
      </c>
      <c r="U444" s="36">
        <f>IF(T444&gt;=2,ROUND((IF(T444=2,0.55,IF(T444&lt;=4,0.7,IF(T444&lt;=6,0.8,IF(T444&lt;=9,0.9,1))))*(S444/T444)+(1-(IF(T444=2,0.55,IF(T444&lt;=4,0.7,IF(T444&lt;=6,0.8,IF(T444&lt;=9,0.9,1))))))*$Y$1),1),"")</f>
      </c>
      <c r="V444" s="37">
        <v>5.4</v>
      </c>
      <c r="W444" s="38"/>
    </row>
    <row r="445" ht="24" customHeight="1" spans="1:23" x14ac:dyDescent="0.25">
      <c r="A445" s="31">
        <v>308</v>
      </c>
      <c r="B445" s="32" t="s">
        <v>511</v>
      </c>
      <c r="C445" s="33" t="s">
        <v>24</v>
      </c>
      <c r="D445" s="34">
        <v>1994</v>
      </c>
      <c r="E445" s="34" t="s">
        <v>30</v>
      </c>
      <c r="F445" s="6"/>
      <c r="G445" s="6">
        <v>7</v>
      </c>
      <c r="H445" s="6"/>
      <c r="I445" s="6"/>
      <c r="J445" s="6"/>
      <c r="K445" s="6">
        <v>6</v>
      </c>
      <c r="L445" s="6"/>
      <c r="M445" s="6"/>
      <c r="N445" s="6"/>
      <c r="O445" s="6"/>
      <c r="P445" s="6"/>
      <c r="Q445" s="6">
        <v>6</v>
      </c>
      <c r="R445" s="6"/>
      <c r="S445" s="35">
        <f>SUM(F445:R445)</f>
        <v>19</v>
      </c>
      <c r="T445" s="35">
        <f>COUNT(F445:R445)</f>
        <v>3</v>
      </c>
      <c r="U445" s="36">
        <f>IF(T445&gt;=2,ROUND((IF(T445=2,0.55,IF(T445&lt;=4,0.7,IF(T445&lt;=6,0.8,IF(T445&lt;=9,0.9,1))))*(S445/T445)+(1-(IF(T445=2,0.55,IF(T445&lt;=4,0.7,IF(T445&lt;=6,0.8,IF(T445&lt;=9,0.9,1))))))*$Y$1),1),"")</f>
        <v>6.9</v>
      </c>
      <c r="V445" s="37">
        <v>8.8</v>
      </c>
      <c r="W445" s="38"/>
    </row>
    <row r="446" ht="24" customHeight="1" spans="1:23" x14ac:dyDescent="0.25">
      <c r="A446" s="31">
        <v>216</v>
      </c>
      <c r="B446" s="32" t="s">
        <v>512</v>
      </c>
      <c r="C446" s="33" t="s">
        <v>24</v>
      </c>
      <c r="D446" s="34">
        <v>1960</v>
      </c>
      <c r="E446" s="34" t="s">
        <v>30</v>
      </c>
      <c r="F446" s="6">
        <v>10</v>
      </c>
      <c r="G446" s="6">
        <v>9</v>
      </c>
      <c r="H446" s="6">
        <v>10</v>
      </c>
      <c r="I446" s="6"/>
      <c r="J446" s="6">
        <v>10</v>
      </c>
      <c r="K446" s="6">
        <v>10</v>
      </c>
      <c r="L446" s="6">
        <v>10</v>
      </c>
      <c r="M446" s="6">
        <v>8</v>
      </c>
      <c r="N446" s="6">
        <v>8</v>
      </c>
      <c r="O446" s="6"/>
      <c r="P446" s="6">
        <v>10</v>
      </c>
      <c r="Q446" s="6">
        <v>10</v>
      </c>
      <c r="R446" s="6"/>
      <c r="S446" s="35">
        <f>SUM(F446:R446)</f>
        <v>95</v>
      </c>
      <c r="T446" s="35">
        <f>COUNT(F446:R446)</f>
        <v>10</v>
      </c>
      <c r="U446" s="36">
        <f>IF(T446&gt;=2,ROUND((IF(T446=2,0.55,IF(T446&lt;=4,0.7,IF(T446&lt;=6,0.8,IF(T446&lt;=9,0.9,1))))*(S446/T446)+(1-(IF(T446=2,0.55,IF(T446&lt;=4,0.7,IF(T446&lt;=6,0.8,IF(T446&lt;=9,0.9,1))))))*$Y$1),1),"")</f>
        <v>9.5</v>
      </c>
      <c r="V446" s="37">
        <v>8.5</v>
      </c>
      <c r="W446" s="38"/>
    </row>
    <row r="447" ht="24" customHeight="1" spans="1:23" x14ac:dyDescent="0.25">
      <c r="A447" s="31">
        <v>1801</v>
      </c>
      <c r="B447" s="32" t="s">
        <v>513</v>
      </c>
      <c r="C447" s="33" t="s">
        <v>29</v>
      </c>
      <c r="D447" s="34">
        <v>2024</v>
      </c>
      <c r="E447" s="34" t="s">
        <v>30</v>
      </c>
      <c r="F447" s="6"/>
      <c r="G447" s="6"/>
      <c r="H447" s="6"/>
      <c r="I447" s="6"/>
      <c r="J447" s="6"/>
      <c r="K447" s="6"/>
      <c r="L447" s="6"/>
      <c r="M447" s="6">
        <v>7</v>
      </c>
      <c r="N447" s="6"/>
      <c r="O447" s="6"/>
      <c r="P447" s="6"/>
      <c r="Q447" s="6"/>
      <c r="R447" s="6"/>
      <c r="S447" s="35">
        <f>SUM(F447:R447)</f>
        <v>7</v>
      </c>
      <c r="T447" s="35">
        <f>COUNT(F447:R447)</f>
        <v>1</v>
      </c>
      <c r="U447" s="36">
        <f>IF(T447&gt;=2,ROUND((IF(T447=2,0.55,IF(T447&lt;=4,0.7,IF(T447&lt;=6,0.8,IF(T447&lt;=9,0.9,1))))*(S447/T447)+(1-(IF(T447=2,0.55,IF(T447&lt;=4,0.7,IF(T447&lt;=6,0.8,IF(T447&lt;=9,0.9,1))))))*$Y$1),1),"")</f>
      </c>
      <c r="V447" s="37">
        <v>5.7</v>
      </c>
      <c r="W447" s="38"/>
    </row>
    <row r="448" ht="24" customHeight="1" spans="1:23" x14ac:dyDescent="0.25">
      <c r="A448" s="31">
        <v>1265</v>
      </c>
      <c r="B448" s="32" t="s">
        <v>514</v>
      </c>
      <c r="C448" s="33" t="s">
        <v>24</v>
      </c>
      <c r="D448" s="34">
        <v>2012</v>
      </c>
      <c r="E448" s="34" t="s">
        <v>106</v>
      </c>
      <c r="F448" s="6"/>
      <c r="G448" s="6"/>
      <c r="H448" s="6"/>
      <c r="I448" s="6"/>
      <c r="J448" s="6"/>
      <c r="K448" s="6"/>
      <c r="L448" s="6">
        <v>8</v>
      </c>
      <c r="M448" s="6"/>
      <c r="N448" s="6"/>
      <c r="O448" s="6"/>
      <c r="P448" s="6"/>
      <c r="Q448" s="6"/>
      <c r="R448" s="6"/>
      <c r="S448" s="35">
        <f>SUM(F448:R448)</f>
        <v>8</v>
      </c>
      <c r="T448" s="35">
        <f>COUNT(F448:R448)</f>
        <v>1</v>
      </c>
      <c r="U448" s="36">
        <f>IF(T448&gt;=2,ROUND((IF(T448=2,0.55,IF(T448&lt;=4,0.7,IF(T448&lt;=6,0.8,IF(T448&lt;=9,0.9,1))))*(S448/T448)+(1-(IF(T448=2,0.55,IF(T448&lt;=4,0.7,IF(T448&lt;=6,0.8,IF(T448&lt;=9,0.9,1))))))*$Y$1),1),"")</f>
      </c>
      <c r="V448" s="37">
        <v>7.3</v>
      </c>
      <c r="W448" s="38"/>
    </row>
    <row r="449" ht="24" customHeight="1" spans="1:23" x14ac:dyDescent="0.25">
      <c r="A449" s="31">
        <v>803</v>
      </c>
      <c r="B449" s="32" t="s">
        <v>515</v>
      </c>
      <c r="C449" s="33" t="s">
        <v>24</v>
      </c>
      <c r="D449" s="34">
        <v>1993</v>
      </c>
      <c r="E449" s="34" t="s">
        <v>92</v>
      </c>
      <c r="F449" s="6"/>
      <c r="G449" s="6"/>
      <c r="H449" s="6"/>
      <c r="I449" s="6"/>
      <c r="J449" s="6"/>
      <c r="K449" s="6">
        <v>8</v>
      </c>
      <c r="L449" s="6">
        <v>8</v>
      </c>
      <c r="M449" s="6"/>
      <c r="N449" s="6"/>
      <c r="O449" s="6"/>
      <c r="P449" s="6"/>
      <c r="Q449" s="6">
        <v>8</v>
      </c>
      <c r="R449" s="6"/>
      <c r="S449" s="35">
        <f>SUM(F449:R449)</f>
        <v>24</v>
      </c>
      <c r="T449" s="35">
        <f>COUNT(F449:R449)</f>
        <v>3</v>
      </c>
      <c r="U449" s="36">
        <f>IF(T449&gt;=2,ROUND((IF(T449=2,0.55,IF(T449&lt;=4,0.7,IF(T449&lt;=6,0.8,IF(T449&lt;=9,0.9,1))))*(S449/T449)+(1-(IF(T449=2,0.55,IF(T449&lt;=4,0.7,IF(T449&lt;=6,0.8,IF(T449&lt;=9,0.9,1))))))*$Y$1),1),"")</f>
        <v>8</v>
      </c>
      <c r="V449" s="37">
        <v>6.1</v>
      </c>
      <c r="W449" s="38"/>
    </row>
    <row r="450" ht="24" customHeight="1" spans="1:23" x14ac:dyDescent="0.25">
      <c r="A450" s="40">
        <v>2288</v>
      </c>
      <c r="B450" s="32" t="s">
        <v>516</v>
      </c>
      <c r="C450" s="33" t="s">
        <v>24</v>
      </c>
      <c r="D450" s="34">
        <v>2012</v>
      </c>
      <c r="E450" s="41"/>
      <c r="F450" s="6"/>
      <c r="G450" s="6">
        <v>8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35">
        <f>SUM(F450:R450)</f>
        <v>8</v>
      </c>
      <c r="T450" s="35">
        <f>COUNT(F450:R450)</f>
        <v>1</v>
      </c>
      <c r="U450" s="36">
        <f>IF(T450&gt;=2,ROUND((IF(T450=2,0.55,IF(T450&lt;=4,0.7,IF(T450&lt;=6,0.8,IF(T450&lt;=9,0.9,1))))*(S450/T450)+(1-(IF(T450=2,0.55,IF(T450&lt;=4,0.7,IF(T450&lt;=6,0.8,IF(T450&lt;=9,0.9,1))))))*$Y$1),1),"")</f>
      </c>
      <c r="V450" s="37">
        <v>7</v>
      </c>
      <c r="W450" s="38"/>
    </row>
    <row r="451" ht="24" customHeight="1" spans="1:23" s="39" customFormat="1" x14ac:dyDescent="0.25">
      <c r="A451" s="31">
        <v>957</v>
      </c>
      <c r="B451" s="32" t="s">
        <v>517</v>
      </c>
      <c r="C451" s="33" t="s">
        <v>114</v>
      </c>
      <c r="D451" s="34">
        <v>2020</v>
      </c>
      <c r="E451" s="34" t="s">
        <v>30</v>
      </c>
      <c r="F451" s="6">
        <v>10</v>
      </c>
      <c r="G451" s="6">
        <v>8</v>
      </c>
      <c r="H451" s="6">
        <v>8</v>
      </c>
      <c r="I451" s="6">
        <v>10</v>
      </c>
      <c r="J451" s="6">
        <v>10</v>
      </c>
      <c r="K451" s="6">
        <v>10</v>
      </c>
      <c r="L451" s="6">
        <v>10</v>
      </c>
      <c r="M451" s="6"/>
      <c r="N451" s="6">
        <v>10</v>
      </c>
      <c r="O451" s="6">
        <v>10</v>
      </c>
      <c r="P451" s="6">
        <v>10</v>
      </c>
      <c r="Q451" s="6">
        <v>10</v>
      </c>
      <c r="R451" s="6">
        <v>10</v>
      </c>
      <c r="S451" s="35">
        <f>SUM(F451:R451)</f>
        <v>116</v>
      </c>
      <c r="T451" s="35">
        <f>COUNT(F451:R451)</f>
        <v>12</v>
      </c>
      <c r="U451" s="36">
        <f>IF(T451&gt;=2,ROUND((IF(T451=2,0.55,IF(T451&lt;=4,0.7,IF(T451&lt;=6,0.8,IF(T451&lt;=9,0.9,1))))*(S451/T451)+(1-(IF(T451=2,0.55,IF(T451&lt;=4,0.7,IF(T451&lt;=6,0.8,IF(T451&lt;=9,0.9,1))))))*$Y$1),1),"")</f>
        <v>9.7</v>
      </c>
      <c r="V451" s="37">
        <v>8.1</v>
      </c>
      <c r="W451" s="38"/>
    </row>
    <row r="452" ht="24" customHeight="1" spans="1:23" x14ac:dyDescent="0.25">
      <c r="A452" s="47">
        <v>1603</v>
      </c>
      <c r="B452" s="32" t="s">
        <v>518</v>
      </c>
      <c r="C452" s="48" t="s">
        <v>24</v>
      </c>
      <c r="D452" s="49">
        <v>2017</v>
      </c>
      <c r="E452" s="49" t="s">
        <v>30</v>
      </c>
      <c r="F452" s="6">
        <v>7</v>
      </c>
      <c r="G452" s="6"/>
      <c r="H452" s="6">
        <v>7</v>
      </c>
      <c r="I452" s="6">
        <v>8</v>
      </c>
      <c r="J452" s="6">
        <v>8</v>
      </c>
      <c r="K452" s="6"/>
      <c r="L452" s="6"/>
      <c r="M452" s="6"/>
      <c r="N452" s="6">
        <v>7</v>
      </c>
      <c r="O452" s="6">
        <v>9</v>
      </c>
      <c r="P452" s="6">
        <v>8</v>
      </c>
      <c r="Q452" s="6"/>
      <c r="R452" s="6">
        <v>9</v>
      </c>
      <c r="S452" s="50">
        <f>SUM(F452:R452)</f>
        <v>63</v>
      </c>
      <c r="T452" s="50">
        <f>COUNT(F452:R452)</f>
        <v>8</v>
      </c>
      <c r="U452" s="36">
        <f>IF(T452&gt;=2,ROUND((IF(T452=2,0.55,IF(T452&lt;=4,0.7,IF(T452&lt;=6,0.8,IF(T452&lt;=9,0.9,1))))*(S452/T452)+(1-(IF(T452=2,0.55,IF(T452&lt;=4,0.7,IF(T452&lt;=6,0.8,IF(T452&lt;=9,0.9,1))))))*$Y$1),1),"")</f>
        <v>7.9</v>
      </c>
      <c r="V452" s="37">
        <v>7</v>
      </c>
      <c r="W452" s="38" t="s">
        <v>44</v>
      </c>
    </row>
    <row r="453" ht="24" customHeight="1" spans="1:23" x14ac:dyDescent="0.25">
      <c r="A453" s="31">
        <v>1505</v>
      </c>
      <c r="B453" s="32" t="s">
        <v>519</v>
      </c>
      <c r="C453" s="33" t="s">
        <v>24</v>
      </c>
      <c r="D453" s="34">
        <v>2023</v>
      </c>
      <c r="E453" s="34" t="s">
        <v>30</v>
      </c>
      <c r="F453" s="6"/>
      <c r="G453" s="6"/>
      <c r="H453" s="6"/>
      <c r="I453" s="6"/>
      <c r="J453" s="6"/>
      <c r="K453" s="6"/>
      <c r="L453" s="6"/>
      <c r="M453" s="6"/>
      <c r="N453" s="6"/>
      <c r="O453" s="6">
        <v>8</v>
      </c>
      <c r="P453" s="6"/>
      <c r="Q453" s="6"/>
      <c r="R453" s="6"/>
      <c r="S453" s="35">
        <f>SUM(F453:R453)</f>
        <v>8</v>
      </c>
      <c r="T453" s="35">
        <f>COUNT(F453:R453)</f>
        <v>1</v>
      </c>
      <c r="U453" s="36">
        <f>IF(T453&gt;=2,ROUND((IF(T453=2,0.55,IF(T453&lt;=4,0.7,IF(T453&lt;=6,0.8,IF(T453&lt;=9,0.9,1))))*(S453/T453)+(1-(IF(T453=2,0.55,IF(T453&lt;=4,0.7,IF(T453&lt;=6,0.8,IF(T453&lt;=9,0.9,1))))))*$Y$1),1),"")</f>
      </c>
      <c r="V453" s="37">
        <v>6.1</v>
      </c>
      <c r="W453" s="38"/>
    </row>
    <row r="454" ht="47.25" customHeight="1" spans="1:23" x14ac:dyDescent="0.25">
      <c r="A454" s="40">
        <v>2248</v>
      </c>
      <c r="B454" s="32" t="s">
        <v>520</v>
      </c>
      <c r="C454" s="33" t="s">
        <v>24</v>
      </c>
      <c r="D454" s="34">
        <v>2009</v>
      </c>
      <c r="E454" s="41"/>
      <c r="F454" s="6"/>
      <c r="G454" s="6">
        <v>7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35">
        <f>SUM(F454:R454)</f>
        <v>7</v>
      </c>
      <c r="T454" s="35">
        <f>COUNT(F454:R454)</f>
        <v>1</v>
      </c>
      <c r="U454" s="36">
        <f>IF(T454&gt;=2,ROUND((IF(T454=2,0.55,IF(T454&lt;=4,0.7,IF(T454&lt;=6,0.8,IF(T454&lt;=9,0.9,1))))*(S454/T454)+(1-(IF(T454=2,0.55,IF(T454&lt;=4,0.7,IF(T454&lt;=6,0.8,IF(T454&lt;=9,0.9,1))))))*$Y$1),1),"")</f>
      </c>
      <c r="V454" s="37">
        <v>7.9</v>
      </c>
      <c r="W454" s="38"/>
    </row>
    <row r="455" ht="24" customHeight="1" spans="1:23" x14ac:dyDescent="0.25">
      <c r="A455" s="31">
        <v>1893</v>
      </c>
      <c r="B455" s="32" t="s">
        <v>521</v>
      </c>
      <c r="C455" s="33" t="s">
        <v>114</v>
      </c>
      <c r="D455" s="34">
        <v>2024</v>
      </c>
      <c r="E455" s="34" t="s">
        <v>30</v>
      </c>
      <c r="F455" s="6"/>
      <c r="G455" s="6"/>
      <c r="H455" s="6"/>
      <c r="I455" s="6"/>
      <c r="J455" s="6"/>
      <c r="K455" s="6"/>
      <c r="L455" s="6"/>
      <c r="M455" s="6">
        <v>7</v>
      </c>
      <c r="N455" s="6"/>
      <c r="O455" s="6"/>
      <c r="P455" s="6"/>
      <c r="Q455" s="6"/>
      <c r="R455" s="6"/>
      <c r="S455" s="35">
        <f>SUM(F455:R455)</f>
        <v>7</v>
      </c>
      <c r="T455" s="35">
        <f>COUNT(F455:R455)</f>
        <v>1</v>
      </c>
      <c r="U455" s="36">
        <f>IF(T455&gt;=2,ROUND((IF(T455=2,0.55,IF(T455&lt;=4,0.7,IF(T455&lt;=6,0.8,IF(T455&lt;=9,0.9,1))))*(S455/T455)+(1-(IF(T455=2,0.55,IF(T455&lt;=4,0.7,IF(T455&lt;=6,0.8,IF(T455&lt;=9,0.9,1))))))*$Y$1),1),"")</f>
      </c>
      <c r="V455" s="37">
        <v>6.2</v>
      </c>
      <c r="W455" s="38"/>
    </row>
    <row r="456" ht="24" customHeight="1" spans="1:23" s="39" customFormat="1" x14ac:dyDescent="0.25">
      <c r="A456" s="31">
        <v>1673</v>
      </c>
      <c r="B456" s="32" t="s">
        <v>522</v>
      </c>
      <c r="C456" s="33" t="s">
        <v>24</v>
      </c>
      <c r="D456" s="34">
        <v>1994</v>
      </c>
      <c r="E456" s="34" t="s">
        <v>27</v>
      </c>
      <c r="F456" s="6"/>
      <c r="G456" s="6"/>
      <c r="H456" s="6"/>
      <c r="I456" s="6"/>
      <c r="J456" s="6"/>
      <c r="K456" s="6">
        <v>8</v>
      </c>
      <c r="L456" s="6"/>
      <c r="M456" s="6"/>
      <c r="N456" s="6"/>
      <c r="O456" s="6"/>
      <c r="P456" s="6"/>
      <c r="Q456" s="6">
        <v>8</v>
      </c>
      <c r="R456" s="6"/>
      <c r="S456" s="35">
        <f>SUM(F456:R456)</f>
        <v>16</v>
      </c>
      <c r="T456" s="35">
        <f>COUNT(F456:R456)</f>
        <v>2</v>
      </c>
      <c r="U456" s="36">
        <f>IF(T456&gt;=2,ROUND((IF(T456=2,0.55,IF(T456&lt;=4,0.7,IF(T456&lt;=6,0.8,IF(T456&lt;=9,0.9,1))))*(S456/T456)+(1-(IF(T456=2,0.55,IF(T456&lt;=4,0.7,IF(T456&lt;=6,0.8,IF(T456&lt;=9,0.9,1))))))*$Y$1),1),"")</f>
        <v>8</v>
      </c>
      <c r="V456" s="37">
        <v>7.5</v>
      </c>
      <c r="W456" s="38"/>
    </row>
    <row r="457" ht="24" customHeight="1" spans="1:23" x14ac:dyDescent="0.25">
      <c r="A457" s="31">
        <v>2482</v>
      </c>
      <c r="B457" s="32" t="s">
        <v>523</v>
      </c>
      <c r="C457" s="33" t="s">
        <v>24</v>
      </c>
      <c r="D457" s="34">
        <v>2023</v>
      </c>
      <c r="E457" s="41"/>
      <c r="F457" s="6"/>
      <c r="G457" s="6"/>
      <c r="H457" s="6"/>
      <c r="I457" s="6"/>
      <c r="J457" s="6"/>
      <c r="K457" s="6"/>
      <c r="L457" s="6">
        <v>7</v>
      </c>
      <c r="M457" s="6"/>
      <c r="N457" s="6"/>
      <c r="O457" s="6"/>
      <c r="P457" s="6"/>
      <c r="Q457" s="6"/>
      <c r="R457" s="6"/>
      <c r="S457" s="35">
        <f>SUM(F457:R457)</f>
        <v>7</v>
      </c>
      <c r="T457" s="35">
        <f>COUNT(F457:R457)</f>
        <v>1</v>
      </c>
      <c r="U457" s="36">
        <f>IF(T457&gt;=2,ROUND((IF(T457=2,0.55,IF(T457&lt;=4,0.7,IF(T457&lt;=6,0.8,IF(T457&lt;=9,0.9,1))))*(S457/T457)+(1-(IF(T457=2,0.55,IF(T457&lt;=4,0.7,IF(T457&lt;=6,0.8,IF(T457&lt;=9,0.9,1))))))*$Y$1),1),"")</f>
      </c>
      <c r="V457" s="37">
        <v>6.4</v>
      </c>
      <c r="W457" s="38"/>
    </row>
    <row r="458" ht="24" customHeight="1" spans="1:23" x14ac:dyDescent="0.25">
      <c r="A458" s="31">
        <v>195</v>
      </c>
      <c r="B458" s="32" t="s">
        <v>524</v>
      </c>
      <c r="C458" s="33" t="s">
        <v>24</v>
      </c>
      <c r="D458" s="34">
        <v>2017</v>
      </c>
      <c r="E458" s="34" t="s">
        <v>30</v>
      </c>
      <c r="F458" s="6"/>
      <c r="G458" s="6"/>
      <c r="H458" s="6"/>
      <c r="I458" s="6"/>
      <c r="J458" s="6">
        <v>8</v>
      </c>
      <c r="K458" s="6"/>
      <c r="L458" s="6"/>
      <c r="M458" s="6"/>
      <c r="N458" s="6"/>
      <c r="O458" s="6"/>
      <c r="P458" s="6"/>
      <c r="Q458" s="6"/>
      <c r="R458" s="6">
        <v>10</v>
      </c>
      <c r="S458" s="35">
        <f>SUM(F458:R458)</f>
        <v>18</v>
      </c>
      <c r="T458" s="35">
        <f>COUNT(F458:R458)</f>
        <v>2</v>
      </c>
      <c r="U458" s="36">
        <f>IF(T458&gt;=2,ROUND((IF(T458=2,0.55,IF(T458&lt;=4,0.7,IF(T458&lt;=6,0.8,IF(T458&lt;=9,0.9,1))))*(S458/T458)+(1-(IF(T458=2,0.55,IF(T458&lt;=4,0.7,IF(T458&lt;=6,0.8,IF(T458&lt;=9,0.9,1))))))*$Y$1),1),"")</f>
        <v>8.6</v>
      </c>
      <c r="V458" s="37">
        <v>7.2</v>
      </c>
      <c r="W458" s="38"/>
    </row>
    <row r="459" ht="24" customHeight="1" spans="1:23" s="39" customFormat="1" x14ac:dyDescent="0.25">
      <c r="A459" s="31">
        <v>669</v>
      </c>
      <c r="B459" s="67" t="s">
        <v>525</v>
      </c>
      <c r="C459" s="33" t="s">
        <v>24</v>
      </c>
      <c r="D459" s="34">
        <v>2008</v>
      </c>
      <c r="E459" s="34" t="s">
        <v>526</v>
      </c>
      <c r="F459" s="6"/>
      <c r="G459" s="6"/>
      <c r="H459" s="6"/>
      <c r="I459" s="6">
        <v>10</v>
      </c>
      <c r="J459" s="6"/>
      <c r="K459" s="6">
        <v>8</v>
      </c>
      <c r="L459" s="6">
        <v>8</v>
      </c>
      <c r="M459" s="6"/>
      <c r="N459" s="6"/>
      <c r="O459" s="6"/>
      <c r="P459" s="6"/>
      <c r="Q459" s="6">
        <v>8</v>
      </c>
      <c r="R459" s="6"/>
      <c r="S459" s="35">
        <f>SUM(F459:R459)</f>
        <v>34</v>
      </c>
      <c r="T459" s="35">
        <f>COUNT(F459:R459)</f>
        <v>4</v>
      </c>
      <c r="U459" s="36">
        <f>IF(T459&gt;=2,ROUND((IF(T459=2,0.55,IF(T459&lt;=4,0.7,IF(T459&lt;=6,0.8,IF(T459&lt;=9,0.9,1))))*(S459/T459)+(1-(IF(T459=2,0.55,IF(T459&lt;=4,0.7,IF(T459&lt;=6,0.8,IF(T459&lt;=9,0.9,1))))))*$Y$1),1),"")</f>
        <v>8.4</v>
      </c>
      <c r="V459" s="37">
        <v>8.1</v>
      </c>
      <c r="W459" s="38"/>
    </row>
    <row r="460" ht="24" customHeight="1" spans="1:23" x14ac:dyDescent="0.25">
      <c r="A460" s="31">
        <v>362</v>
      </c>
      <c r="B460" s="32" t="s">
        <v>527</v>
      </c>
      <c r="C460" s="33" t="s">
        <v>24</v>
      </c>
      <c r="D460" s="34">
        <v>2018</v>
      </c>
      <c r="E460" s="34" t="s">
        <v>528</v>
      </c>
      <c r="F460" s="6">
        <v>8</v>
      </c>
      <c r="G460" s="6"/>
      <c r="H460" s="6">
        <v>10</v>
      </c>
      <c r="I460" s="6">
        <v>8</v>
      </c>
      <c r="J460" s="6"/>
      <c r="K460" s="6">
        <v>8</v>
      </c>
      <c r="L460" s="6">
        <v>8</v>
      </c>
      <c r="M460" s="6"/>
      <c r="N460" s="6"/>
      <c r="O460" s="6">
        <v>10</v>
      </c>
      <c r="P460" s="6"/>
      <c r="Q460" s="6">
        <v>8</v>
      </c>
      <c r="R460" s="6"/>
      <c r="S460" s="35">
        <f>SUM(F460:R460)</f>
        <v>60</v>
      </c>
      <c r="T460" s="35">
        <f>COUNT(F460:R460)</f>
        <v>7</v>
      </c>
      <c r="U460" s="36">
        <f>IF(T460&gt;=2,ROUND((IF(T460=2,0.55,IF(T460&lt;=4,0.7,IF(T460&lt;=6,0.8,IF(T460&lt;=9,0.9,1))))*(S460/T460)+(1-(IF(T460=2,0.55,IF(T460&lt;=4,0.7,IF(T460&lt;=6,0.8,IF(T460&lt;=9,0.9,1))))))*$Y$1),1),"")</f>
        <v>8.5</v>
      </c>
      <c r="V460" s="37">
        <v>6.6</v>
      </c>
      <c r="W460" s="38"/>
    </row>
    <row r="461" ht="24" customHeight="1" spans="1:23" x14ac:dyDescent="0.25">
      <c r="A461" s="40">
        <v>2141</v>
      </c>
      <c r="B461" s="32" t="s">
        <v>529</v>
      </c>
      <c r="C461" s="33" t="s">
        <v>24</v>
      </c>
      <c r="D461" s="34">
        <v>2003</v>
      </c>
      <c r="E461" s="41"/>
      <c r="F461" s="6"/>
      <c r="G461" s="6">
        <v>7</v>
      </c>
      <c r="H461" s="6"/>
      <c r="I461" s="6"/>
      <c r="J461" s="6"/>
      <c r="K461" s="6"/>
      <c r="L461" s="6"/>
      <c r="M461" s="6"/>
      <c r="N461" s="6"/>
      <c r="O461" s="6"/>
      <c r="P461" s="6">
        <v>8</v>
      </c>
      <c r="Q461" s="6"/>
      <c r="R461" s="6"/>
      <c r="S461" s="35">
        <f>SUM(F461:R461)</f>
        <v>15</v>
      </c>
      <c r="T461" s="35">
        <f>COUNT(F461:R461)</f>
        <v>2</v>
      </c>
      <c r="U461" s="36">
        <f>IF(T461&gt;=2,ROUND((IF(T461=2,0.55,IF(T461&lt;=4,0.7,IF(T461&lt;=6,0.8,IF(T461&lt;=9,0.9,1))))*(S461/T461)+(1-(IF(T461=2,0.55,IF(T461&lt;=4,0.7,IF(T461&lt;=6,0.8,IF(T461&lt;=9,0.9,1))))))*$Y$1),1),"")</f>
        <v>7.8</v>
      </c>
      <c r="V461" s="37">
        <v>8</v>
      </c>
      <c r="W461" s="38"/>
    </row>
    <row r="462" ht="24" customHeight="1" spans="1:23" x14ac:dyDescent="0.25">
      <c r="A462" s="31">
        <v>2503</v>
      </c>
      <c r="B462" s="32" t="s">
        <v>530</v>
      </c>
      <c r="C462" s="33" t="s">
        <v>24</v>
      </c>
      <c r="D462" s="34">
        <v>2026</v>
      </c>
      <c r="E462" s="34"/>
      <c r="F462" s="6"/>
      <c r="G462" s="6"/>
      <c r="H462" s="6"/>
      <c r="I462" s="6"/>
      <c r="J462" s="6"/>
      <c r="K462" s="6"/>
      <c r="L462" s="6">
        <v>8</v>
      </c>
      <c r="M462" s="6"/>
      <c r="N462" s="6"/>
      <c r="O462" s="6"/>
      <c r="P462" s="6"/>
      <c r="Q462" s="6"/>
      <c r="R462" s="6"/>
      <c r="S462" s="35">
        <f>SUM(F462:R462)</f>
        <v>8</v>
      </c>
      <c r="T462" s="35">
        <f>COUNT(F462:R462)</f>
        <v>1</v>
      </c>
      <c r="U462" s="36">
        <f>IF(T462&gt;=2,ROUND((IF(T462=2,0.55,IF(T462&lt;=4,0.7,IF(T462&lt;=6,0.8,IF(T462&lt;=9,0.9,1))))*(S462/T462)+(1-(IF(T462=2,0.55,IF(T462&lt;=4,0.7,IF(T462&lt;=6,0.8,IF(T462&lt;=9,0.9,1))))))*$Y$1),1),"")</f>
      </c>
      <c r="V462" s="37">
        <v>7.3</v>
      </c>
      <c r="W462" s="38"/>
    </row>
    <row r="463" ht="24" customHeight="1" spans="1:23" x14ac:dyDescent="0.25">
      <c r="A463" s="31">
        <v>242</v>
      </c>
      <c r="B463" s="32" t="s">
        <v>531</v>
      </c>
      <c r="C463" s="33" t="s">
        <v>24</v>
      </c>
      <c r="D463" s="34">
        <v>2009</v>
      </c>
      <c r="E463" s="34" t="s">
        <v>30</v>
      </c>
      <c r="F463" s="6"/>
      <c r="G463" s="6">
        <v>6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35">
        <f>SUM(F463:R463)</f>
        <v>6</v>
      </c>
      <c r="T463" s="35">
        <f>COUNT(F463:R463)</f>
        <v>1</v>
      </c>
      <c r="U463" s="36">
        <f>IF(T463&gt;=2,ROUND((IF(T463=2,0.55,IF(T463&lt;=4,0.7,IF(T463&lt;=6,0.8,IF(T463&lt;=9,0.9,1))))*(S463/T463)+(1-(IF(T463=2,0.55,IF(T463&lt;=4,0.7,IF(T463&lt;=6,0.8,IF(T463&lt;=9,0.9,1))))))*$Y$1),1),"")</f>
      </c>
      <c r="V463" s="37">
        <v>6.2</v>
      </c>
      <c r="W463" s="38"/>
    </row>
    <row r="464" ht="24" customHeight="1" spans="1:23" x14ac:dyDescent="0.25">
      <c r="A464" s="31">
        <v>820</v>
      </c>
      <c r="B464" s="32" t="s">
        <v>532</v>
      </c>
      <c r="C464" s="33" t="s">
        <v>24</v>
      </c>
      <c r="D464" s="34">
        <v>1987</v>
      </c>
      <c r="E464" s="34" t="s">
        <v>27</v>
      </c>
      <c r="F464" s="6"/>
      <c r="G464" s="6"/>
      <c r="H464" s="6"/>
      <c r="I464" s="6"/>
      <c r="J464" s="6"/>
      <c r="K464" s="6">
        <v>8</v>
      </c>
      <c r="L464" s="6"/>
      <c r="M464" s="6"/>
      <c r="N464" s="6"/>
      <c r="O464" s="6"/>
      <c r="P464" s="6"/>
      <c r="Q464" s="6">
        <v>8</v>
      </c>
      <c r="R464" s="6"/>
      <c r="S464" s="35">
        <f>SUM(F464:R464)</f>
        <v>16</v>
      </c>
      <c r="T464" s="35">
        <f>COUNT(F464:R464)</f>
        <v>2</v>
      </c>
      <c r="U464" s="36">
        <f>IF(T464&gt;=2,ROUND((IF(T464=2,0.55,IF(T464&lt;=4,0.7,IF(T464&lt;=6,0.8,IF(T464&lt;=9,0.9,1))))*(S464/T464)+(1-(IF(T464=2,0.55,IF(T464&lt;=4,0.7,IF(T464&lt;=6,0.8,IF(T464&lt;=9,0.9,1))))))*$Y$1),1),"")</f>
        <v>8</v>
      </c>
      <c r="V464" s="37">
        <v>6.4</v>
      </c>
      <c r="W464" s="38"/>
    </row>
    <row r="465" ht="24" customHeight="1" spans="1:23" x14ac:dyDescent="0.25">
      <c r="A465" s="31">
        <v>544</v>
      </c>
      <c r="B465" s="32" t="s">
        <v>533</v>
      </c>
      <c r="C465" s="33" t="s">
        <v>24</v>
      </c>
      <c r="D465" s="34">
        <v>2002</v>
      </c>
      <c r="E465" s="34" t="s">
        <v>244</v>
      </c>
      <c r="F465" s="6"/>
      <c r="G465" s="6">
        <v>8</v>
      </c>
      <c r="H465" s="6">
        <v>8</v>
      </c>
      <c r="I465" s="6"/>
      <c r="J465" s="6">
        <v>8</v>
      </c>
      <c r="K465" s="6">
        <v>8</v>
      </c>
      <c r="L465" s="6">
        <v>8</v>
      </c>
      <c r="M465" s="6">
        <v>8</v>
      </c>
      <c r="N465" s="6"/>
      <c r="O465" s="6"/>
      <c r="P465" s="6">
        <v>8</v>
      </c>
      <c r="Q465" s="6">
        <v>8</v>
      </c>
      <c r="R465" s="6">
        <v>8</v>
      </c>
      <c r="S465" s="35">
        <f>SUM(F465:R465)</f>
        <v>72</v>
      </c>
      <c r="T465" s="35">
        <f>COUNT(F465:R465)</f>
        <v>9</v>
      </c>
      <c r="U465" s="36">
        <f>IF(T465&gt;=2,ROUND((IF(T465=2,0.55,IF(T465&lt;=4,0.7,IF(T465&lt;=6,0.8,IF(T465&lt;=9,0.9,1))))*(S465/T465)+(1-(IF(T465=2,0.55,IF(T465&lt;=4,0.7,IF(T465&lt;=6,0.8,IF(T465&lt;=9,0.9,1))))))*$Y$1),1),"")</f>
        <v>8</v>
      </c>
      <c r="V465" s="37">
        <v>8.1</v>
      </c>
      <c r="W465" s="38"/>
    </row>
    <row r="466" ht="24" customHeight="1" spans="1:23" x14ac:dyDescent="0.25">
      <c r="A466" s="31">
        <v>1209</v>
      </c>
      <c r="B466" s="32" t="s">
        <v>534</v>
      </c>
      <c r="C466" s="33" t="s">
        <v>114</v>
      </c>
      <c r="D466" s="34">
        <v>2007</v>
      </c>
      <c r="E466" s="34" t="s">
        <v>30</v>
      </c>
      <c r="F466" s="6"/>
      <c r="G466" s="6"/>
      <c r="H466" s="6"/>
      <c r="I466" s="6"/>
      <c r="J466" s="6"/>
      <c r="K466" s="6"/>
      <c r="L466" s="6"/>
      <c r="M466" s="6"/>
      <c r="N466" s="6"/>
      <c r="O466" s="6">
        <v>6</v>
      </c>
      <c r="P466" s="6"/>
      <c r="Q466" s="6"/>
      <c r="R466" s="6"/>
      <c r="S466" s="35">
        <f>SUM(F466:R466)</f>
        <v>6</v>
      </c>
      <c r="T466" s="35">
        <f>COUNT(F466:R466)</f>
        <v>1</v>
      </c>
      <c r="U466" s="36">
        <f>IF(T466&gt;=2,ROUND((IF(T466=2,0.55,IF(T466&lt;=4,0.7,IF(T466&lt;=6,0.8,IF(T466&lt;=9,0.9,1))))*(S466/T466)+(1-(IF(T466=2,0.55,IF(T466&lt;=4,0.7,IF(T466&lt;=6,0.8,IF(T466&lt;=9,0.9,1))))))*$Y$1),1),"")</f>
      </c>
      <c r="V466" s="37">
        <v>5.9</v>
      </c>
      <c r="W466" s="38"/>
    </row>
    <row r="467" ht="24" customHeight="1" spans="1:23" s="39" customFormat="1" x14ac:dyDescent="0.25">
      <c r="A467" s="31">
        <v>787</v>
      </c>
      <c r="B467" s="32" t="s">
        <v>535</v>
      </c>
      <c r="C467" s="33" t="s">
        <v>24</v>
      </c>
      <c r="D467" s="34">
        <v>2011</v>
      </c>
      <c r="E467" s="34" t="s">
        <v>27</v>
      </c>
      <c r="F467" s="6"/>
      <c r="G467" s="6">
        <v>8</v>
      </c>
      <c r="H467" s="6"/>
      <c r="I467" s="6"/>
      <c r="J467" s="6">
        <v>8</v>
      </c>
      <c r="K467" s="6"/>
      <c r="L467" s="6"/>
      <c r="M467" s="6"/>
      <c r="N467" s="6"/>
      <c r="O467" s="6"/>
      <c r="P467" s="6">
        <v>6</v>
      </c>
      <c r="Q467" s="6"/>
      <c r="R467" s="6"/>
      <c r="S467" s="35">
        <f>SUM(F467:R467)</f>
        <v>22</v>
      </c>
      <c r="T467" s="35">
        <f>COUNT(F467:R467)</f>
        <v>3</v>
      </c>
      <c r="U467" s="36">
        <f>IF(T467&gt;=2,ROUND((IF(T467=2,0.55,IF(T467&lt;=4,0.7,IF(T467&lt;=6,0.8,IF(T467&lt;=9,0.9,1))))*(S467/T467)+(1-(IF(T467=2,0.55,IF(T467&lt;=4,0.7,IF(T467&lt;=6,0.8,IF(T467&lt;=9,0.9,1))))))*$Y$1),1),"")</f>
        <v>7.6</v>
      </c>
      <c r="V467" s="37">
        <v>7.4</v>
      </c>
      <c r="W467" s="38"/>
    </row>
    <row r="468" ht="24" customHeight="1" spans="1:23" s="39" customFormat="1" x14ac:dyDescent="0.25">
      <c r="A468" s="31">
        <v>543</v>
      </c>
      <c r="B468" s="32" t="s">
        <v>536</v>
      </c>
      <c r="C468" s="33" t="s">
        <v>24</v>
      </c>
      <c r="D468" s="34">
        <v>2009</v>
      </c>
      <c r="E468" s="34" t="s">
        <v>27</v>
      </c>
      <c r="F468" s="6"/>
      <c r="G468" s="6">
        <v>8</v>
      </c>
      <c r="H468" s="6"/>
      <c r="I468" s="6"/>
      <c r="J468" s="6"/>
      <c r="K468" s="6"/>
      <c r="L468" s="6"/>
      <c r="M468" s="6"/>
      <c r="N468" s="6"/>
      <c r="O468" s="6"/>
      <c r="P468" s="6">
        <v>8</v>
      </c>
      <c r="Q468" s="6"/>
      <c r="R468" s="6"/>
      <c r="S468" s="35">
        <f>SUM(F468:R468)</f>
        <v>16</v>
      </c>
      <c r="T468" s="35">
        <f>COUNT(F468:R468)</f>
        <v>2</v>
      </c>
      <c r="U468" s="36">
        <f>IF(T468&gt;=2,ROUND((IF(T468=2,0.55,IF(T468&lt;=4,0.7,IF(T468&lt;=6,0.8,IF(T468&lt;=9,0.9,1))))*(S468/T468)+(1-(IF(T468=2,0.55,IF(T468&lt;=4,0.7,IF(T468&lt;=6,0.8,IF(T468&lt;=9,0.9,1))))))*$Y$1),1),"")</f>
        <v>8</v>
      </c>
      <c r="V468" s="37">
        <v>7.3</v>
      </c>
      <c r="W468" s="38"/>
    </row>
    <row r="469" ht="24" customHeight="1" spans="1:23" x14ac:dyDescent="0.25">
      <c r="A469" s="31">
        <v>2449</v>
      </c>
      <c r="B469" s="32" t="s">
        <v>537</v>
      </c>
      <c r="C469" s="33" t="s">
        <v>24</v>
      </c>
      <c r="D469" s="34">
        <v>2009</v>
      </c>
      <c r="E469" s="41"/>
      <c r="F469" s="6"/>
      <c r="G469" s="6"/>
      <c r="H469" s="6"/>
      <c r="I469" s="6"/>
      <c r="J469" s="6">
        <v>8</v>
      </c>
      <c r="K469" s="6"/>
      <c r="L469" s="6"/>
      <c r="M469" s="6"/>
      <c r="N469" s="6"/>
      <c r="O469" s="6"/>
      <c r="P469" s="6"/>
      <c r="Q469" s="6"/>
      <c r="R469" s="6"/>
      <c r="S469" s="35">
        <f>SUM(F469:R469)</f>
        <v>8</v>
      </c>
      <c r="T469" s="35">
        <f>COUNT(F469:R469)</f>
        <v>1</v>
      </c>
      <c r="U469" s="36">
        <f>IF(T469&gt;=2,ROUND((IF(T469=2,0.55,IF(T469&lt;=4,0.7,IF(T469&lt;=6,0.8,IF(T469&lt;=9,0.9,1))))*(S469/T469)+(1-(IF(T469=2,0.55,IF(T469&lt;=4,0.7,IF(T469&lt;=6,0.8,IF(T469&lt;=9,0.9,1))))))*$Y$1),1),"")</f>
      </c>
      <c r="V469" s="37">
        <v>7.3</v>
      </c>
      <c r="W469" s="38"/>
    </row>
    <row r="470" ht="24" customHeight="1" spans="1:23" s="39" customFormat="1" x14ac:dyDescent="0.25">
      <c r="A470" s="31">
        <v>436</v>
      </c>
      <c r="B470" s="32" t="s">
        <v>538</v>
      </c>
      <c r="C470" s="33" t="s">
        <v>24</v>
      </c>
      <c r="D470" s="34">
        <v>2014</v>
      </c>
      <c r="E470" s="34" t="s">
        <v>27</v>
      </c>
      <c r="F470" s="6"/>
      <c r="G470" s="6"/>
      <c r="H470" s="6">
        <v>8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35">
        <f>SUM(F470:R470)</f>
        <v>8</v>
      </c>
      <c r="T470" s="35">
        <f>COUNT(F470:R470)</f>
        <v>1</v>
      </c>
      <c r="U470" s="36">
        <f>IF(T470&gt;=2,ROUND((IF(T470=2,0.55,IF(T470&lt;=4,0.7,IF(T470&lt;=6,0.8,IF(T470&lt;=9,0.9,1))))*(S470/T470)+(1-(IF(T470=2,0.55,IF(T470&lt;=4,0.7,IF(T470&lt;=6,0.8,IF(T470&lt;=9,0.9,1))))))*$Y$1),1),"")</f>
      </c>
      <c r="V470" s="37">
        <v>6.3</v>
      </c>
      <c r="W470" s="38"/>
    </row>
    <row r="471" ht="24" customHeight="1" spans="1:23" s="39" customFormat="1" x14ac:dyDescent="0.25">
      <c r="A471" s="31">
        <v>1052</v>
      </c>
      <c r="B471" s="32" t="s">
        <v>539</v>
      </c>
      <c r="C471" s="33" t="s">
        <v>29</v>
      </c>
      <c r="D471" s="34">
        <v>2019</v>
      </c>
      <c r="E471" s="34" t="s">
        <v>30</v>
      </c>
      <c r="F471" s="6"/>
      <c r="G471" s="6"/>
      <c r="H471" s="6"/>
      <c r="I471" s="6"/>
      <c r="J471" s="6">
        <v>6</v>
      </c>
      <c r="K471" s="6"/>
      <c r="L471" s="6"/>
      <c r="M471" s="6"/>
      <c r="N471" s="6"/>
      <c r="O471" s="6"/>
      <c r="P471" s="6"/>
      <c r="Q471" s="6"/>
      <c r="R471" s="6"/>
      <c r="S471" s="35">
        <f>SUM(F471:R471)</f>
        <v>6</v>
      </c>
      <c r="T471" s="35">
        <f>COUNT(F471:R471)</f>
        <v>1</v>
      </c>
      <c r="U471" s="36">
        <f>IF(T471&gt;=2,ROUND((IF(T471=2,0.55,IF(T471&lt;=4,0.7,IF(T471&lt;=6,0.8,IF(T471&lt;=9,0.9,1))))*(S471/T471)+(1-(IF(T471=2,0.55,IF(T471&lt;=4,0.7,IF(T471&lt;=6,0.8,IF(T471&lt;=9,0.9,1))))))*$Y$1),1),"")</f>
      </c>
      <c r="V471" s="37">
        <v>8.7</v>
      </c>
      <c r="W471" s="38"/>
    </row>
    <row r="472" ht="24" customHeight="1" spans="1:23" x14ac:dyDescent="0.25">
      <c r="A472" s="31">
        <v>1353</v>
      </c>
      <c r="B472" s="32" t="s">
        <v>540</v>
      </c>
      <c r="C472" s="33" t="s">
        <v>24</v>
      </c>
      <c r="D472" s="34">
        <v>2019</v>
      </c>
      <c r="E472" s="34" t="s">
        <v>30</v>
      </c>
      <c r="F472" s="6"/>
      <c r="G472" s="6"/>
      <c r="H472" s="6"/>
      <c r="I472" s="6"/>
      <c r="J472" s="6"/>
      <c r="K472" s="6"/>
      <c r="L472" s="6"/>
      <c r="M472" s="6"/>
      <c r="N472" s="6">
        <v>8</v>
      </c>
      <c r="O472" s="6"/>
      <c r="P472" s="6"/>
      <c r="Q472" s="6"/>
      <c r="R472" s="6"/>
      <c r="S472" s="35">
        <f>SUM(F472:R472)</f>
        <v>8</v>
      </c>
      <c r="T472" s="35">
        <f>COUNT(F472:R472)</f>
        <v>1</v>
      </c>
      <c r="U472" s="36">
        <f>IF(T472&gt;=2,ROUND((IF(T472=2,0.55,IF(T472&lt;=4,0.7,IF(T472&lt;=6,0.8,IF(T472&lt;=9,0.9,1))))*(S472/T472)+(1-(IF(T472=2,0.55,IF(T472&lt;=4,0.7,IF(T472&lt;=6,0.8,IF(T472&lt;=9,0.9,1))))))*$Y$1),1),"")</f>
      </c>
      <c r="V472" s="37">
        <v>6.9</v>
      </c>
      <c r="W472" s="38"/>
    </row>
    <row r="473" ht="24" customHeight="1" spans="1:23" s="39" customFormat="1" x14ac:dyDescent="0.25">
      <c r="A473" s="31">
        <v>937</v>
      </c>
      <c r="B473" s="32" t="s">
        <v>541</v>
      </c>
      <c r="C473" s="33" t="s">
        <v>24</v>
      </c>
      <c r="D473" s="34">
        <v>2016</v>
      </c>
      <c r="E473" s="34" t="s">
        <v>30</v>
      </c>
      <c r="F473" s="6">
        <v>6</v>
      </c>
      <c r="G473" s="6"/>
      <c r="H473" s="6"/>
      <c r="I473" s="6"/>
      <c r="J473" s="6">
        <v>8</v>
      </c>
      <c r="K473" s="6"/>
      <c r="L473" s="6"/>
      <c r="M473" s="6"/>
      <c r="N473" s="6"/>
      <c r="O473" s="6"/>
      <c r="P473" s="6"/>
      <c r="Q473" s="6"/>
      <c r="R473" s="6"/>
      <c r="S473" s="35">
        <f>SUM(F473:R473)</f>
        <v>14</v>
      </c>
      <c r="T473" s="35">
        <f>COUNT(F473:R473)</f>
        <v>2</v>
      </c>
      <c r="U473" s="36">
        <f>IF(T473&gt;=2,ROUND((IF(T473=2,0.55,IF(T473&lt;=4,0.7,IF(T473&lt;=6,0.8,IF(T473&lt;=9,0.9,1))))*(S473/T473)+(1-(IF(T473=2,0.55,IF(T473&lt;=4,0.7,IF(T473&lt;=6,0.8,IF(T473&lt;=9,0.9,1))))))*$Y$1),1),"")</f>
        <v>7.5</v>
      </c>
      <c r="V473" s="37">
        <v>5.4</v>
      </c>
      <c r="W473" s="38"/>
    </row>
    <row r="474" ht="24" customHeight="1" spans="1:23" x14ac:dyDescent="0.25">
      <c r="A474" s="42">
        <v>122</v>
      </c>
      <c r="B474" s="32" t="s">
        <v>542</v>
      </c>
      <c r="C474" s="43" t="s">
        <v>24</v>
      </c>
      <c r="D474" s="44">
        <v>2020</v>
      </c>
      <c r="E474" s="44" t="s">
        <v>30</v>
      </c>
      <c r="F474" s="6">
        <v>8</v>
      </c>
      <c r="G474" s="6"/>
      <c r="H474" s="6">
        <v>6</v>
      </c>
      <c r="I474" s="6">
        <v>8</v>
      </c>
      <c r="J474" s="6">
        <v>8</v>
      </c>
      <c r="K474" s="6">
        <v>8</v>
      </c>
      <c r="L474" s="6">
        <v>6</v>
      </c>
      <c r="M474" s="6">
        <v>8</v>
      </c>
      <c r="N474" s="6">
        <v>8</v>
      </c>
      <c r="O474" s="6">
        <v>8</v>
      </c>
      <c r="P474" s="6">
        <v>6</v>
      </c>
      <c r="Q474" s="6">
        <v>8</v>
      </c>
      <c r="R474" s="6">
        <v>8</v>
      </c>
      <c r="S474" s="45">
        <f>SUM(F474:R474)</f>
        <v>90</v>
      </c>
      <c r="T474" s="45">
        <f>COUNT(F474:R474)</f>
        <v>12</v>
      </c>
      <c r="U474" s="36">
        <f>IF(T474&gt;=2,ROUND((IF(T474=2,0.55,IF(T474&lt;=4,0.7,IF(T474&lt;=6,0.8,IF(T474&lt;=9,0.9,1))))*(S474/T474)+(1-(IF(T474=2,0.55,IF(T474&lt;=4,0.7,IF(T474&lt;=6,0.8,IF(T474&lt;=9,0.9,1))))))*$Y$1),1),"")</f>
        <v>7.5</v>
      </c>
      <c r="V474" s="37">
        <v>6.6</v>
      </c>
      <c r="W474" s="38" t="s">
        <v>44</v>
      </c>
    </row>
    <row r="475" ht="24" customHeight="1" spans="1:23" x14ac:dyDescent="0.25">
      <c r="A475" s="42">
        <v>269</v>
      </c>
      <c r="B475" s="32" t="s">
        <v>543</v>
      </c>
      <c r="C475" s="43" t="s">
        <v>24</v>
      </c>
      <c r="D475" s="44">
        <v>2005</v>
      </c>
      <c r="E475" s="44" t="s">
        <v>30</v>
      </c>
      <c r="F475" s="6">
        <v>8</v>
      </c>
      <c r="G475" s="6">
        <v>8</v>
      </c>
      <c r="H475" s="6">
        <v>10</v>
      </c>
      <c r="I475" s="6">
        <v>8</v>
      </c>
      <c r="J475" s="6">
        <v>8</v>
      </c>
      <c r="K475" s="6">
        <v>10</v>
      </c>
      <c r="L475" s="6">
        <v>10</v>
      </c>
      <c r="M475" s="6">
        <v>8</v>
      </c>
      <c r="N475" s="6">
        <v>8</v>
      </c>
      <c r="O475" s="6"/>
      <c r="P475" s="6">
        <v>8</v>
      </c>
      <c r="Q475" s="6">
        <v>10</v>
      </c>
      <c r="R475" s="6">
        <v>8</v>
      </c>
      <c r="S475" s="45">
        <f>SUM(F475:R475)</f>
        <v>104</v>
      </c>
      <c r="T475" s="45">
        <f>COUNT(F475:R475)</f>
        <v>12</v>
      </c>
      <c r="U475" s="36">
        <f>IF(T475&gt;=2,ROUND((IF(T475=2,0.55,IF(T475&lt;=4,0.7,IF(T475&lt;=6,0.8,IF(T475&lt;=9,0.9,1))))*(S475/T475)+(1-(IF(T475=2,0.55,IF(T475&lt;=4,0.7,IF(T475&lt;=6,0.8,IF(T475&lt;=9,0.9,1))))))*$Y$1),1),"")</f>
        <v>8.7</v>
      </c>
      <c r="V475" s="37">
        <v>7.6</v>
      </c>
      <c r="W475" s="38" t="s">
        <v>44</v>
      </c>
    </row>
    <row r="476" ht="24" customHeight="1" spans="1:23" x14ac:dyDescent="0.25">
      <c r="A476" s="42">
        <v>1094</v>
      </c>
      <c r="B476" s="32" t="s">
        <v>544</v>
      </c>
      <c r="C476" s="43" t="s">
        <v>24</v>
      </c>
      <c r="D476" s="44">
        <v>2015</v>
      </c>
      <c r="E476" s="44" t="s">
        <v>25</v>
      </c>
      <c r="F476" s="6">
        <v>8</v>
      </c>
      <c r="G476" s="6">
        <v>9</v>
      </c>
      <c r="H476" s="6"/>
      <c r="I476" s="6">
        <v>10</v>
      </c>
      <c r="J476" s="6"/>
      <c r="K476" s="6">
        <v>10</v>
      </c>
      <c r="L476" s="6">
        <v>10</v>
      </c>
      <c r="M476" s="6">
        <v>8</v>
      </c>
      <c r="N476" s="6">
        <v>10</v>
      </c>
      <c r="O476" s="6">
        <v>10</v>
      </c>
      <c r="P476" s="6">
        <v>10</v>
      </c>
      <c r="Q476" s="6">
        <v>10</v>
      </c>
      <c r="R476" s="6">
        <v>8</v>
      </c>
      <c r="S476" s="45">
        <f>SUM(F476:R476)</f>
        <v>103</v>
      </c>
      <c r="T476" s="45">
        <f>COUNT(F476:R476)</f>
        <v>11</v>
      </c>
      <c r="U476" s="36">
        <f>IF(T476&gt;=2,ROUND((IF(T476=2,0.55,IF(T476&lt;=4,0.7,IF(T476&lt;=6,0.8,IF(T476&lt;=9,0.9,1))))*(S476/T476)+(1-(IF(T476=2,0.55,IF(T476&lt;=4,0.7,IF(T476&lt;=6,0.8,IF(T476&lt;=9,0.9,1))))))*$Y$1),1),"")</f>
        <v>9.4</v>
      </c>
      <c r="V476" s="37">
        <v>7.6</v>
      </c>
      <c r="W476" s="38" t="s">
        <v>44</v>
      </c>
    </row>
    <row r="477" ht="24" customHeight="1" spans="1:23" s="39" customFormat="1" x14ac:dyDescent="0.25">
      <c r="A477" s="31">
        <v>1044</v>
      </c>
      <c r="B477" s="32" t="s">
        <v>545</v>
      </c>
      <c r="C477" s="33" t="s">
        <v>29</v>
      </c>
      <c r="D477" s="34">
        <v>2015</v>
      </c>
      <c r="E477" s="34" t="s">
        <v>546</v>
      </c>
      <c r="F477" s="6"/>
      <c r="G477" s="6"/>
      <c r="H477" s="6"/>
      <c r="I477" s="6"/>
      <c r="J477" s="6"/>
      <c r="K477" s="6"/>
      <c r="L477" s="6">
        <v>10</v>
      </c>
      <c r="M477" s="6"/>
      <c r="N477" s="6"/>
      <c r="O477" s="6"/>
      <c r="P477" s="6"/>
      <c r="Q477" s="6"/>
      <c r="R477" s="6"/>
      <c r="S477" s="35">
        <f>SUM(F477:R477)</f>
        <v>10</v>
      </c>
      <c r="T477" s="35">
        <f>COUNT(F477:R477)</f>
        <v>1</v>
      </c>
      <c r="U477" s="36">
        <f>IF(T477&gt;=2,ROUND((IF(T477=2,0.55,IF(T477&lt;=4,0.7,IF(T477&lt;=6,0.8,IF(T477&lt;=9,0.9,1))))*(S477/T477)+(1-(IF(T477=2,0.55,IF(T477&lt;=4,0.7,IF(T477&lt;=6,0.8,IF(T477&lt;=9,0.9,1))))))*$Y$1),1),"")</f>
      </c>
      <c r="V477" s="37">
        <v>8.2</v>
      </c>
      <c r="W477" s="38"/>
    </row>
    <row r="478" ht="24" customHeight="1" spans="1:23" x14ac:dyDescent="0.25">
      <c r="A478" s="31">
        <v>1411</v>
      </c>
      <c r="B478" s="32" t="s">
        <v>547</v>
      </c>
      <c r="C478" s="33" t="s">
        <v>24</v>
      </c>
      <c r="D478" s="34">
        <v>2010</v>
      </c>
      <c r="E478" s="34" t="s">
        <v>48</v>
      </c>
      <c r="F478" s="6"/>
      <c r="G478" s="6">
        <v>7</v>
      </c>
      <c r="H478" s="6"/>
      <c r="I478" s="6"/>
      <c r="J478" s="6"/>
      <c r="K478" s="6"/>
      <c r="L478" s="6"/>
      <c r="M478" s="6"/>
      <c r="N478" s="6"/>
      <c r="O478" s="6"/>
      <c r="P478" s="6">
        <v>6</v>
      </c>
      <c r="Q478" s="6"/>
      <c r="R478" s="6"/>
      <c r="S478" s="35">
        <f>SUM(F478:R478)</f>
        <v>13</v>
      </c>
      <c r="T478" s="35">
        <f>COUNT(F478:R478)</f>
        <v>2</v>
      </c>
      <c r="U478" s="36">
        <f>IF(T478&gt;=2,ROUND((IF(T478=2,0.55,IF(T478&lt;=4,0.7,IF(T478&lt;=6,0.8,IF(T478&lt;=9,0.9,1))))*(S478/T478)+(1-(IF(T478=2,0.55,IF(T478&lt;=4,0.7,IF(T478&lt;=6,0.8,IF(T478&lt;=9,0.9,1))))))*$Y$1),1),"")</f>
        <v>7.2</v>
      </c>
      <c r="V478" s="37">
        <v>7.8</v>
      </c>
      <c r="W478" s="38"/>
    </row>
    <row r="479" ht="24" customHeight="1" spans="1:23" x14ac:dyDescent="0.25">
      <c r="A479" s="31">
        <v>351</v>
      </c>
      <c r="B479" s="32" t="s">
        <v>548</v>
      </c>
      <c r="C479" s="33" t="s">
        <v>24</v>
      </c>
      <c r="D479" s="34">
        <v>2018</v>
      </c>
      <c r="E479" s="34" t="s">
        <v>394</v>
      </c>
      <c r="F479" s="6"/>
      <c r="G479" s="6">
        <v>8</v>
      </c>
      <c r="H479" s="6"/>
      <c r="I479" s="6"/>
      <c r="J479" s="6"/>
      <c r="K479" s="6">
        <v>8</v>
      </c>
      <c r="L479" s="6"/>
      <c r="M479" s="6"/>
      <c r="N479" s="6"/>
      <c r="O479" s="6"/>
      <c r="P479" s="6">
        <v>8</v>
      </c>
      <c r="Q479" s="6">
        <v>8</v>
      </c>
      <c r="R479" s="6"/>
      <c r="S479" s="35">
        <f>SUM(F479:R479)</f>
        <v>32</v>
      </c>
      <c r="T479" s="35">
        <f>COUNT(F479:R479)</f>
        <v>4</v>
      </c>
      <c r="U479" s="36">
        <f>IF(T479&gt;=2,ROUND((IF(T479=2,0.55,IF(T479&lt;=4,0.7,IF(T479&lt;=6,0.8,IF(T479&lt;=9,0.9,1))))*(S479/T479)+(1-(IF(T479=2,0.55,IF(T479&lt;=4,0.7,IF(T479&lt;=6,0.8,IF(T479&lt;=9,0.9,1))))))*$Y$1),1),"")</f>
        <v>8</v>
      </c>
      <c r="V479" s="37">
        <v>7.1</v>
      </c>
      <c r="W479" s="38"/>
    </row>
    <row r="480" ht="47.25" customHeight="1" spans="1:23" x14ac:dyDescent="0.25">
      <c r="A480" s="31">
        <v>851</v>
      </c>
      <c r="B480" s="32" t="s">
        <v>549</v>
      </c>
      <c r="C480" s="33" t="s">
        <v>24</v>
      </c>
      <c r="D480" s="34">
        <v>2019</v>
      </c>
      <c r="E480" s="34" t="s">
        <v>27</v>
      </c>
      <c r="F480" s="6"/>
      <c r="G480" s="6"/>
      <c r="H480" s="6"/>
      <c r="I480" s="6"/>
      <c r="J480" s="6"/>
      <c r="K480" s="6">
        <v>6</v>
      </c>
      <c r="L480" s="6"/>
      <c r="M480" s="6"/>
      <c r="N480" s="6"/>
      <c r="O480" s="6"/>
      <c r="P480" s="6"/>
      <c r="Q480" s="6">
        <v>6</v>
      </c>
      <c r="R480" s="6"/>
      <c r="S480" s="35">
        <f>SUM(F480:R480)</f>
        <v>12</v>
      </c>
      <c r="T480" s="35">
        <f>COUNT(F480:R480)</f>
        <v>2</v>
      </c>
      <c r="U480" s="36">
        <f>IF(T480&gt;=2,ROUND((IF(T480=2,0.55,IF(T480&lt;=4,0.7,IF(T480&lt;=6,0.8,IF(T480&lt;=9,0.9,1))))*(S480/T480)+(1-(IF(T480=2,0.55,IF(T480&lt;=4,0.7,IF(T480&lt;=6,0.8,IF(T480&lt;=9,0.9,1))))))*$Y$1),1),"")</f>
        <v>6.9</v>
      </c>
      <c r="V480" s="37">
        <v>5.4</v>
      </c>
      <c r="W480" s="38"/>
    </row>
    <row r="481" ht="24" customHeight="1" spans="1:23" x14ac:dyDescent="0.25">
      <c r="A481" s="31">
        <v>1765</v>
      </c>
      <c r="B481" s="32" t="s">
        <v>550</v>
      </c>
      <c r="C481" s="33" t="s">
        <v>24</v>
      </c>
      <c r="D481" s="34">
        <v>2023</v>
      </c>
      <c r="E481" s="34" t="s">
        <v>111</v>
      </c>
      <c r="F481" s="6"/>
      <c r="G481" s="6">
        <v>8</v>
      </c>
      <c r="H481" s="6">
        <v>7</v>
      </c>
      <c r="I481" s="6"/>
      <c r="J481" s="6">
        <v>7</v>
      </c>
      <c r="K481" s="6"/>
      <c r="L481" s="6">
        <v>9</v>
      </c>
      <c r="M481" s="6"/>
      <c r="N481" s="6">
        <v>7</v>
      </c>
      <c r="O481" s="6"/>
      <c r="P481" s="6">
        <v>8</v>
      </c>
      <c r="Q481" s="6"/>
      <c r="R481" s="6"/>
      <c r="S481" s="35">
        <f>SUM(F481:R481)</f>
        <v>46</v>
      </c>
      <c r="T481" s="35">
        <f>COUNT(F481:R481)</f>
        <v>6</v>
      </c>
      <c r="U481" s="36">
        <f>IF(T481&gt;=2,ROUND((IF(T481=2,0.55,IF(T481&lt;=4,0.7,IF(T481&lt;=6,0.8,IF(T481&lt;=9,0.9,1))))*(S481/T481)+(1-(IF(T481=2,0.55,IF(T481&lt;=4,0.7,IF(T481&lt;=6,0.8,IF(T481&lt;=9,0.9,1))))))*$Y$1),1),"")</f>
        <v>7.8</v>
      </c>
      <c r="V481" s="37">
        <v>7.7</v>
      </c>
      <c r="W481" s="38"/>
    </row>
    <row r="482" ht="24" customHeight="1" spans="1:23" x14ac:dyDescent="0.25">
      <c r="A482" s="31">
        <v>120</v>
      </c>
      <c r="B482" s="32" t="s">
        <v>551</v>
      </c>
      <c r="C482" s="33" t="s">
        <v>24</v>
      </c>
      <c r="D482" s="34">
        <v>1986</v>
      </c>
      <c r="E482" s="34" t="s">
        <v>52</v>
      </c>
      <c r="F482" s="6">
        <v>8</v>
      </c>
      <c r="G482" s="6">
        <v>8</v>
      </c>
      <c r="H482" s="6"/>
      <c r="I482" s="6"/>
      <c r="J482" s="6"/>
      <c r="K482" s="6"/>
      <c r="L482" s="6">
        <v>10</v>
      </c>
      <c r="M482" s="6"/>
      <c r="N482" s="6">
        <v>8</v>
      </c>
      <c r="O482" s="6"/>
      <c r="P482" s="6">
        <v>8</v>
      </c>
      <c r="Q482" s="6"/>
      <c r="R482" s="6"/>
      <c r="S482" s="35">
        <f>SUM(F482:R482)</f>
        <v>42</v>
      </c>
      <c r="T482" s="35">
        <f>COUNT(F482:R482)</f>
        <v>5</v>
      </c>
      <c r="U482" s="36">
        <f>IF(T482&gt;=2,ROUND((IF(T482=2,0.55,IF(T482&lt;=4,0.7,IF(T482&lt;=6,0.8,IF(T482&lt;=9,0.9,1))))*(S482/T482)+(1-(IF(T482=2,0.55,IF(T482&lt;=4,0.7,IF(T482&lt;=6,0.8,IF(T482&lt;=9,0.9,1))))))*$Y$1),1),"")</f>
        <v>8.3</v>
      </c>
      <c r="V482" s="37">
        <v>8</v>
      </c>
      <c r="W482" s="38"/>
    </row>
    <row r="483" ht="24" customHeight="1" spans="1:23" s="39" customFormat="1" x14ac:dyDescent="0.25">
      <c r="A483" s="31">
        <v>1362</v>
      </c>
      <c r="B483" s="32" t="s">
        <v>552</v>
      </c>
      <c r="C483" s="33" t="s">
        <v>24</v>
      </c>
      <c r="D483" s="34">
        <v>2010</v>
      </c>
      <c r="E483" s="34" t="s">
        <v>30</v>
      </c>
      <c r="F483" s="6"/>
      <c r="G483" s="6"/>
      <c r="H483" s="6"/>
      <c r="I483" s="6"/>
      <c r="J483" s="6"/>
      <c r="K483" s="6"/>
      <c r="L483" s="6"/>
      <c r="M483" s="6"/>
      <c r="N483" s="6"/>
      <c r="O483" s="6">
        <v>6</v>
      </c>
      <c r="P483" s="6"/>
      <c r="Q483" s="6"/>
      <c r="R483" s="6"/>
      <c r="S483" s="35">
        <f>SUM(F483:R483)</f>
        <v>6</v>
      </c>
      <c r="T483" s="35">
        <f>COUNT(F483:R483)</f>
        <v>1</v>
      </c>
      <c r="U483" s="36">
        <f>IF(T483&gt;=2,ROUND((IF(T483=2,0.55,IF(T483&lt;=4,0.7,IF(T483&lt;=6,0.8,IF(T483&lt;=9,0.9,1))))*(S483/T483)+(1-(IF(T483=2,0.55,IF(T483&lt;=4,0.7,IF(T483&lt;=6,0.8,IF(T483&lt;=9,0.9,1))))))*$Y$1),1),"")</f>
      </c>
      <c r="V483" s="37">
        <v>5.3</v>
      </c>
      <c r="W483" s="38"/>
    </row>
    <row r="484" ht="24" customHeight="1" spans="1:23" x14ac:dyDescent="0.25">
      <c r="A484" s="31">
        <v>542</v>
      </c>
      <c r="B484" s="32" t="s">
        <v>553</v>
      </c>
      <c r="C484" s="33" t="s">
        <v>24</v>
      </c>
      <c r="D484" s="34">
        <v>2003</v>
      </c>
      <c r="E484" s="34" t="s">
        <v>27</v>
      </c>
      <c r="F484" s="6"/>
      <c r="G484" s="6">
        <v>8</v>
      </c>
      <c r="H484" s="6"/>
      <c r="I484" s="6"/>
      <c r="J484" s="6"/>
      <c r="K484" s="6">
        <v>8</v>
      </c>
      <c r="L484" s="6"/>
      <c r="M484" s="6">
        <v>8</v>
      </c>
      <c r="N484" s="6"/>
      <c r="O484" s="6"/>
      <c r="P484" s="6">
        <v>8</v>
      </c>
      <c r="Q484" s="6">
        <v>8</v>
      </c>
      <c r="R484" s="6"/>
      <c r="S484" s="35">
        <f>SUM(F484:R484)</f>
        <v>40</v>
      </c>
      <c r="T484" s="35">
        <f>COUNT(F484:R484)</f>
        <v>5</v>
      </c>
      <c r="U484" s="36">
        <f>IF(T484&gt;=2,ROUND((IF(T484=2,0.55,IF(T484&lt;=4,0.7,IF(T484&lt;=6,0.8,IF(T484&lt;=9,0.9,1))))*(S484/T484)+(1-(IF(T484=2,0.55,IF(T484&lt;=4,0.7,IF(T484&lt;=6,0.8,IF(T484&lt;=9,0.9,1))))))*$Y$1),1),"")</f>
        <v>8</v>
      </c>
      <c r="V484" s="37">
        <v>8.1</v>
      </c>
      <c r="W484" s="38"/>
    </row>
    <row r="485" ht="24" customHeight="1" spans="1:23" x14ac:dyDescent="0.25">
      <c r="A485" s="40">
        <v>2109</v>
      </c>
      <c r="B485" s="32" t="s">
        <v>554</v>
      </c>
      <c r="C485" s="33" t="s">
        <v>24</v>
      </c>
      <c r="D485" s="34">
        <v>1999</v>
      </c>
      <c r="E485" s="41"/>
      <c r="F485" s="6"/>
      <c r="G485" s="6">
        <v>8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35">
        <f>SUM(F485:R485)</f>
        <v>8</v>
      </c>
      <c r="T485" s="35">
        <f>COUNT(F485:R485)</f>
        <v>1</v>
      </c>
      <c r="U485" s="36">
        <f>IF(T485&gt;=2,ROUND((IF(T485=2,0.55,IF(T485&lt;=4,0.7,IF(T485&lt;=6,0.8,IF(T485&lt;=9,0.9,1))))*(S485/T485)+(1-(IF(T485=2,0.55,IF(T485&lt;=4,0.7,IF(T485&lt;=6,0.8,IF(T485&lt;=9,0.9,1))))))*$Y$1),1),"")</f>
      </c>
      <c r="V485" s="37">
        <v>7.2</v>
      </c>
      <c r="W485" s="38"/>
    </row>
    <row r="486" ht="47.25" customHeight="1" spans="1:23" x14ac:dyDescent="0.25">
      <c r="A486" s="31">
        <v>1539</v>
      </c>
      <c r="B486" s="32" t="s">
        <v>555</v>
      </c>
      <c r="C486" s="33" t="s">
        <v>24</v>
      </c>
      <c r="D486" s="34">
        <v>2022</v>
      </c>
      <c r="E486" s="34" t="s">
        <v>30</v>
      </c>
      <c r="F486" s="6">
        <v>8</v>
      </c>
      <c r="G486" s="6"/>
      <c r="H486" s="6"/>
      <c r="I486" s="6"/>
      <c r="J486" s="6"/>
      <c r="K486" s="6">
        <v>9</v>
      </c>
      <c r="L486" s="6"/>
      <c r="M486" s="6"/>
      <c r="N486" s="6"/>
      <c r="O486" s="6"/>
      <c r="P486" s="6"/>
      <c r="Q486" s="6">
        <v>9</v>
      </c>
      <c r="R486" s="6"/>
      <c r="S486" s="35">
        <f>SUM(F486:R486)</f>
        <v>26</v>
      </c>
      <c r="T486" s="35">
        <f>COUNT(F486:R486)</f>
        <v>3</v>
      </c>
      <c r="U486" s="36">
        <f>IF(T486&gt;=2,ROUND((IF(T486=2,0.55,IF(T486&lt;=4,0.7,IF(T486&lt;=6,0.8,IF(T486&lt;=9,0.9,1))))*(S486/T486)+(1-(IF(T486=2,0.55,IF(T486&lt;=4,0.7,IF(T486&lt;=6,0.8,IF(T486&lt;=9,0.9,1))))))*$Y$1),1),"")</f>
        <v>8.5</v>
      </c>
      <c r="V486" s="37">
        <v>7.6</v>
      </c>
      <c r="W486" s="38"/>
    </row>
    <row r="487" ht="24" customHeight="1" spans="1:23" x14ac:dyDescent="0.25">
      <c r="A487" s="31">
        <v>541</v>
      </c>
      <c r="B487" s="32" t="s">
        <v>556</v>
      </c>
      <c r="C487" s="33" t="s">
        <v>24</v>
      </c>
      <c r="D487" s="34">
        <v>2016</v>
      </c>
      <c r="E487" s="34" t="s">
        <v>30</v>
      </c>
      <c r="F487" s="6"/>
      <c r="G487" s="6">
        <v>8</v>
      </c>
      <c r="H487" s="6">
        <v>8</v>
      </c>
      <c r="I487" s="6"/>
      <c r="J487" s="6"/>
      <c r="K487" s="6"/>
      <c r="L487" s="6"/>
      <c r="M487" s="6"/>
      <c r="N487" s="6"/>
      <c r="O487" s="6"/>
      <c r="P487" s="6">
        <v>8</v>
      </c>
      <c r="Q487" s="6"/>
      <c r="R487" s="6"/>
      <c r="S487" s="35">
        <f>SUM(F487:R487)</f>
        <v>24</v>
      </c>
      <c r="T487" s="35">
        <f>COUNT(F487:R487)</f>
        <v>3</v>
      </c>
      <c r="U487" s="36">
        <f>IF(T487&gt;=2,ROUND((IF(T487=2,0.55,IF(T487&lt;=4,0.7,IF(T487&lt;=6,0.8,IF(T487&lt;=9,0.9,1))))*(S487/T487)+(1-(IF(T487=2,0.55,IF(T487&lt;=4,0.7,IF(T487&lt;=6,0.8,IF(T487&lt;=9,0.9,1))))))*$Y$1),1),"")</f>
        <v>8</v>
      </c>
      <c r="V487" s="37">
        <v>8</v>
      </c>
      <c r="W487" s="38"/>
    </row>
    <row r="488" ht="24" customHeight="1" spans="1:23" x14ac:dyDescent="0.25">
      <c r="A488" s="42">
        <v>897</v>
      </c>
      <c r="B488" s="32" t="s">
        <v>557</v>
      </c>
      <c r="C488" s="43" t="s">
        <v>24</v>
      </c>
      <c r="D488" s="44">
        <v>2020</v>
      </c>
      <c r="E488" s="44" t="s">
        <v>30</v>
      </c>
      <c r="F488" s="6">
        <v>8</v>
      </c>
      <c r="G488" s="6">
        <v>6</v>
      </c>
      <c r="H488" s="6">
        <v>8</v>
      </c>
      <c r="I488" s="6">
        <v>8</v>
      </c>
      <c r="J488" s="6">
        <v>8</v>
      </c>
      <c r="K488" s="6">
        <v>8</v>
      </c>
      <c r="L488" s="6">
        <v>8</v>
      </c>
      <c r="M488" s="6">
        <v>8</v>
      </c>
      <c r="N488" s="6">
        <v>8</v>
      </c>
      <c r="O488" s="6">
        <v>10</v>
      </c>
      <c r="P488" s="6">
        <v>8</v>
      </c>
      <c r="Q488" s="6">
        <v>8</v>
      </c>
      <c r="R488" s="6">
        <v>6</v>
      </c>
      <c r="S488" s="45">
        <f>SUM(F488:R488)</f>
        <v>102</v>
      </c>
      <c r="T488" s="45">
        <f>COUNT(F488:R488)</f>
        <v>13</v>
      </c>
      <c r="U488" s="36">
        <f>IF(T488&gt;=2,ROUND((IF(T488=2,0.55,IF(T488&lt;=4,0.7,IF(T488&lt;=6,0.8,IF(T488&lt;=9,0.9,1))))*(S488/T488)+(1-(IF(T488=2,0.55,IF(T488&lt;=4,0.7,IF(T488&lt;=6,0.8,IF(T488&lt;=9,0.9,1))))))*$Y$1),1),"")</f>
        <v>7.8</v>
      </c>
      <c r="V488" s="37">
        <v>7</v>
      </c>
      <c r="W488" s="38" t="s">
        <v>44</v>
      </c>
    </row>
    <row r="489" ht="24" customHeight="1" spans="1:23" x14ac:dyDescent="0.25">
      <c r="A489" s="31">
        <v>204</v>
      </c>
      <c r="B489" s="32" t="s">
        <v>558</v>
      </c>
      <c r="C489" s="33" t="s">
        <v>24</v>
      </c>
      <c r="D489" s="34">
        <v>2007</v>
      </c>
      <c r="E489" s="34" t="s">
        <v>25</v>
      </c>
      <c r="F489" s="6">
        <v>10</v>
      </c>
      <c r="G489" s="6">
        <v>9</v>
      </c>
      <c r="H489" s="6"/>
      <c r="I489" s="6"/>
      <c r="J489" s="6"/>
      <c r="K489" s="6"/>
      <c r="L489" s="6"/>
      <c r="M489" s="6"/>
      <c r="N489" s="6"/>
      <c r="O489" s="6"/>
      <c r="P489" s="6">
        <v>10</v>
      </c>
      <c r="Q489" s="6"/>
      <c r="R489" s="6"/>
      <c r="S489" s="35">
        <f>SUM(F489:R489)</f>
        <v>29</v>
      </c>
      <c r="T489" s="35">
        <f>COUNT(F489:R489)</f>
        <v>3</v>
      </c>
      <c r="U489" s="36">
        <f>IF(T489&gt;=2,ROUND((IF(T489=2,0.55,IF(T489&lt;=4,0.7,IF(T489&lt;=6,0.8,IF(T489&lt;=9,0.9,1))))*(S489/T489)+(1-(IF(T489=2,0.55,IF(T489&lt;=4,0.7,IF(T489&lt;=6,0.8,IF(T489&lt;=9,0.9,1))))))*$Y$1),1),"")</f>
        <v>9.2</v>
      </c>
      <c r="V489" s="37">
        <v>7.5</v>
      </c>
      <c r="W489" s="38"/>
    </row>
    <row r="490" ht="24" customHeight="1" spans="1:23" x14ac:dyDescent="0.25">
      <c r="A490" s="31">
        <v>1174</v>
      </c>
      <c r="B490" s="32" t="s">
        <v>559</v>
      </c>
      <c r="C490" s="33" t="s">
        <v>24</v>
      </c>
      <c r="D490" s="34">
        <v>2013</v>
      </c>
      <c r="E490" s="34" t="s">
        <v>52</v>
      </c>
      <c r="F490" s="6"/>
      <c r="G490" s="6">
        <v>8</v>
      </c>
      <c r="H490" s="6"/>
      <c r="I490" s="6"/>
      <c r="J490" s="6"/>
      <c r="K490" s="6"/>
      <c r="L490" s="6"/>
      <c r="M490" s="6"/>
      <c r="N490" s="6"/>
      <c r="O490" s="6"/>
      <c r="P490" s="6">
        <v>8</v>
      </c>
      <c r="Q490" s="6"/>
      <c r="R490" s="6"/>
      <c r="S490" s="35">
        <f>SUM(F490:R490)</f>
        <v>16</v>
      </c>
      <c r="T490" s="35">
        <f>COUNT(F490:R490)</f>
        <v>2</v>
      </c>
      <c r="U490" s="36">
        <f>IF(T490&gt;=2,ROUND((IF(T490=2,0.55,IF(T490&lt;=4,0.7,IF(T490&lt;=6,0.8,IF(T490&lt;=9,0.9,1))))*(S490/T490)+(1-(IF(T490=2,0.55,IF(T490&lt;=4,0.7,IF(T490&lt;=6,0.8,IF(T490&lt;=9,0.9,1))))))*$Y$1),1),"")</f>
        <v>8</v>
      </c>
      <c r="V490" s="37">
        <v>7.6</v>
      </c>
      <c r="W490" s="38"/>
    </row>
    <row r="491" ht="24" customHeight="1" spans="1:23" x14ac:dyDescent="0.25">
      <c r="A491" s="31">
        <v>1619</v>
      </c>
      <c r="B491" s="32" t="s">
        <v>560</v>
      </c>
      <c r="C491" s="33" t="s">
        <v>24</v>
      </c>
      <c r="D491" s="34">
        <v>2022</v>
      </c>
      <c r="E491" s="34" t="s">
        <v>30</v>
      </c>
      <c r="F491" s="6">
        <v>7</v>
      </c>
      <c r="G491" s="6"/>
      <c r="H491" s="6"/>
      <c r="I491" s="6"/>
      <c r="J491" s="6"/>
      <c r="K491" s="6"/>
      <c r="L491" s="6"/>
      <c r="M491" s="6"/>
      <c r="N491" s="6"/>
      <c r="O491" s="6">
        <v>7</v>
      </c>
      <c r="P491" s="6"/>
      <c r="Q491" s="6"/>
      <c r="R491" s="6"/>
      <c r="S491" s="35">
        <f>SUM(F491:R491)</f>
        <v>14</v>
      </c>
      <c r="T491" s="35">
        <f>COUNT(F491:R491)</f>
        <v>2</v>
      </c>
      <c r="U491" s="36">
        <f>IF(T491&gt;=2,ROUND((IF(T491=2,0.55,IF(T491&lt;=4,0.7,IF(T491&lt;=6,0.8,IF(T491&lt;=9,0.9,1))))*(S491/T491)+(1-(IF(T491=2,0.55,IF(T491&lt;=4,0.7,IF(T491&lt;=6,0.8,IF(T491&lt;=9,0.9,1))))))*$Y$1),1),"")</f>
        <v>7.5</v>
      </c>
      <c r="V491" s="37">
        <v>5.8</v>
      </c>
      <c r="W491" s="38"/>
    </row>
    <row r="492" ht="24" customHeight="1" spans="1:23" x14ac:dyDescent="0.25">
      <c r="A492" s="31">
        <v>627</v>
      </c>
      <c r="B492" s="32" t="s">
        <v>561</v>
      </c>
      <c r="C492" s="33" t="s">
        <v>24</v>
      </c>
      <c r="D492" s="34">
        <v>2006</v>
      </c>
      <c r="E492" s="34" t="s">
        <v>25</v>
      </c>
      <c r="F492" s="6"/>
      <c r="G492" s="6"/>
      <c r="H492" s="6"/>
      <c r="I492" s="6"/>
      <c r="J492" s="6"/>
      <c r="K492" s="6"/>
      <c r="L492" s="6">
        <v>8</v>
      </c>
      <c r="M492" s="6"/>
      <c r="N492" s="6"/>
      <c r="O492" s="6"/>
      <c r="P492" s="6">
        <v>8</v>
      </c>
      <c r="Q492" s="6"/>
      <c r="R492" s="6"/>
      <c r="S492" s="35">
        <f>SUM(F492:R492)</f>
        <v>16</v>
      </c>
      <c r="T492" s="35">
        <f>COUNT(F492:R492)</f>
        <v>2</v>
      </c>
      <c r="U492" s="36">
        <f>IF(T492&gt;=2,ROUND((IF(T492=2,0.55,IF(T492&lt;=4,0.7,IF(T492&lt;=6,0.8,IF(T492&lt;=9,0.9,1))))*(S492/T492)+(1-(IF(T492=2,0.55,IF(T492&lt;=4,0.7,IF(T492&lt;=6,0.8,IF(T492&lt;=9,0.9,1))))))*$Y$1),1),"")</f>
        <v>8</v>
      </c>
      <c r="V492" s="37">
        <v>7.5</v>
      </c>
      <c r="W492" s="38"/>
    </row>
    <row r="493" ht="24" customHeight="1" spans="1:23" x14ac:dyDescent="0.25">
      <c r="A493" s="31">
        <v>119</v>
      </c>
      <c r="B493" s="32" t="s">
        <v>562</v>
      </c>
      <c r="C493" s="33" t="s">
        <v>24</v>
      </c>
      <c r="D493" s="34">
        <v>1992</v>
      </c>
      <c r="E493" s="34" t="s">
        <v>30</v>
      </c>
      <c r="F493" s="6">
        <v>8</v>
      </c>
      <c r="G493" s="6">
        <v>9</v>
      </c>
      <c r="H493" s="6">
        <v>10</v>
      </c>
      <c r="I493" s="6">
        <v>10</v>
      </c>
      <c r="J493" s="6">
        <v>10</v>
      </c>
      <c r="K493" s="6">
        <v>10</v>
      </c>
      <c r="L493" s="6">
        <v>10</v>
      </c>
      <c r="M493" s="6">
        <v>10</v>
      </c>
      <c r="N493" s="6">
        <v>10</v>
      </c>
      <c r="O493" s="6">
        <v>10</v>
      </c>
      <c r="P493" s="6">
        <v>10</v>
      </c>
      <c r="Q493" s="6">
        <v>10</v>
      </c>
      <c r="R493" s="6">
        <v>10</v>
      </c>
      <c r="S493" s="35">
        <f>SUM(F493:R493)</f>
        <v>127</v>
      </c>
      <c r="T493" s="35">
        <f>COUNT(F493:R493)</f>
        <v>13</v>
      </c>
      <c r="U493" s="36">
        <f>IF(T493&gt;=2,ROUND((IF(T493=2,0.55,IF(T493&lt;=4,0.7,IF(T493&lt;=6,0.8,IF(T493&lt;=9,0.9,1))))*(S493/T493)+(1-(IF(T493=2,0.55,IF(T493&lt;=4,0.7,IF(T493&lt;=6,0.8,IF(T493&lt;=9,0.9,1))))))*$Y$1),1),"")</f>
        <v>9.8</v>
      </c>
      <c r="V493" s="37">
        <v>8</v>
      </c>
      <c r="W493" s="38"/>
    </row>
    <row r="494" ht="24" customHeight="1" spans="1:23" x14ac:dyDescent="0.25">
      <c r="A494" s="31">
        <v>164</v>
      </c>
      <c r="B494" s="32" t="s">
        <v>563</v>
      </c>
      <c r="C494" s="33" t="s">
        <v>24</v>
      </c>
      <c r="D494" s="34">
        <v>2016</v>
      </c>
      <c r="E494" s="34" t="s">
        <v>30</v>
      </c>
      <c r="F494" s="6"/>
      <c r="G494" s="6">
        <v>8</v>
      </c>
      <c r="H494" s="6"/>
      <c r="I494" s="6"/>
      <c r="J494" s="6">
        <v>8</v>
      </c>
      <c r="K494" s="6">
        <v>10</v>
      </c>
      <c r="L494" s="6">
        <v>8</v>
      </c>
      <c r="M494" s="6"/>
      <c r="N494" s="6"/>
      <c r="O494" s="6">
        <v>10</v>
      </c>
      <c r="P494" s="6"/>
      <c r="Q494" s="6">
        <v>10</v>
      </c>
      <c r="R494" s="6"/>
      <c r="S494" s="35">
        <f>SUM(F494:R494)</f>
        <v>54</v>
      </c>
      <c r="T494" s="35">
        <f>COUNT(F494:R494)</f>
        <v>6</v>
      </c>
      <c r="U494" s="36">
        <f>IF(T494&gt;=2,ROUND((IF(T494=2,0.55,IF(T494&lt;=4,0.7,IF(T494&lt;=6,0.8,IF(T494&lt;=9,0.9,1))))*(S494/T494)+(1-(IF(T494=2,0.55,IF(T494&lt;=4,0.7,IF(T494&lt;=6,0.8,IF(T494&lt;=9,0.9,1))))))*$Y$1),1),"")</f>
        <v>8.8</v>
      </c>
      <c r="V494" s="37">
        <v>7.7</v>
      </c>
      <c r="W494" s="38"/>
    </row>
    <row r="495" ht="24" customHeight="1" spans="1:23" x14ac:dyDescent="0.25">
      <c r="A495" s="31">
        <v>1259</v>
      </c>
      <c r="B495" s="32" t="s">
        <v>564</v>
      </c>
      <c r="C495" s="33" t="s">
        <v>24</v>
      </c>
      <c r="D495" s="34">
        <v>2022</v>
      </c>
      <c r="E495" s="34" t="s">
        <v>30</v>
      </c>
      <c r="F495" s="6"/>
      <c r="G495" s="6"/>
      <c r="H495" s="6"/>
      <c r="I495" s="6"/>
      <c r="J495" s="6"/>
      <c r="K495" s="6"/>
      <c r="L495" s="6"/>
      <c r="M495" s="6"/>
      <c r="N495" s="6">
        <v>8</v>
      </c>
      <c r="O495" s="6"/>
      <c r="P495" s="6"/>
      <c r="Q495" s="6"/>
      <c r="R495" s="6"/>
      <c r="S495" s="35">
        <f>SUM(F495:R495)</f>
        <v>8</v>
      </c>
      <c r="T495" s="35">
        <f>COUNT(F495:R495)</f>
        <v>1</v>
      </c>
      <c r="U495" s="36">
        <f>IF(T495&gt;=2,ROUND((IF(T495=2,0.55,IF(T495&lt;=4,0.7,IF(T495&lt;=6,0.8,IF(T495&lt;=9,0.9,1))))*(S495/T495)+(1-(IF(T495=2,0.55,IF(T495&lt;=4,0.7,IF(T495&lt;=6,0.8,IF(T495&lt;=9,0.9,1))))))*$Y$1),1),"")</f>
      </c>
      <c r="V495" s="37">
        <v>6.5</v>
      </c>
      <c r="W495" s="38"/>
    </row>
    <row r="496" ht="24" customHeight="1" spans="1:23" x14ac:dyDescent="0.25">
      <c r="A496" s="31">
        <v>406</v>
      </c>
      <c r="B496" s="32" t="s">
        <v>565</v>
      </c>
      <c r="C496" s="33" t="s">
        <v>24</v>
      </c>
      <c r="D496" s="34">
        <v>1969</v>
      </c>
      <c r="E496" s="34" t="s">
        <v>33</v>
      </c>
      <c r="F496" s="6"/>
      <c r="G496" s="6">
        <v>9</v>
      </c>
      <c r="H496" s="6"/>
      <c r="I496" s="6"/>
      <c r="J496" s="6"/>
      <c r="K496" s="6">
        <v>8</v>
      </c>
      <c r="L496" s="6"/>
      <c r="M496" s="6"/>
      <c r="N496" s="6"/>
      <c r="O496" s="6"/>
      <c r="P496" s="6">
        <v>10</v>
      </c>
      <c r="Q496" s="6">
        <v>8</v>
      </c>
      <c r="R496" s="6"/>
      <c r="S496" s="35">
        <f>SUM(F496:R496)</f>
        <v>35</v>
      </c>
      <c r="T496" s="35">
        <f>COUNT(F496:R496)</f>
        <v>4</v>
      </c>
      <c r="U496" s="36">
        <f>IF(T496&gt;=2,ROUND((IF(T496=2,0.55,IF(T496&lt;=4,0.7,IF(T496&lt;=6,0.8,IF(T496&lt;=9,0.9,1))))*(S496/T496)+(1-(IF(T496=2,0.55,IF(T496&lt;=4,0.7,IF(T496&lt;=6,0.8,IF(T496&lt;=9,0.9,1))))))*$Y$1),1),"")</f>
        <v>8.6</v>
      </c>
      <c r="V496" s="37">
        <v>7.8</v>
      </c>
      <c r="W496" s="38"/>
    </row>
    <row r="497" ht="47.25" customHeight="1" spans="1:23" x14ac:dyDescent="0.25">
      <c r="A497" s="31">
        <v>1002</v>
      </c>
      <c r="B497" s="32" t="s">
        <v>566</v>
      </c>
      <c r="C497" s="33" t="s">
        <v>24</v>
      </c>
      <c r="D497" s="34">
        <v>2015</v>
      </c>
      <c r="E497" s="34" t="s">
        <v>25</v>
      </c>
      <c r="F497" s="6"/>
      <c r="G497" s="6">
        <v>8</v>
      </c>
      <c r="H497" s="6"/>
      <c r="I497" s="6"/>
      <c r="J497" s="6"/>
      <c r="K497" s="6"/>
      <c r="L497" s="6"/>
      <c r="M497" s="6"/>
      <c r="N497" s="6"/>
      <c r="O497" s="6"/>
      <c r="P497" s="6">
        <v>8</v>
      </c>
      <c r="Q497" s="6"/>
      <c r="R497" s="6"/>
      <c r="S497" s="35">
        <f>SUM(F497:R497)</f>
        <v>16</v>
      </c>
      <c r="T497" s="35">
        <f>COUNT(F497:R497)</f>
        <v>2</v>
      </c>
      <c r="U497" s="36">
        <f>IF(T497&gt;=2,ROUND((IF(T497=2,0.55,IF(T497&lt;=4,0.7,IF(T497&lt;=6,0.8,IF(T497&lt;=9,0.9,1))))*(S497/T497)+(1-(IF(T497=2,0.55,IF(T497&lt;=4,0.7,IF(T497&lt;=6,0.8,IF(T497&lt;=9,0.9,1))))))*$Y$1),1),"")</f>
        <v>8</v>
      </c>
      <c r="V497" s="37">
        <v>8</v>
      </c>
      <c r="W497" s="38"/>
    </row>
    <row r="498" ht="24" customHeight="1" spans="1:23" x14ac:dyDescent="0.25">
      <c r="A498" s="31">
        <v>321</v>
      </c>
      <c r="B498" s="32" t="s">
        <v>567</v>
      </c>
      <c r="C498" s="33" t="s">
        <v>29</v>
      </c>
      <c r="D498" s="34">
        <v>2020</v>
      </c>
      <c r="E498" s="34" t="s">
        <v>30</v>
      </c>
      <c r="F498" s="6"/>
      <c r="G498" s="6"/>
      <c r="H498" s="6">
        <v>7</v>
      </c>
      <c r="I498" s="6"/>
      <c r="J498" s="6"/>
      <c r="K498" s="6">
        <v>6</v>
      </c>
      <c r="L498" s="6"/>
      <c r="M498" s="6"/>
      <c r="N498" s="6"/>
      <c r="O498" s="6"/>
      <c r="P498" s="6"/>
      <c r="Q498" s="6">
        <v>6</v>
      </c>
      <c r="R498" s="6">
        <v>6</v>
      </c>
      <c r="S498" s="35">
        <f>SUM(F498:R498)</f>
        <v>25</v>
      </c>
      <c r="T498" s="35">
        <f>COUNT(F498:R498)</f>
        <v>4</v>
      </c>
      <c r="U498" s="36">
        <f>IF(T498&gt;=2,ROUND((IF(T498=2,0.55,IF(T498&lt;=4,0.7,IF(T498&lt;=6,0.8,IF(T498&lt;=9,0.9,1))))*(S498/T498)+(1-(IF(T498=2,0.55,IF(T498&lt;=4,0.7,IF(T498&lt;=6,0.8,IF(T498&lt;=9,0.9,1))))))*$Y$1),1),"")</f>
        <v>6.8</v>
      </c>
      <c r="V498" s="37">
        <v>7.1</v>
      </c>
      <c r="W498" s="38"/>
    </row>
    <row r="499" ht="24" customHeight="1" spans="1:23" x14ac:dyDescent="0.25">
      <c r="A499" s="31">
        <v>159</v>
      </c>
      <c r="B499" s="32" t="s">
        <v>568</v>
      </c>
      <c r="C499" s="33" t="s">
        <v>24</v>
      </c>
      <c r="D499" s="34">
        <v>1992</v>
      </c>
      <c r="E499" s="34" t="s">
        <v>25</v>
      </c>
      <c r="F499" s="6"/>
      <c r="G499" s="6">
        <v>7</v>
      </c>
      <c r="H499" s="6"/>
      <c r="I499" s="6">
        <v>8</v>
      </c>
      <c r="J499" s="6"/>
      <c r="K499" s="6"/>
      <c r="L499" s="6">
        <v>10</v>
      </c>
      <c r="M499" s="6"/>
      <c r="N499" s="6"/>
      <c r="O499" s="6"/>
      <c r="P499" s="6">
        <v>10</v>
      </c>
      <c r="Q499" s="6"/>
      <c r="R499" s="6"/>
      <c r="S499" s="35">
        <f>SUM(F499:R499)</f>
        <v>35</v>
      </c>
      <c r="T499" s="35">
        <f>COUNT(F499:R499)</f>
        <v>4</v>
      </c>
      <c r="U499" s="36">
        <f>IF(T499&gt;=2,ROUND((IF(T499=2,0.55,IF(T499&lt;=4,0.7,IF(T499&lt;=6,0.8,IF(T499&lt;=9,0.9,1))))*(S499/T499)+(1-(IF(T499=2,0.55,IF(T499&lt;=4,0.7,IF(T499&lt;=6,0.8,IF(T499&lt;=9,0.9,1))))))*$Y$1),1),"")</f>
        <v>8.6</v>
      </c>
      <c r="V499" s="37">
        <v>6.7</v>
      </c>
      <c r="W499" s="38"/>
    </row>
    <row r="500" ht="24" customHeight="1" spans="1:23" x14ac:dyDescent="0.25">
      <c r="A500" s="31">
        <v>611</v>
      </c>
      <c r="B500" s="32" t="s">
        <v>569</v>
      </c>
      <c r="C500" s="33" t="s">
        <v>29</v>
      </c>
      <c r="D500" s="34">
        <v>2020</v>
      </c>
      <c r="E500" s="34" t="s">
        <v>27</v>
      </c>
      <c r="F500" s="6">
        <v>8</v>
      </c>
      <c r="G500" s="6"/>
      <c r="H500" s="6"/>
      <c r="I500" s="6"/>
      <c r="J500" s="6"/>
      <c r="K500" s="6"/>
      <c r="L500" s="6">
        <v>8</v>
      </c>
      <c r="M500" s="6"/>
      <c r="N500" s="6"/>
      <c r="O500" s="6"/>
      <c r="P500" s="6"/>
      <c r="Q500" s="6"/>
      <c r="R500" s="6"/>
      <c r="S500" s="35">
        <f>SUM(F500:R500)</f>
        <v>16</v>
      </c>
      <c r="T500" s="35">
        <f>COUNT(F500:R500)</f>
        <v>2</v>
      </c>
      <c r="U500" s="36">
        <f>IF(T500&gt;=2,ROUND((IF(T500=2,0.55,IF(T500&lt;=4,0.7,IF(T500&lt;=6,0.8,IF(T500&lt;=9,0.9,1))))*(S500/T500)+(1-(IF(T500=2,0.55,IF(T500&lt;=4,0.7,IF(T500&lt;=6,0.8,IF(T500&lt;=9,0.9,1))))))*$Y$1),1),"")</f>
        <v>8</v>
      </c>
      <c r="V500" s="37">
        <v>7.6</v>
      </c>
      <c r="W500" s="38"/>
    </row>
    <row r="501" ht="24" customHeight="1" spans="1:23" x14ac:dyDescent="0.25">
      <c r="A501" s="40">
        <v>2411</v>
      </c>
      <c r="B501" s="32" t="s">
        <v>570</v>
      </c>
      <c r="C501" s="33" t="s">
        <v>29</v>
      </c>
      <c r="D501" s="34">
        <v>2025</v>
      </c>
      <c r="E501" s="41"/>
      <c r="F501" s="6"/>
      <c r="G501" s="6"/>
      <c r="H501" s="6"/>
      <c r="I501" s="6"/>
      <c r="J501" s="6"/>
      <c r="K501" s="6"/>
      <c r="L501" s="6">
        <v>6</v>
      </c>
      <c r="M501" s="6"/>
      <c r="N501" s="6"/>
      <c r="O501" s="6"/>
      <c r="P501" s="6"/>
      <c r="Q501" s="6"/>
      <c r="R501" s="6"/>
      <c r="S501" s="35">
        <f>SUM(F501:R501)</f>
        <v>6</v>
      </c>
      <c r="T501" s="35">
        <f>COUNT(F501:R501)</f>
        <v>1</v>
      </c>
      <c r="U501" s="36">
        <f>IF(T501&gt;=2,ROUND((IF(T501=2,0.55,IF(T501&lt;=4,0.7,IF(T501&lt;=6,0.8,IF(T501&lt;=9,0.9,1))))*(S501/T501)+(1-(IF(T501=2,0.55,IF(T501&lt;=4,0.7,IF(T501&lt;=6,0.8,IF(T501&lt;=9,0.9,1))))))*$Y$1),1),"")</f>
      </c>
      <c r="V501" s="37">
        <v>7</v>
      </c>
      <c r="W501" s="38"/>
    </row>
    <row r="502" ht="24" customHeight="1" spans="1:23" s="39" customFormat="1" x14ac:dyDescent="0.25">
      <c r="A502" s="31">
        <v>998</v>
      </c>
      <c r="B502" s="32" t="s">
        <v>571</v>
      </c>
      <c r="C502" s="33" t="s">
        <v>24</v>
      </c>
      <c r="D502" s="34">
        <v>2016</v>
      </c>
      <c r="E502" s="34" t="s">
        <v>27</v>
      </c>
      <c r="F502" s="6"/>
      <c r="G502" s="6"/>
      <c r="H502" s="6"/>
      <c r="I502" s="6"/>
      <c r="J502" s="6">
        <v>8</v>
      </c>
      <c r="K502" s="6">
        <v>8</v>
      </c>
      <c r="L502" s="6">
        <v>8</v>
      </c>
      <c r="M502" s="6"/>
      <c r="N502" s="6">
        <v>8</v>
      </c>
      <c r="O502" s="6"/>
      <c r="P502" s="6"/>
      <c r="Q502" s="6">
        <v>8</v>
      </c>
      <c r="R502" s="6"/>
      <c r="S502" s="35">
        <f>SUM(F502:R502)</f>
        <v>40</v>
      </c>
      <c r="T502" s="35">
        <f>COUNT(F502:R502)</f>
        <v>5</v>
      </c>
      <c r="U502" s="36">
        <f>IF(T502&gt;=2,ROUND((IF(T502=2,0.55,IF(T502&lt;=4,0.7,IF(T502&lt;=6,0.8,IF(T502&lt;=9,0.9,1))))*(S502/T502)+(1-(IF(T502=2,0.55,IF(T502&lt;=4,0.7,IF(T502&lt;=6,0.8,IF(T502&lt;=9,0.9,1))))))*$Y$1),1),"")</f>
        <v>8</v>
      </c>
      <c r="V502" s="37">
        <v>6.7</v>
      </c>
      <c r="W502" s="38"/>
    </row>
    <row r="503" ht="24" customHeight="1" spans="1:23" x14ac:dyDescent="0.25">
      <c r="A503" s="31">
        <v>2017</v>
      </c>
      <c r="B503" s="32" t="s">
        <v>572</v>
      </c>
      <c r="C503" s="33" t="s">
        <v>24</v>
      </c>
      <c r="D503" s="34">
        <v>2024</v>
      </c>
      <c r="E503" s="34"/>
      <c r="F503" s="6"/>
      <c r="G503" s="6"/>
      <c r="H503" s="6"/>
      <c r="I503" s="6"/>
      <c r="J503" s="6"/>
      <c r="K503" s="6"/>
      <c r="L503" s="6">
        <v>8</v>
      </c>
      <c r="M503" s="6"/>
      <c r="N503" s="6"/>
      <c r="O503" s="6"/>
      <c r="P503" s="6"/>
      <c r="Q503" s="6"/>
      <c r="R503" s="6"/>
      <c r="S503" s="35">
        <f>SUM(F503:R503)</f>
        <v>8</v>
      </c>
      <c r="T503" s="35">
        <f>COUNT(F503:R503)</f>
        <v>1</v>
      </c>
      <c r="U503" s="36">
        <f>IF(T503&gt;=2,ROUND((IF(T503=2,0.55,IF(T503&lt;=4,0.7,IF(T503&lt;=6,0.8,IF(T503&lt;=9,0.9,1))))*(S503/T503)+(1-(IF(T503=2,0.55,IF(T503&lt;=4,0.7,IF(T503&lt;=6,0.8,IF(T503&lt;=9,0.9,1))))))*$Y$1),1),"")</f>
      </c>
      <c r="V503" s="37">
        <v>6.7</v>
      </c>
      <c r="W503" s="38"/>
    </row>
    <row r="504" ht="24" customHeight="1" spans="1:23" x14ac:dyDescent="0.25">
      <c r="A504" s="31">
        <v>1865</v>
      </c>
      <c r="B504" s="32" t="s">
        <v>573</v>
      </c>
      <c r="C504" s="33" t="s">
        <v>24</v>
      </c>
      <c r="D504" s="34">
        <v>2023</v>
      </c>
      <c r="E504" s="34" t="s">
        <v>25</v>
      </c>
      <c r="F504" s="6">
        <v>8</v>
      </c>
      <c r="G504" s="6"/>
      <c r="H504" s="6"/>
      <c r="I504" s="6">
        <v>8</v>
      </c>
      <c r="J504" s="6">
        <v>8</v>
      </c>
      <c r="K504" s="6">
        <v>8</v>
      </c>
      <c r="L504" s="6">
        <v>8</v>
      </c>
      <c r="M504" s="6"/>
      <c r="N504" s="6"/>
      <c r="O504" s="6">
        <v>8</v>
      </c>
      <c r="P504" s="6"/>
      <c r="Q504" s="6">
        <v>8</v>
      </c>
      <c r="R504" s="6"/>
      <c r="S504" s="35">
        <f>SUM(F504:R504)</f>
        <v>56</v>
      </c>
      <c r="T504" s="35">
        <f>COUNT(F504:R504)</f>
        <v>7</v>
      </c>
      <c r="U504" s="36">
        <f>IF(T504&gt;=2,ROUND((IF(T504=2,0.55,IF(T504&lt;=4,0.7,IF(T504&lt;=6,0.8,IF(T504&lt;=9,0.9,1))))*(S504/T504)+(1-(IF(T504=2,0.55,IF(T504&lt;=4,0.7,IF(T504&lt;=6,0.8,IF(T504&lt;=9,0.9,1))))))*$Y$1),1),"")</f>
        <v>8</v>
      </c>
      <c r="V504" s="37">
        <v>7</v>
      </c>
      <c r="W504" s="38"/>
    </row>
    <row r="505" ht="24" customHeight="1" spans="1:23" x14ac:dyDescent="0.25">
      <c r="A505" s="31">
        <v>267</v>
      </c>
      <c r="B505" s="32" t="s">
        <v>574</v>
      </c>
      <c r="C505" s="33" t="s">
        <v>24</v>
      </c>
      <c r="D505" s="34">
        <v>2006</v>
      </c>
      <c r="E505" s="34" t="s">
        <v>52</v>
      </c>
      <c r="F505" s="6">
        <v>8</v>
      </c>
      <c r="G505" s="6">
        <v>7</v>
      </c>
      <c r="H505" s="6"/>
      <c r="I505" s="6"/>
      <c r="J505" s="6">
        <v>8</v>
      </c>
      <c r="K505" s="6">
        <v>10</v>
      </c>
      <c r="L505" s="6">
        <v>10</v>
      </c>
      <c r="M505" s="6"/>
      <c r="N505" s="6"/>
      <c r="O505" s="6">
        <v>8</v>
      </c>
      <c r="P505" s="6">
        <v>8</v>
      </c>
      <c r="Q505" s="6">
        <v>10</v>
      </c>
      <c r="R505" s="6"/>
      <c r="S505" s="35">
        <f>SUM(F505:R505)</f>
        <v>69</v>
      </c>
      <c r="T505" s="35">
        <f>COUNT(F505:R505)</f>
        <v>8</v>
      </c>
      <c r="U505" s="36">
        <f>IF(T505&gt;=2,ROUND((IF(T505=2,0.55,IF(T505&lt;=4,0.7,IF(T505&lt;=6,0.8,IF(T505&lt;=9,0.9,1))))*(S505/T505)+(1-(IF(T505=2,0.55,IF(T505&lt;=4,0.7,IF(T505&lt;=6,0.8,IF(T505&lt;=9,0.9,1))))))*$Y$1),1),"")</f>
        <v>8.6</v>
      </c>
      <c r="V505" s="37">
        <v>7.8</v>
      </c>
      <c r="W505" s="38"/>
    </row>
    <row r="506" ht="24" customHeight="1" spans="1:23" x14ac:dyDescent="0.25">
      <c r="A506" s="31">
        <v>2458</v>
      </c>
      <c r="B506" s="32" t="s">
        <v>575</v>
      </c>
      <c r="C506" s="33" t="s">
        <v>29</v>
      </c>
      <c r="D506" s="34">
        <v>2025</v>
      </c>
      <c r="E506" s="41"/>
      <c r="F506" s="6">
        <v>7</v>
      </c>
      <c r="G506" s="6"/>
      <c r="H506" s="6"/>
      <c r="I506" s="6"/>
      <c r="J506" s="6">
        <v>7</v>
      </c>
      <c r="K506" s="6"/>
      <c r="L506" s="6"/>
      <c r="M506" s="6"/>
      <c r="N506" s="6"/>
      <c r="O506" s="6"/>
      <c r="P506" s="6"/>
      <c r="Q506" s="6"/>
      <c r="R506" s="6">
        <v>8</v>
      </c>
      <c r="S506" s="35">
        <f>SUM(F506:R506)</f>
        <v>22</v>
      </c>
      <c r="T506" s="35">
        <f>COUNT(F506:R506)</f>
        <v>3</v>
      </c>
      <c r="U506" s="36">
        <f>IF(T506&gt;=2,ROUND((IF(T506=2,0.55,IF(T506&lt;=4,0.7,IF(T506&lt;=6,0.8,IF(T506&lt;=9,0.9,1))))*(S506/T506)+(1-(IF(T506=2,0.55,IF(T506&lt;=4,0.7,IF(T506&lt;=6,0.8,IF(T506&lt;=9,0.9,1))))))*$Y$1),1),"")</f>
        <v>7.6</v>
      </c>
      <c r="V506" s="37">
        <v>7.5</v>
      </c>
      <c r="W506" s="38"/>
    </row>
    <row r="507" ht="24" customHeight="1" spans="1:23" x14ac:dyDescent="0.25">
      <c r="A507" s="40">
        <v>2139</v>
      </c>
      <c r="B507" s="32" t="s">
        <v>576</v>
      </c>
      <c r="C507" s="33" t="s">
        <v>24</v>
      </c>
      <c r="D507" s="34">
        <v>2003</v>
      </c>
      <c r="E507" s="41"/>
      <c r="F507" s="6"/>
      <c r="G507" s="6">
        <v>7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35">
        <f>SUM(F507:R507)</f>
        <v>7</v>
      </c>
      <c r="T507" s="35">
        <f>COUNT(F507:R507)</f>
        <v>1</v>
      </c>
      <c r="U507" s="36">
        <f>IF(T507&gt;=2,ROUND((IF(T507=2,0.55,IF(T507&lt;=4,0.7,IF(T507&lt;=6,0.8,IF(T507&lt;=9,0.9,1))))*(S507/T507)+(1-(IF(T507=2,0.55,IF(T507&lt;=4,0.7,IF(T507&lt;=6,0.8,IF(T507&lt;=9,0.9,1))))))*$Y$1),1),"")</f>
      </c>
      <c r="V507" s="37">
        <v>7.9</v>
      </c>
      <c r="W507" s="38"/>
    </row>
    <row r="508" ht="24" customHeight="1" spans="1:23" x14ac:dyDescent="0.25">
      <c r="A508" s="31">
        <v>1771</v>
      </c>
      <c r="B508" s="32" t="s">
        <v>577</v>
      </c>
      <c r="C508" s="33" t="s">
        <v>24</v>
      </c>
      <c r="D508" s="34">
        <v>2024</v>
      </c>
      <c r="E508" s="34" t="s">
        <v>30</v>
      </c>
      <c r="F508" s="6"/>
      <c r="G508" s="6"/>
      <c r="H508" s="6"/>
      <c r="I508" s="6"/>
      <c r="J508" s="6"/>
      <c r="K508" s="6"/>
      <c r="L508" s="6"/>
      <c r="M508" s="6">
        <v>8</v>
      </c>
      <c r="N508" s="6"/>
      <c r="O508" s="6">
        <v>7</v>
      </c>
      <c r="P508" s="6"/>
      <c r="Q508" s="6"/>
      <c r="R508" s="6"/>
      <c r="S508" s="35">
        <f>SUM(F508:R508)</f>
        <v>15</v>
      </c>
      <c r="T508" s="35">
        <f>COUNT(F508:R508)</f>
        <v>2</v>
      </c>
      <c r="U508" s="36">
        <f>IF(T508&gt;=2,ROUND((IF(T508=2,0.55,IF(T508&lt;=4,0.7,IF(T508&lt;=6,0.8,IF(T508&lt;=9,0.9,1))))*(S508/T508)+(1-(IF(T508=2,0.55,IF(T508&lt;=4,0.7,IF(T508&lt;=6,0.8,IF(T508&lt;=9,0.9,1))))))*$Y$1),1),"")</f>
        <v>7.8</v>
      </c>
      <c r="V508" s="37">
        <v>5.3</v>
      </c>
      <c r="W508" s="38"/>
    </row>
    <row r="509" ht="24" customHeight="1" spans="1:23" x14ac:dyDescent="0.25">
      <c r="A509" s="40">
        <v>2325</v>
      </c>
      <c r="B509" s="32" t="s">
        <v>578</v>
      </c>
      <c r="C509" s="33" t="s">
        <v>24</v>
      </c>
      <c r="D509" s="34">
        <v>2020</v>
      </c>
      <c r="E509" s="41"/>
      <c r="F509" s="6"/>
      <c r="G509" s="6">
        <v>8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35">
        <f>SUM(F509:R509)</f>
        <v>8</v>
      </c>
      <c r="T509" s="35">
        <f>COUNT(F509:R509)</f>
        <v>1</v>
      </c>
      <c r="U509" s="36">
        <f>IF(T509&gt;=2,ROUND((IF(T509=2,0.55,IF(T509&lt;=4,0.7,IF(T509&lt;=6,0.8,IF(T509&lt;=9,0.9,1))))*(S509/T509)+(1-(IF(T509=2,0.55,IF(T509&lt;=4,0.7,IF(T509&lt;=6,0.8,IF(T509&lt;=9,0.9,1))))))*$Y$1),1),"")</f>
      </c>
      <c r="V509" s="37">
        <v>7</v>
      </c>
      <c r="W509" s="38"/>
    </row>
    <row r="510" ht="24" customHeight="1" spans="1:23" x14ac:dyDescent="0.25">
      <c r="A510" s="31">
        <v>1827</v>
      </c>
      <c r="B510" s="32" t="s">
        <v>579</v>
      </c>
      <c r="C510" s="68" t="s">
        <v>29</v>
      </c>
      <c r="D510" s="34">
        <v>2024</v>
      </c>
      <c r="E510" s="34" t="s">
        <v>30</v>
      </c>
      <c r="F510" s="6">
        <v>8</v>
      </c>
      <c r="G510" s="6"/>
      <c r="H510" s="6"/>
      <c r="I510" s="6"/>
      <c r="J510" s="6"/>
      <c r="K510" s="6">
        <v>8</v>
      </c>
      <c r="L510" s="6">
        <v>8</v>
      </c>
      <c r="M510" s="6"/>
      <c r="N510" s="6"/>
      <c r="O510" s="6">
        <v>8</v>
      </c>
      <c r="P510" s="6"/>
      <c r="Q510" s="6">
        <v>8</v>
      </c>
      <c r="R510" s="6"/>
      <c r="S510" s="35">
        <f>SUM(F510:R510)</f>
        <v>40</v>
      </c>
      <c r="T510" s="35">
        <f>COUNT(F510:R510)</f>
        <v>5</v>
      </c>
      <c r="U510" s="36">
        <f>IF(T510&gt;=2,ROUND((IF(T510=2,0.55,IF(T510&lt;=4,0.7,IF(T510&lt;=6,0.8,IF(T510&lt;=9,0.9,1))))*(S510/T510)+(1-(IF(T510=2,0.55,IF(T510&lt;=4,0.7,IF(T510&lt;=6,0.8,IF(T510&lt;=9,0.9,1))))))*$Y$1),1),"")</f>
        <v>8</v>
      </c>
      <c r="V510" s="37">
        <v>6.2</v>
      </c>
      <c r="W510" s="38"/>
    </row>
    <row r="511" ht="47.25" customHeight="1" spans="1:23" x14ac:dyDescent="0.25">
      <c r="A511" s="31">
        <v>584</v>
      </c>
      <c r="B511" s="32" t="s">
        <v>580</v>
      </c>
      <c r="C511" s="33" t="s">
        <v>24</v>
      </c>
      <c r="D511" s="34">
        <v>2006</v>
      </c>
      <c r="E511" s="34" t="s">
        <v>30</v>
      </c>
      <c r="F511" s="6"/>
      <c r="G511" s="6">
        <v>7</v>
      </c>
      <c r="H511" s="6"/>
      <c r="I511" s="6"/>
      <c r="J511" s="6">
        <v>8</v>
      </c>
      <c r="K511" s="6">
        <v>6</v>
      </c>
      <c r="L511" s="6">
        <v>8</v>
      </c>
      <c r="M511" s="6"/>
      <c r="N511" s="6"/>
      <c r="O511" s="6"/>
      <c r="P511" s="6"/>
      <c r="Q511" s="6">
        <v>6</v>
      </c>
      <c r="R511" s="6"/>
      <c r="S511" s="35">
        <f>SUM(F511:R511)</f>
        <v>35</v>
      </c>
      <c r="T511" s="35">
        <f>COUNT(F511:R511)</f>
        <v>5</v>
      </c>
      <c r="U511" s="36">
        <f>IF(T511&gt;=2,ROUND((IF(T511=2,0.55,IF(T511&lt;=4,0.7,IF(T511&lt;=6,0.8,IF(T511&lt;=9,0.9,1))))*(S511/T511)+(1-(IF(T511=2,0.55,IF(T511&lt;=4,0.7,IF(T511&lt;=6,0.8,IF(T511&lt;=9,0.9,1))))))*$Y$1),1),"")</f>
        <v>7.2</v>
      </c>
      <c r="V511" s="37">
        <v>7.5</v>
      </c>
      <c r="W511" s="38"/>
    </row>
    <row r="512" ht="24" customHeight="1" spans="1:23" x14ac:dyDescent="0.25">
      <c r="A512" s="47">
        <v>2040</v>
      </c>
      <c r="B512" s="32" t="s">
        <v>581</v>
      </c>
      <c r="C512" s="48" t="s">
        <v>24</v>
      </c>
      <c r="D512" s="49">
        <v>2025</v>
      </c>
      <c r="E512" s="41"/>
      <c r="F512" s="6">
        <v>7</v>
      </c>
      <c r="G512" s="6">
        <v>8</v>
      </c>
      <c r="H512" s="6">
        <v>7</v>
      </c>
      <c r="I512" s="6">
        <v>9</v>
      </c>
      <c r="J512" s="6">
        <v>8</v>
      </c>
      <c r="K512" s="6">
        <v>6</v>
      </c>
      <c r="L512" s="6">
        <v>8</v>
      </c>
      <c r="M512" s="6"/>
      <c r="N512" s="6"/>
      <c r="O512" s="6">
        <v>6</v>
      </c>
      <c r="P512" s="6">
        <v>8</v>
      </c>
      <c r="Q512" s="6">
        <v>6</v>
      </c>
      <c r="R512" s="6">
        <v>8</v>
      </c>
      <c r="S512" s="50">
        <f>SUM(F512:R512)</f>
        <v>81</v>
      </c>
      <c r="T512" s="50">
        <f>COUNT(F512:R512)</f>
        <v>11</v>
      </c>
      <c r="U512" s="36">
        <f>IF(T512&gt;=2,ROUND((IF(T512=2,0.55,IF(T512&lt;=4,0.7,IF(T512&lt;=6,0.8,IF(T512&lt;=9,0.9,1))))*(S512/T512)+(1-(IF(T512=2,0.55,IF(T512&lt;=4,0.7,IF(T512&lt;=6,0.8,IF(T512&lt;=9,0.9,1))))))*$Y$1),1),"")</f>
        <v>7.4</v>
      </c>
      <c r="V512" s="37">
        <v>7.5</v>
      </c>
      <c r="W512" s="38" t="s">
        <v>44</v>
      </c>
    </row>
    <row r="513" ht="24" customHeight="1" spans="1:23" x14ac:dyDescent="0.25">
      <c r="A513" s="31">
        <v>356</v>
      </c>
      <c r="B513" s="32" t="s">
        <v>582</v>
      </c>
      <c r="C513" s="33" t="s">
        <v>24</v>
      </c>
      <c r="D513" s="34">
        <v>2001</v>
      </c>
      <c r="E513" s="34" t="s">
        <v>92</v>
      </c>
      <c r="F513" s="6"/>
      <c r="G513" s="6"/>
      <c r="H513" s="6"/>
      <c r="I513" s="6"/>
      <c r="J513" s="6"/>
      <c r="K513" s="6">
        <v>8</v>
      </c>
      <c r="L513" s="6">
        <v>10</v>
      </c>
      <c r="M513" s="6"/>
      <c r="N513" s="6"/>
      <c r="O513" s="6"/>
      <c r="P513" s="6"/>
      <c r="Q513" s="6">
        <v>8</v>
      </c>
      <c r="R513" s="6">
        <v>10</v>
      </c>
      <c r="S513" s="35">
        <f>SUM(F513:R513)</f>
        <v>36</v>
      </c>
      <c r="T513" s="35">
        <f>COUNT(F513:R513)</f>
        <v>4</v>
      </c>
      <c r="U513" s="36">
        <f>IF(T513&gt;=2,ROUND((IF(T513=2,0.55,IF(T513&lt;=4,0.7,IF(T513&lt;=6,0.8,IF(T513&lt;=9,0.9,1))))*(S513/T513)+(1-(IF(T513=2,0.55,IF(T513&lt;=4,0.7,IF(T513&lt;=6,0.8,IF(T513&lt;=9,0.9,1))))))*$Y$1),1),"")</f>
        <v>8.7</v>
      </c>
      <c r="V513" s="37">
        <v>6.3</v>
      </c>
      <c r="W513" s="38"/>
    </row>
    <row r="514" ht="24" customHeight="1" spans="1:23" x14ac:dyDescent="0.25">
      <c r="A514" s="31">
        <v>996</v>
      </c>
      <c r="B514" s="32" t="s">
        <v>583</v>
      </c>
      <c r="C514" s="33" t="s">
        <v>29</v>
      </c>
      <c r="D514" s="34">
        <v>2013</v>
      </c>
      <c r="E514" s="34" t="s">
        <v>30</v>
      </c>
      <c r="F514" s="6"/>
      <c r="G514" s="6"/>
      <c r="H514" s="6">
        <v>10</v>
      </c>
      <c r="I514" s="6"/>
      <c r="J514" s="6">
        <v>8</v>
      </c>
      <c r="K514" s="6"/>
      <c r="L514" s="6">
        <v>10</v>
      </c>
      <c r="M514" s="6"/>
      <c r="N514" s="6"/>
      <c r="O514" s="6"/>
      <c r="P514" s="6"/>
      <c r="Q514" s="6"/>
      <c r="R514" s="6"/>
      <c r="S514" s="35">
        <f>SUM(F514:R514)</f>
        <v>28</v>
      </c>
      <c r="T514" s="35">
        <f>COUNT(F514:R514)</f>
        <v>3</v>
      </c>
      <c r="U514" s="36">
        <f>IF(T514&gt;=2,ROUND((IF(T514=2,0.55,IF(T514&lt;=4,0.7,IF(T514&lt;=6,0.8,IF(T514&lt;=9,0.9,1))))*(S514/T514)+(1-(IF(T514=2,0.55,IF(T514&lt;=4,0.7,IF(T514&lt;=6,0.8,IF(T514&lt;=9,0.9,1))))))*$Y$1),1),"")</f>
        <v>9</v>
      </c>
      <c r="V514" s="37">
        <v>8.7</v>
      </c>
      <c r="W514" s="38"/>
    </row>
    <row r="515" ht="24" customHeight="1" spans="1:23" x14ac:dyDescent="0.25">
      <c r="A515" s="31">
        <v>117</v>
      </c>
      <c r="B515" s="32" t="s">
        <v>584</v>
      </c>
      <c r="C515" s="33" t="s">
        <v>24</v>
      </c>
      <c r="D515" s="34">
        <v>2016</v>
      </c>
      <c r="E515" s="34" t="s">
        <v>179</v>
      </c>
      <c r="F515" s="6"/>
      <c r="G515" s="6">
        <v>8</v>
      </c>
      <c r="H515" s="6"/>
      <c r="I515" s="6"/>
      <c r="J515" s="6">
        <v>8</v>
      </c>
      <c r="K515" s="6">
        <v>8</v>
      </c>
      <c r="L515" s="6"/>
      <c r="M515" s="6"/>
      <c r="N515" s="6"/>
      <c r="O515" s="6"/>
      <c r="P515" s="6">
        <v>8</v>
      </c>
      <c r="Q515" s="6">
        <v>8</v>
      </c>
      <c r="R515" s="6"/>
      <c r="S515" s="35">
        <f>SUM(F515:R515)</f>
        <v>40</v>
      </c>
      <c r="T515" s="35">
        <f>COUNT(F515:R515)</f>
        <v>5</v>
      </c>
      <c r="U515" s="36">
        <f>IF(T515&gt;=2,ROUND((IF(T515=2,0.55,IF(T515&lt;=4,0.7,IF(T515&lt;=6,0.8,IF(T515&lt;=9,0.9,1))))*(S515/T515)+(1-(IF(T515=2,0.55,IF(T515&lt;=4,0.7,IF(T515&lt;=6,0.8,IF(T515&lt;=9,0.9,1))))))*$Y$1),1),"")</f>
        <v>8</v>
      </c>
      <c r="V515" s="37">
        <v>7.3</v>
      </c>
      <c r="W515" s="38"/>
    </row>
    <row r="516" ht="24" customHeight="1" spans="1:23" x14ac:dyDescent="0.25">
      <c r="A516" s="31">
        <v>1049</v>
      </c>
      <c r="B516" s="32" t="s">
        <v>585</v>
      </c>
      <c r="C516" s="33" t="s">
        <v>114</v>
      </c>
      <c r="D516" s="34">
        <v>2021</v>
      </c>
      <c r="E516" s="34" t="s">
        <v>30</v>
      </c>
      <c r="F516" s="6">
        <v>6</v>
      </c>
      <c r="G516" s="6"/>
      <c r="H516" s="6"/>
      <c r="I516" s="6">
        <v>8</v>
      </c>
      <c r="J516" s="6"/>
      <c r="K516" s="6"/>
      <c r="L516" s="6"/>
      <c r="M516" s="6"/>
      <c r="N516" s="6"/>
      <c r="O516" s="6"/>
      <c r="P516" s="6"/>
      <c r="Q516" s="6"/>
      <c r="R516" s="6"/>
      <c r="S516" s="35">
        <f>SUM(F516:R516)</f>
        <v>14</v>
      </c>
      <c r="T516" s="35">
        <f>COUNT(F516:R516)</f>
        <v>2</v>
      </c>
      <c r="U516" s="36">
        <f>IF(T516&gt;=2,ROUND((IF(T516=2,0.55,IF(T516&lt;=4,0.7,IF(T516&lt;=6,0.8,IF(T516&lt;=9,0.9,1))))*(S516/T516)+(1-(IF(T516=2,0.55,IF(T516&lt;=4,0.7,IF(T516&lt;=6,0.8,IF(T516&lt;=9,0.9,1))))))*$Y$1),1),"")</f>
        <v>7.5</v>
      </c>
      <c r="V516" s="37">
        <v>6.6</v>
      </c>
      <c r="W516" s="38"/>
    </row>
    <row r="517" ht="24" customHeight="1" spans="1:23" x14ac:dyDescent="0.25">
      <c r="A517" s="31">
        <v>210</v>
      </c>
      <c r="B517" s="32" t="s">
        <v>586</v>
      </c>
      <c r="C517" s="33" t="s">
        <v>24</v>
      </c>
      <c r="D517" s="34">
        <v>1998</v>
      </c>
      <c r="E517" s="34" t="s">
        <v>587</v>
      </c>
      <c r="F517" s="6">
        <v>10</v>
      </c>
      <c r="G517" s="6">
        <v>9</v>
      </c>
      <c r="H517" s="6"/>
      <c r="I517" s="6">
        <v>10</v>
      </c>
      <c r="J517" s="6">
        <v>10</v>
      </c>
      <c r="K517" s="6">
        <v>10</v>
      </c>
      <c r="L517" s="6">
        <v>8</v>
      </c>
      <c r="M517" s="6">
        <v>8</v>
      </c>
      <c r="N517" s="6"/>
      <c r="O517" s="6"/>
      <c r="P517" s="6">
        <v>10</v>
      </c>
      <c r="Q517" s="6">
        <v>10</v>
      </c>
      <c r="R517" s="6"/>
      <c r="S517" s="35">
        <f>SUM(F517:R517)</f>
        <v>85</v>
      </c>
      <c r="T517" s="35">
        <f>COUNT(F517:R517)</f>
        <v>9</v>
      </c>
      <c r="U517" s="36">
        <f>IF(T517&gt;=2,ROUND((IF(T517=2,0.55,IF(T517&lt;=4,0.7,IF(T517&lt;=6,0.8,IF(T517&lt;=9,0.9,1))))*(S517/T517)+(1-(IF(T517=2,0.55,IF(T517&lt;=4,0.7,IF(T517&lt;=6,0.8,IF(T517&lt;=9,0.9,1))))))*$Y$1),1),"")</f>
        <v>9.3</v>
      </c>
      <c r="V517" s="37">
        <v>6.9</v>
      </c>
      <c r="W517" s="38"/>
    </row>
    <row r="518" ht="24" customHeight="1" spans="1:23" x14ac:dyDescent="0.25">
      <c r="A518" s="31">
        <v>394</v>
      </c>
      <c r="B518" s="32" t="s">
        <v>588</v>
      </c>
      <c r="C518" s="33" t="s">
        <v>24</v>
      </c>
      <c r="D518" s="34">
        <v>2016</v>
      </c>
      <c r="E518" s="34" t="s">
        <v>30</v>
      </c>
      <c r="F518" s="6">
        <v>6</v>
      </c>
      <c r="G518" s="6"/>
      <c r="H518" s="6">
        <v>8</v>
      </c>
      <c r="I518" s="6">
        <v>8</v>
      </c>
      <c r="J518" s="6">
        <v>8</v>
      </c>
      <c r="K518" s="6">
        <v>10</v>
      </c>
      <c r="L518" s="6">
        <v>10</v>
      </c>
      <c r="M518" s="6">
        <v>8</v>
      </c>
      <c r="N518" s="6">
        <v>8</v>
      </c>
      <c r="O518" s="6"/>
      <c r="P518" s="6"/>
      <c r="Q518" s="6">
        <v>10</v>
      </c>
      <c r="R518" s="6">
        <v>8</v>
      </c>
      <c r="S518" s="35">
        <f>SUM(F518:R518)</f>
        <v>84</v>
      </c>
      <c r="T518" s="35">
        <f>COUNT(F518:R518)</f>
        <v>10</v>
      </c>
      <c r="U518" s="36">
        <f>IF(T518&gt;=2,ROUND((IF(T518=2,0.55,IF(T518&lt;=4,0.7,IF(T518&lt;=6,0.8,IF(T518&lt;=9,0.9,1))))*(S518/T518)+(1-(IF(T518=2,0.55,IF(T518&lt;=4,0.7,IF(T518&lt;=6,0.8,IF(T518&lt;=9,0.9,1))))))*$Y$1),1),"")</f>
        <v>8.4</v>
      </c>
      <c r="V518" s="37">
        <v>6.1</v>
      </c>
      <c r="W518" s="38"/>
    </row>
    <row r="519" ht="24" customHeight="1" spans="1:23" x14ac:dyDescent="0.25">
      <c r="A519" s="31">
        <v>1805</v>
      </c>
      <c r="B519" s="32" t="s">
        <v>589</v>
      </c>
      <c r="C519" s="33" t="s">
        <v>24</v>
      </c>
      <c r="D519" s="34">
        <v>2022</v>
      </c>
      <c r="E519" s="34" t="s">
        <v>30</v>
      </c>
      <c r="F519" s="6"/>
      <c r="G519" s="6"/>
      <c r="H519" s="6"/>
      <c r="I519" s="6"/>
      <c r="J519" s="6"/>
      <c r="K519" s="6"/>
      <c r="L519" s="6"/>
      <c r="M519" s="6">
        <v>7</v>
      </c>
      <c r="N519" s="6"/>
      <c r="O519" s="6"/>
      <c r="P519" s="6"/>
      <c r="Q519" s="6"/>
      <c r="R519" s="6"/>
      <c r="S519" s="35">
        <f>SUM(F519:R519)</f>
        <v>7</v>
      </c>
      <c r="T519" s="35">
        <f>COUNT(F519:R519)</f>
        <v>1</v>
      </c>
      <c r="U519" s="36">
        <f>IF(T519&gt;=2,ROUND((IF(T519=2,0.55,IF(T519&lt;=4,0.7,IF(T519&lt;=6,0.8,IF(T519&lt;=9,0.9,1))))*(S519/T519)+(1-(IF(T519=2,0.55,IF(T519&lt;=4,0.7,IF(T519&lt;=6,0.8,IF(T519&lt;=9,0.9,1))))))*$Y$1),1),"")</f>
      </c>
      <c r="V519" s="37">
        <v>6.2</v>
      </c>
      <c r="W519" s="38"/>
    </row>
    <row r="520" ht="47.25" customHeight="1" spans="1:23" x14ac:dyDescent="0.25">
      <c r="A520" s="31">
        <v>2016</v>
      </c>
      <c r="B520" s="32" t="s">
        <v>590</v>
      </c>
      <c r="C520" s="33" t="s">
        <v>24</v>
      </c>
      <c r="D520" s="34">
        <v>2023</v>
      </c>
      <c r="E520" s="34"/>
      <c r="F520" s="6">
        <v>8</v>
      </c>
      <c r="G520" s="6"/>
      <c r="H520" s="6">
        <v>9</v>
      </c>
      <c r="I520" s="6"/>
      <c r="J520" s="6"/>
      <c r="K520" s="6">
        <v>8</v>
      </c>
      <c r="L520" s="6">
        <v>8</v>
      </c>
      <c r="M520" s="6"/>
      <c r="N520" s="6"/>
      <c r="O520" s="6">
        <v>9</v>
      </c>
      <c r="P520" s="6"/>
      <c r="Q520" s="6">
        <v>8</v>
      </c>
      <c r="R520" s="6">
        <v>10</v>
      </c>
      <c r="S520" s="35">
        <f>SUM(F520:R520)</f>
        <v>60</v>
      </c>
      <c r="T520" s="35">
        <f>COUNT(F520:R520)</f>
        <v>7</v>
      </c>
      <c r="U520" s="36">
        <f>IF(T520&gt;=2,ROUND((IF(T520=2,0.55,IF(T520&lt;=4,0.7,IF(T520&lt;=6,0.8,IF(T520&lt;=9,0.9,1))))*(S520/T520)+(1-(IF(T520=2,0.55,IF(T520&lt;=4,0.7,IF(T520&lt;=6,0.8,IF(T520&lt;=9,0.9,1))))))*$Y$1),1),"")</f>
        <v>8.5</v>
      </c>
      <c r="V520" s="37">
        <v>7.4</v>
      </c>
      <c r="W520" s="38"/>
    </row>
    <row r="521" ht="47.25" customHeight="1" spans="1:23" x14ac:dyDescent="0.25">
      <c r="A521" s="40">
        <v>2347</v>
      </c>
      <c r="B521" s="32" t="s">
        <v>591</v>
      </c>
      <c r="C521" s="33" t="s">
        <v>24</v>
      </c>
      <c r="D521" s="34">
        <v>2016</v>
      </c>
      <c r="E521" s="41"/>
      <c r="F521" s="6">
        <v>9</v>
      </c>
      <c r="G521" s="6"/>
      <c r="H521" s="6"/>
      <c r="I521" s="6">
        <v>9</v>
      </c>
      <c r="J521" s="6">
        <v>9</v>
      </c>
      <c r="K521" s="6"/>
      <c r="L521" s="6"/>
      <c r="M521" s="6"/>
      <c r="N521" s="6"/>
      <c r="O521" s="6"/>
      <c r="P521" s="6"/>
      <c r="Q521" s="6"/>
      <c r="R521" s="6"/>
      <c r="S521" s="35">
        <f>SUM(F521:R521)</f>
        <v>27</v>
      </c>
      <c r="T521" s="35">
        <f>COUNT(F521:R521)</f>
        <v>3</v>
      </c>
      <c r="U521" s="36">
        <f>IF(T521&gt;=2,ROUND((IF(T521=2,0.55,IF(T521&lt;=4,0.7,IF(T521&lt;=6,0.8,IF(T521&lt;=9,0.9,1))))*(S521/T521)+(1-(IF(T521=2,0.55,IF(T521&lt;=4,0.7,IF(T521&lt;=6,0.8,IF(T521&lt;=9,0.9,1))))))*$Y$1),1),"")</f>
        <v>8.7</v>
      </c>
      <c r="V521" s="37"/>
      <c r="W521" s="38"/>
    </row>
    <row r="522" ht="24" customHeight="1" spans="1:23" x14ac:dyDescent="0.25">
      <c r="A522" s="31">
        <v>1200</v>
      </c>
      <c r="B522" s="32" t="s">
        <v>592</v>
      </c>
      <c r="C522" s="33" t="s">
        <v>29</v>
      </c>
      <c r="D522" s="34">
        <v>2021</v>
      </c>
      <c r="E522" s="34" t="s">
        <v>69</v>
      </c>
      <c r="F522" s="6">
        <v>8</v>
      </c>
      <c r="G522" s="6"/>
      <c r="H522" s="6"/>
      <c r="I522" s="6"/>
      <c r="J522" s="6"/>
      <c r="K522" s="6"/>
      <c r="L522" s="6">
        <v>10</v>
      </c>
      <c r="M522" s="6"/>
      <c r="N522" s="6"/>
      <c r="O522" s="6"/>
      <c r="P522" s="6"/>
      <c r="Q522" s="6"/>
      <c r="R522" s="6"/>
      <c r="S522" s="35">
        <f>SUM(F522:R522)</f>
        <v>18</v>
      </c>
      <c r="T522" s="35">
        <f>COUNT(F522:R522)</f>
        <v>2</v>
      </c>
      <c r="U522" s="36">
        <f>IF(T522&gt;=2,ROUND((IF(T522=2,0.55,IF(T522&lt;=4,0.7,IF(T522&lt;=6,0.8,IF(T522&lt;=9,0.9,1))))*(S522/T522)+(1-(IF(T522=2,0.55,IF(T522&lt;=4,0.7,IF(T522&lt;=6,0.8,IF(T522&lt;=9,0.9,1))))))*$Y$1),1),"")</f>
        <v>8.6</v>
      </c>
      <c r="V522" s="37">
        <v>7.3</v>
      </c>
      <c r="W522" s="38"/>
    </row>
    <row r="523" ht="24" customHeight="1" spans="1:23" x14ac:dyDescent="0.25">
      <c r="A523" s="31">
        <v>540</v>
      </c>
      <c r="B523" s="32" t="s">
        <v>593</v>
      </c>
      <c r="C523" s="33" t="s">
        <v>24</v>
      </c>
      <c r="D523" s="34">
        <v>1992</v>
      </c>
      <c r="E523" s="34" t="s">
        <v>25</v>
      </c>
      <c r="F523" s="6"/>
      <c r="G523" s="6">
        <v>8</v>
      </c>
      <c r="H523" s="6"/>
      <c r="I523" s="6"/>
      <c r="J523" s="6"/>
      <c r="K523" s="6"/>
      <c r="L523" s="6"/>
      <c r="M523" s="6"/>
      <c r="N523" s="6"/>
      <c r="O523" s="6"/>
      <c r="P523" s="6">
        <v>8</v>
      </c>
      <c r="Q523" s="6"/>
      <c r="R523" s="6"/>
      <c r="S523" s="35">
        <f>SUM(F523:R523)</f>
        <v>16</v>
      </c>
      <c r="T523" s="35">
        <f>COUNT(F523:R523)</f>
        <v>2</v>
      </c>
      <c r="U523" s="36">
        <f>IF(T523&gt;=2,ROUND((IF(T523=2,0.55,IF(T523&lt;=4,0.7,IF(T523&lt;=6,0.8,IF(T523&lt;=9,0.9,1))))*(S523/T523)+(1-(IF(T523=2,0.55,IF(T523&lt;=4,0.7,IF(T523&lt;=6,0.8,IF(T523&lt;=9,0.9,1))))))*$Y$1),1),"")</f>
        <v>8</v>
      </c>
      <c r="V523" s="37">
        <v>7.3</v>
      </c>
      <c r="W523" s="38"/>
    </row>
    <row r="524" ht="24" customHeight="1" spans="1:23" x14ac:dyDescent="0.25">
      <c r="A524" s="31">
        <v>116</v>
      </c>
      <c r="B524" s="32" t="s">
        <v>594</v>
      </c>
      <c r="C524" s="33" t="s">
        <v>24</v>
      </c>
      <c r="D524" s="34">
        <v>2019</v>
      </c>
      <c r="E524" s="34" t="s">
        <v>595</v>
      </c>
      <c r="F524" s="6">
        <v>8</v>
      </c>
      <c r="G524" s="6">
        <v>9</v>
      </c>
      <c r="H524" s="6">
        <v>8</v>
      </c>
      <c r="I524" s="6">
        <v>10</v>
      </c>
      <c r="J524" s="6">
        <v>10</v>
      </c>
      <c r="K524" s="6">
        <v>6</v>
      </c>
      <c r="L524" s="6">
        <v>10</v>
      </c>
      <c r="M524" s="6">
        <v>10</v>
      </c>
      <c r="N524" s="6">
        <v>10</v>
      </c>
      <c r="O524" s="6"/>
      <c r="P524" s="6">
        <v>10</v>
      </c>
      <c r="Q524" s="6">
        <v>6</v>
      </c>
      <c r="R524" s="6">
        <v>8</v>
      </c>
      <c r="S524" s="35">
        <f>SUM(F524:R524)</f>
        <v>105</v>
      </c>
      <c r="T524" s="35">
        <f>COUNT(F524:R524)</f>
        <v>12</v>
      </c>
      <c r="U524" s="36">
        <f>IF(T524&gt;=2,ROUND((IF(T524=2,0.55,IF(T524&lt;=4,0.7,IF(T524&lt;=6,0.8,IF(T524&lt;=9,0.9,1))))*(S524/T524)+(1-(IF(T524=2,0.55,IF(T524&lt;=4,0.7,IF(T524&lt;=6,0.8,IF(T524&lt;=9,0.9,1))))))*$Y$1),1),"")</f>
        <v>8.8</v>
      </c>
      <c r="V524" s="37">
        <v>8.5</v>
      </c>
      <c r="W524" s="38"/>
    </row>
    <row r="525" ht="24" customHeight="1" spans="1:23" x14ac:dyDescent="0.25">
      <c r="A525" s="31">
        <v>1238</v>
      </c>
      <c r="B525" s="32" t="s">
        <v>596</v>
      </c>
      <c r="C525" s="33" t="s">
        <v>24</v>
      </c>
      <c r="D525" s="34">
        <v>2005</v>
      </c>
      <c r="E525" s="34" t="s">
        <v>27</v>
      </c>
      <c r="F525" s="6"/>
      <c r="G525" s="6">
        <v>7</v>
      </c>
      <c r="H525" s="6"/>
      <c r="I525" s="6">
        <v>6</v>
      </c>
      <c r="J525" s="6"/>
      <c r="K525" s="6"/>
      <c r="L525" s="6"/>
      <c r="M525" s="6"/>
      <c r="N525" s="6"/>
      <c r="O525" s="6"/>
      <c r="P525" s="6"/>
      <c r="Q525" s="6"/>
      <c r="R525" s="6"/>
      <c r="S525" s="35">
        <f>SUM(F525:R525)</f>
        <v>13</v>
      </c>
      <c r="T525" s="35">
        <f>COUNT(F525:R525)</f>
        <v>2</v>
      </c>
      <c r="U525" s="36">
        <f>IF(T525&gt;=2,ROUND((IF(T525=2,0.55,IF(T525&lt;=4,0.7,IF(T525&lt;=6,0.8,IF(T525&lt;=9,0.9,1))))*(S525/T525)+(1-(IF(T525=2,0.55,IF(T525&lt;=4,0.7,IF(T525&lt;=6,0.8,IF(T525&lt;=9,0.9,1))))))*$Y$1),1),"")</f>
        <v>7.2</v>
      </c>
      <c r="V525" s="37">
        <v>7.4</v>
      </c>
      <c r="W525" s="38"/>
    </row>
    <row r="526" ht="24" customHeight="1" spans="1:23" x14ac:dyDescent="0.25">
      <c r="A526" s="40">
        <v>2374</v>
      </c>
      <c r="B526" s="32" t="s">
        <v>597</v>
      </c>
      <c r="C526" s="33" t="s">
        <v>29</v>
      </c>
      <c r="D526" s="34">
        <v>2025</v>
      </c>
      <c r="E526" s="41"/>
      <c r="F526" s="6">
        <v>8</v>
      </c>
      <c r="G526" s="6"/>
      <c r="H526" s="6"/>
      <c r="I526" s="6"/>
      <c r="J526" s="6"/>
      <c r="K526" s="6"/>
      <c r="L526" s="6">
        <v>9</v>
      </c>
      <c r="M526" s="6"/>
      <c r="N526" s="6"/>
      <c r="O526" s="6"/>
      <c r="P526" s="6"/>
      <c r="Q526" s="6"/>
      <c r="R526" s="6"/>
      <c r="S526" s="35">
        <f>SUM(F526:R526)</f>
        <v>17</v>
      </c>
      <c r="T526" s="35">
        <f>COUNT(F526:R526)</f>
        <v>2</v>
      </c>
      <c r="U526" s="36">
        <f>IF(T526&gt;=2,ROUND((IF(T526=2,0.55,IF(T526&lt;=4,0.7,IF(T526&lt;=6,0.8,IF(T526&lt;=9,0.9,1))))*(S526/T526)+(1-(IF(T526=2,0.55,IF(T526&lt;=4,0.7,IF(T526&lt;=6,0.8,IF(T526&lt;=9,0.9,1))))))*$Y$1),1),"")</f>
        <v>8.3</v>
      </c>
      <c r="V526" s="37">
        <v>7.9</v>
      </c>
      <c r="W526" s="38"/>
    </row>
    <row r="527" ht="24" customHeight="1" spans="1:23" s="39" customFormat="1" x14ac:dyDescent="0.25">
      <c r="A527" s="40">
        <v>2406</v>
      </c>
      <c r="B527" s="32" t="s">
        <v>598</v>
      </c>
      <c r="C527" s="33" t="s">
        <v>29</v>
      </c>
      <c r="D527" s="34">
        <v>2017</v>
      </c>
      <c r="E527" s="41"/>
      <c r="F527" s="6"/>
      <c r="G527" s="6"/>
      <c r="H527" s="6">
        <v>9</v>
      </c>
      <c r="I527" s="6"/>
      <c r="J527" s="6">
        <v>7</v>
      </c>
      <c r="K527" s="6"/>
      <c r="L527" s="6"/>
      <c r="M527" s="6">
        <v>9</v>
      </c>
      <c r="N527" s="6"/>
      <c r="O527" s="6"/>
      <c r="P527" s="6"/>
      <c r="Q527" s="6"/>
      <c r="R527" s="6"/>
      <c r="S527" s="35">
        <f>SUM(F527:R527)</f>
        <v>25</v>
      </c>
      <c r="T527" s="35">
        <f>COUNT(F527:R527)</f>
        <v>3</v>
      </c>
      <c r="U527" s="36">
        <f>IF(T527&gt;=2,ROUND((IF(T527=2,0.55,IF(T527&lt;=4,0.7,IF(T527&lt;=6,0.8,IF(T527&lt;=9,0.9,1))))*(S527/T527)+(1-(IF(T527=2,0.55,IF(T527&lt;=4,0.7,IF(T527&lt;=6,0.8,IF(T527&lt;=9,0.9,1))))))*$Y$1),1),"")</f>
        <v>8.3</v>
      </c>
      <c r="V527" s="37">
        <v>7.1</v>
      </c>
      <c r="W527" s="38"/>
    </row>
    <row r="528" ht="24" customHeight="1" spans="1:23" s="39" customFormat="1" x14ac:dyDescent="0.25">
      <c r="A528" s="51">
        <v>2360</v>
      </c>
      <c r="B528" s="32" t="s">
        <v>599</v>
      </c>
      <c r="C528" s="48" t="s">
        <v>24</v>
      </c>
      <c r="D528" s="49">
        <v>2002</v>
      </c>
      <c r="E528" s="52"/>
      <c r="F528" s="6">
        <v>8</v>
      </c>
      <c r="G528" s="6">
        <v>8</v>
      </c>
      <c r="H528" s="6">
        <v>8</v>
      </c>
      <c r="I528" s="6">
        <v>9</v>
      </c>
      <c r="J528" s="6">
        <v>8</v>
      </c>
      <c r="K528" s="6">
        <v>8</v>
      </c>
      <c r="L528" s="6">
        <v>8</v>
      </c>
      <c r="M528" s="6">
        <v>8</v>
      </c>
      <c r="N528" s="6">
        <v>8</v>
      </c>
      <c r="O528" s="6">
        <v>8</v>
      </c>
      <c r="P528" s="6">
        <v>8</v>
      </c>
      <c r="Q528" s="6">
        <v>8</v>
      </c>
      <c r="R528" s="6">
        <v>8</v>
      </c>
      <c r="S528" s="50">
        <f>SUM(F528:R528)</f>
        <v>105</v>
      </c>
      <c r="T528" s="50">
        <f>COUNT(F528:R528)</f>
        <v>13</v>
      </c>
      <c r="U528" s="36">
        <f>IF(T528&gt;=2,ROUND((IF(T528=2,0.55,IF(T528&lt;=4,0.7,IF(T528&lt;=6,0.8,IF(T528&lt;=9,0.9,1))))*(S528/T528)+(1-(IF(T528=2,0.55,IF(T528&lt;=4,0.7,IF(T528&lt;=6,0.8,IF(T528&lt;=9,0.9,1))))))*$Y$1),1),"")</f>
        <v>8.1</v>
      </c>
      <c r="V528" s="37">
        <v>7.8</v>
      </c>
      <c r="W528" s="38" t="s">
        <v>44</v>
      </c>
    </row>
    <row r="529" ht="47.25" customHeight="1" spans="1:23" x14ac:dyDescent="0.25">
      <c r="A529" s="47">
        <v>115</v>
      </c>
      <c r="B529" s="32" t="s">
        <v>600</v>
      </c>
      <c r="C529" s="48" t="s">
        <v>24</v>
      </c>
      <c r="D529" s="49">
        <v>2014</v>
      </c>
      <c r="E529" s="49" t="s">
        <v>92</v>
      </c>
      <c r="F529" s="6">
        <v>8</v>
      </c>
      <c r="G529" s="6">
        <v>8</v>
      </c>
      <c r="H529" s="6">
        <v>8</v>
      </c>
      <c r="I529" s="6">
        <v>8</v>
      </c>
      <c r="J529" s="6">
        <v>10</v>
      </c>
      <c r="K529" s="6">
        <v>10</v>
      </c>
      <c r="L529" s="6">
        <v>8</v>
      </c>
      <c r="M529" s="6">
        <v>8</v>
      </c>
      <c r="N529" s="6">
        <v>8</v>
      </c>
      <c r="O529" s="6"/>
      <c r="P529" s="6">
        <v>8</v>
      </c>
      <c r="Q529" s="6">
        <v>10</v>
      </c>
      <c r="R529" s="6">
        <v>10</v>
      </c>
      <c r="S529" s="50">
        <f>SUM(F529:R529)</f>
        <v>104</v>
      </c>
      <c r="T529" s="50">
        <f>COUNT(F529:R529)</f>
        <v>12</v>
      </c>
      <c r="U529" s="36">
        <f>IF(T529&gt;=2,ROUND((IF(T529=2,0.55,IF(T529&lt;=4,0.7,IF(T529&lt;=6,0.8,IF(T529&lt;=9,0.9,1))))*(S529/T529)+(1-(IF(T529=2,0.55,IF(T529&lt;=4,0.7,IF(T529&lt;=6,0.8,IF(T529&lt;=9,0.9,1))))))*$Y$1),1),"")</f>
        <v>8.7</v>
      </c>
      <c r="V529" s="37">
        <v>7.5</v>
      </c>
      <c r="W529" s="38" t="s">
        <v>44</v>
      </c>
    </row>
    <row r="530" ht="24" customHeight="1" spans="1:23" s="39" customFormat="1" x14ac:dyDescent="0.25">
      <c r="A530" s="31">
        <v>752</v>
      </c>
      <c r="B530" s="32" t="s">
        <v>601</v>
      </c>
      <c r="C530" s="33" t="s">
        <v>24</v>
      </c>
      <c r="D530" s="34">
        <v>2012</v>
      </c>
      <c r="E530" s="34" t="s">
        <v>27</v>
      </c>
      <c r="F530" s="6"/>
      <c r="G530" s="6"/>
      <c r="H530" s="6"/>
      <c r="I530" s="6"/>
      <c r="J530" s="6"/>
      <c r="K530" s="6"/>
      <c r="L530" s="6">
        <v>8</v>
      </c>
      <c r="M530" s="6"/>
      <c r="N530" s="6"/>
      <c r="O530" s="6"/>
      <c r="P530" s="6"/>
      <c r="Q530" s="6"/>
      <c r="R530" s="6"/>
      <c r="S530" s="35">
        <f>SUM(F530:R530)</f>
        <v>8</v>
      </c>
      <c r="T530" s="35">
        <f>COUNT(F530:R530)</f>
        <v>1</v>
      </c>
      <c r="U530" s="36">
        <f>IF(T530&gt;=2,ROUND((IF(T530=2,0.55,IF(T530&lt;=4,0.7,IF(T530&lt;=6,0.8,IF(T530&lt;=9,0.9,1))))*(S530/T530)+(1-(IF(T530=2,0.55,IF(T530&lt;=4,0.7,IF(T530&lt;=6,0.8,IF(T530&lt;=9,0.9,1))))))*$Y$1),1),"")</f>
      </c>
      <c r="V530" s="37">
        <v>6.8</v>
      </c>
      <c r="W530" s="38"/>
    </row>
    <row r="531" ht="24" customHeight="1" spans="1:23" x14ac:dyDescent="0.25">
      <c r="A531" s="31">
        <v>1415</v>
      </c>
      <c r="B531" s="32" t="s">
        <v>602</v>
      </c>
      <c r="C531" s="33" t="s">
        <v>24</v>
      </c>
      <c r="D531" s="34">
        <v>2019</v>
      </c>
      <c r="E531" s="34" t="s">
        <v>25</v>
      </c>
      <c r="F531" s="6"/>
      <c r="G531" s="6">
        <v>8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35">
        <f>SUM(F531:R531)</f>
        <v>8</v>
      </c>
      <c r="T531" s="35">
        <f>COUNT(F531:R531)</f>
        <v>1</v>
      </c>
      <c r="U531" s="36">
        <f>IF(T531&gt;=2,ROUND((IF(T531=2,0.55,IF(T531&lt;=4,0.7,IF(T531&lt;=6,0.8,IF(T531&lt;=9,0.9,1))))*(S531/T531)+(1-(IF(T531=2,0.55,IF(T531&lt;=4,0.7,IF(T531&lt;=6,0.8,IF(T531&lt;=9,0.9,1))))))*$Y$1),1),"")</f>
      </c>
      <c r="V531" s="37">
        <v>8.5</v>
      </c>
      <c r="W531" s="38"/>
    </row>
    <row r="532" ht="24" customHeight="1" spans="1:23" x14ac:dyDescent="0.25">
      <c r="A532" s="40">
        <v>2287</v>
      </c>
      <c r="B532" s="32" t="s">
        <v>603</v>
      </c>
      <c r="C532" s="33" t="s">
        <v>24</v>
      </c>
      <c r="D532" s="34">
        <v>2012</v>
      </c>
      <c r="E532" s="41"/>
      <c r="F532" s="6"/>
      <c r="G532" s="6">
        <v>8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35">
        <f>SUM(F532:R532)</f>
        <v>8</v>
      </c>
      <c r="T532" s="35">
        <f>COUNT(F532:R532)</f>
        <v>1</v>
      </c>
      <c r="U532" s="36">
        <f>IF(T532&gt;=2,ROUND((IF(T532=2,0.55,IF(T532&lt;=4,0.7,IF(T532&lt;=6,0.8,IF(T532&lt;=9,0.9,1))))*(S532/T532)+(1-(IF(T532=2,0.55,IF(T532&lt;=4,0.7,IF(T532&lt;=6,0.8,IF(T532&lt;=9,0.9,1))))))*$Y$1),1),"")</f>
      </c>
      <c r="V532" s="37">
        <v>6.3</v>
      </c>
      <c r="W532" s="38"/>
    </row>
    <row r="533" ht="24" customHeight="1" spans="1:23" x14ac:dyDescent="0.25">
      <c r="A533" s="31">
        <v>315</v>
      </c>
      <c r="B533" s="32" t="s">
        <v>604</v>
      </c>
      <c r="C533" s="33" t="s">
        <v>24</v>
      </c>
      <c r="D533" s="34">
        <v>1973</v>
      </c>
      <c r="E533" s="34" t="s">
        <v>179</v>
      </c>
      <c r="F533" s="6">
        <v>10</v>
      </c>
      <c r="G533" s="6">
        <v>10</v>
      </c>
      <c r="H533" s="6">
        <v>10</v>
      </c>
      <c r="I533" s="6">
        <v>8</v>
      </c>
      <c r="J533" s="6">
        <v>10</v>
      </c>
      <c r="K533" s="6">
        <v>6</v>
      </c>
      <c r="L533" s="6">
        <v>10</v>
      </c>
      <c r="M533" s="6">
        <v>8</v>
      </c>
      <c r="N533" s="6">
        <v>10</v>
      </c>
      <c r="O533" s="6"/>
      <c r="P533" s="6">
        <v>10</v>
      </c>
      <c r="Q533" s="6">
        <v>6</v>
      </c>
      <c r="R533" s="6">
        <v>8</v>
      </c>
      <c r="S533" s="35">
        <f>SUM(F533:R533)</f>
        <v>106</v>
      </c>
      <c r="T533" s="35">
        <f>COUNT(F533:R533)</f>
        <v>12</v>
      </c>
      <c r="U533" s="36">
        <f>IF(T533&gt;=2,ROUND((IF(T533=2,0.55,IF(T533&lt;=4,0.7,IF(T533&lt;=6,0.8,IF(T533&lt;=9,0.9,1))))*(S533/T533)+(1-(IF(T533=2,0.55,IF(T533&lt;=4,0.7,IF(T533&lt;=6,0.8,IF(T533&lt;=9,0.9,1))))))*$Y$1),1),"")</f>
        <v>8.8</v>
      </c>
      <c r="V533" s="37">
        <v>8</v>
      </c>
      <c r="W533" s="38"/>
    </row>
    <row r="534" ht="24" customHeight="1" spans="1:23" x14ac:dyDescent="0.25">
      <c r="A534" s="31">
        <v>539</v>
      </c>
      <c r="B534" s="32" t="s">
        <v>605</v>
      </c>
      <c r="C534" s="33" t="s">
        <v>24</v>
      </c>
      <c r="D534" s="34">
        <v>2018</v>
      </c>
      <c r="E534" s="34" t="s">
        <v>92</v>
      </c>
      <c r="F534" s="6"/>
      <c r="G534" s="6">
        <v>8</v>
      </c>
      <c r="H534" s="6"/>
      <c r="I534" s="6"/>
      <c r="J534" s="6"/>
      <c r="K534" s="6"/>
      <c r="L534" s="6"/>
      <c r="M534" s="6"/>
      <c r="N534" s="6"/>
      <c r="O534" s="6"/>
      <c r="P534" s="6">
        <v>8</v>
      </c>
      <c r="Q534" s="6"/>
      <c r="R534" s="6"/>
      <c r="S534" s="35">
        <f>SUM(F534:R534)</f>
        <v>16</v>
      </c>
      <c r="T534" s="35">
        <f>COUNT(F534:R534)</f>
        <v>2</v>
      </c>
      <c r="U534" s="36">
        <f>IF(T534&gt;=2,ROUND((IF(T534=2,0.55,IF(T534&lt;=4,0.7,IF(T534&lt;=6,0.8,IF(T534&lt;=9,0.9,1))))*(S534/T534)+(1-(IF(T534=2,0.55,IF(T534&lt;=4,0.7,IF(T534&lt;=6,0.8,IF(T534&lt;=9,0.9,1))))))*$Y$1),1),"")</f>
        <v>8</v>
      </c>
      <c r="V534" s="37">
        <v>7.3</v>
      </c>
      <c r="W534" s="38"/>
    </row>
    <row r="535" ht="24" customHeight="1" spans="1:23" x14ac:dyDescent="0.25">
      <c r="A535" s="31">
        <v>1664</v>
      </c>
      <c r="B535" s="32" t="s">
        <v>606</v>
      </c>
      <c r="C535" s="33" t="s">
        <v>24</v>
      </c>
      <c r="D535" s="34">
        <v>2021</v>
      </c>
      <c r="E535" s="34" t="s">
        <v>81</v>
      </c>
      <c r="F535" s="6"/>
      <c r="G535" s="6"/>
      <c r="H535" s="6"/>
      <c r="I535" s="6"/>
      <c r="J535" s="6">
        <v>8</v>
      </c>
      <c r="K535" s="6">
        <v>8</v>
      </c>
      <c r="L535" s="6"/>
      <c r="M535" s="6"/>
      <c r="N535" s="6"/>
      <c r="O535" s="6"/>
      <c r="P535" s="6"/>
      <c r="Q535" s="6">
        <v>8</v>
      </c>
      <c r="R535" s="6"/>
      <c r="S535" s="35">
        <f>SUM(F535:R535)</f>
        <v>24</v>
      </c>
      <c r="T535" s="35">
        <f>COUNT(F535:R535)</f>
        <v>3</v>
      </c>
      <c r="U535" s="36">
        <f>IF(T535&gt;=2,ROUND((IF(T535=2,0.55,IF(T535&lt;=4,0.7,IF(T535&lt;=6,0.8,IF(T535&lt;=9,0.9,1))))*(S535/T535)+(1-(IF(T535=2,0.55,IF(T535&lt;=4,0.7,IF(T535&lt;=6,0.8,IF(T535&lt;=9,0.9,1))))))*$Y$1),1),"")</f>
        <v>8</v>
      </c>
      <c r="V535" s="37">
        <v>7.3</v>
      </c>
      <c r="W535" s="38"/>
    </row>
    <row r="536" ht="24" customHeight="1" spans="1:23" x14ac:dyDescent="0.25">
      <c r="A536" s="31">
        <v>114</v>
      </c>
      <c r="B536" s="32" t="s">
        <v>607</v>
      </c>
      <c r="C536" s="33" t="s">
        <v>24</v>
      </c>
      <c r="D536" s="34">
        <v>2015</v>
      </c>
      <c r="E536" s="34" t="s">
        <v>30</v>
      </c>
      <c r="F536" s="6">
        <v>8</v>
      </c>
      <c r="G536" s="6">
        <v>7</v>
      </c>
      <c r="H536" s="6">
        <v>8</v>
      </c>
      <c r="I536" s="6">
        <v>10</v>
      </c>
      <c r="J536" s="6">
        <v>8</v>
      </c>
      <c r="K536" s="6">
        <v>10</v>
      </c>
      <c r="L536" s="6">
        <v>10</v>
      </c>
      <c r="M536" s="6">
        <v>10</v>
      </c>
      <c r="N536" s="6">
        <v>10</v>
      </c>
      <c r="O536" s="6"/>
      <c r="P536" s="6">
        <v>6</v>
      </c>
      <c r="Q536" s="6">
        <v>10</v>
      </c>
      <c r="R536" s="6">
        <v>8</v>
      </c>
      <c r="S536" s="35">
        <f>SUM(F536:R536)</f>
        <v>105</v>
      </c>
      <c r="T536" s="35">
        <f>COUNT(F536:R536)</f>
        <v>12</v>
      </c>
      <c r="U536" s="36">
        <f>IF(T536&gt;=2,ROUND((IF(T536=2,0.55,IF(T536&lt;=4,0.7,IF(T536&lt;=6,0.8,IF(T536&lt;=9,0.9,1))))*(S536/T536)+(1-(IF(T536=2,0.55,IF(T536&lt;=4,0.7,IF(T536&lt;=6,0.8,IF(T536&lt;=9,0.9,1))))))*$Y$1),1),"")</f>
        <v>8.8</v>
      </c>
      <c r="V536" s="37">
        <v>7.3</v>
      </c>
      <c r="W536" s="38"/>
    </row>
    <row r="537" ht="24" customHeight="1" spans="1:23" x14ac:dyDescent="0.25">
      <c r="A537" s="47">
        <v>1623</v>
      </c>
      <c r="B537" s="32" t="s">
        <v>608</v>
      </c>
      <c r="C537" s="48" t="s">
        <v>24</v>
      </c>
      <c r="D537" s="49">
        <v>2020</v>
      </c>
      <c r="E537" s="49" t="s">
        <v>30</v>
      </c>
      <c r="F537" s="6">
        <v>8</v>
      </c>
      <c r="G537" s="6">
        <v>8</v>
      </c>
      <c r="H537" s="6">
        <v>8</v>
      </c>
      <c r="I537" s="6">
        <v>8</v>
      </c>
      <c r="J537" s="6">
        <v>8</v>
      </c>
      <c r="K537" s="6">
        <v>9</v>
      </c>
      <c r="L537" s="6">
        <v>8</v>
      </c>
      <c r="M537" s="6">
        <v>8</v>
      </c>
      <c r="N537" s="6">
        <v>8</v>
      </c>
      <c r="O537" s="6">
        <v>8</v>
      </c>
      <c r="P537" s="6"/>
      <c r="Q537" s="6">
        <v>9</v>
      </c>
      <c r="R537" s="6"/>
      <c r="S537" s="50">
        <f>SUM(F537:R537)</f>
        <v>90</v>
      </c>
      <c r="T537" s="50">
        <f>COUNT(F537:R537)</f>
        <v>11</v>
      </c>
      <c r="U537" s="36">
        <f>IF(T537&gt;=2,ROUND((IF(T537=2,0.55,IF(T537&lt;=4,0.7,IF(T537&lt;=6,0.8,IF(T537&lt;=9,0.9,1))))*(S537/T537)+(1-(IF(T537=2,0.55,IF(T537&lt;=4,0.7,IF(T537&lt;=6,0.8,IF(T537&lt;=9,0.9,1))))))*$Y$1),1),"")</f>
        <v>8.2</v>
      </c>
      <c r="V537" s="37">
        <v>7.2</v>
      </c>
      <c r="W537" s="38" t="s">
        <v>44</v>
      </c>
    </row>
    <row r="538" ht="24" customHeight="1" spans="1:23" s="39" customFormat="1" x14ac:dyDescent="0.25">
      <c r="A538" s="31">
        <v>640</v>
      </c>
      <c r="B538" s="32" t="s">
        <v>609</v>
      </c>
      <c r="C538" s="33" t="s">
        <v>24</v>
      </c>
      <c r="D538" s="34">
        <v>2005</v>
      </c>
      <c r="E538" s="34" t="s">
        <v>27</v>
      </c>
      <c r="F538" s="6"/>
      <c r="G538" s="6"/>
      <c r="H538" s="6"/>
      <c r="I538" s="6"/>
      <c r="J538" s="6">
        <v>8</v>
      </c>
      <c r="K538" s="6"/>
      <c r="L538" s="6"/>
      <c r="M538" s="6"/>
      <c r="N538" s="6"/>
      <c r="O538" s="6"/>
      <c r="P538" s="6"/>
      <c r="Q538" s="6"/>
      <c r="R538" s="6"/>
      <c r="S538" s="35">
        <f>SUM(F538:R538)</f>
        <v>8</v>
      </c>
      <c r="T538" s="35">
        <f>COUNT(F538:R538)</f>
        <v>1</v>
      </c>
      <c r="U538" s="36">
        <f>IF(T538&gt;=2,ROUND((IF(T538=2,0.55,IF(T538&lt;=4,0.7,IF(T538&lt;=6,0.8,IF(T538&lt;=9,0.9,1))))*(S538/T538)+(1-(IF(T538=2,0.55,IF(T538&lt;=4,0.7,IF(T538&lt;=6,0.8,IF(T538&lt;=9,0.9,1))))))*$Y$1),1),"")</f>
      </c>
      <c r="V538" s="37">
        <v>5.4</v>
      </c>
      <c r="W538" s="38"/>
    </row>
    <row r="539" ht="24" customHeight="1" spans="1:23" x14ac:dyDescent="0.25">
      <c r="A539" s="31">
        <v>1393</v>
      </c>
      <c r="B539" s="32" t="s">
        <v>610</v>
      </c>
      <c r="C539" s="33" t="s">
        <v>24</v>
      </c>
      <c r="D539" s="34">
        <v>2022</v>
      </c>
      <c r="E539" s="34" t="s">
        <v>30</v>
      </c>
      <c r="F539" s="6"/>
      <c r="G539" s="6"/>
      <c r="H539" s="6"/>
      <c r="I539" s="6"/>
      <c r="J539" s="6"/>
      <c r="K539" s="6">
        <v>8</v>
      </c>
      <c r="L539" s="6"/>
      <c r="M539" s="6"/>
      <c r="N539" s="6"/>
      <c r="O539" s="6"/>
      <c r="P539" s="6"/>
      <c r="Q539" s="6">
        <v>8</v>
      </c>
      <c r="R539" s="6">
        <v>7</v>
      </c>
      <c r="S539" s="35">
        <f>SUM(F539:R539)</f>
        <v>23</v>
      </c>
      <c r="T539" s="35">
        <f>COUNT(F539:R539)</f>
        <v>3</v>
      </c>
      <c r="U539" s="36">
        <f>IF(T539&gt;=2,ROUND((IF(T539=2,0.55,IF(T539&lt;=4,0.7,IF(T539&lt;=6,0.8,IF(T539&lt;=9,0.9,1))))*(S539/T539)+(1-(IF(T539=2,0.55,IF(T539&lt;=4,0.7,IF(T539&lt;=6,0.8,IF(T539&lt;=9,0.9,1))))))*$Y$1),1),"")</f>
        <v>7.8</v>
      </c>
      <c r="V539" s="37">
        <v>5.8</v>
      </c>
      <c r="W539" s="38"/>
    </row>
    <row r="540" ht="24" customHeight="1" spans="1:23" x14ac:dyDescent="0.25">
      <c r="A540" s="31">
        <v>1596</v>
      </c>
      <c r="B540" s="32" t="s">
        <v>611</v>
      </c>
      <c r="C540" s="33" t="s">
        <v>24</v>
      </c>
      <c r="D540" s="34">
        <v>2019</v>
      </c>
      <c r="E540" s="34" t="s">
        <v>27</v>
      </c>
      <c r="F540" s="6"/>
      <c r="G540" s="6"/>
      <c r="H540" s="6"/>
      <c r="I540" s="6"/>
      <c r="J540" s="6"/>
      <c r="K540" s="6"/>
      <c r="L540" s="6"/>
      <c r="M540" s="6"/>
      <c r="N540" s="6"/>
      <c r="O540" s="6">
        <v>5</v>
      </c>
      <c r="P540" s="6"/>
      <c r="Q540" s="6"/>
      <c r="R540" s="6"/>
      <c r="S540" s="35">
        <f>SUM(F540:R540)</f>
        <v>5</v>
      </c>
      <c r="T540" s="35">
        <f>COUNT(F540:R540)</f>
        <v>1</v>
      </c>
      <c r="U540" s="36">
        <f>IF(T540&gt;=2,ROUND((IF(T540=2,0.55,IF(T540&lt;=4,0.7,IF(T540&lt;=6,0.8,IF(T540&lt;=9,0.9,1))))*(S540/T540)+(1-(IF(T540=2,0.55,IF(T540&lt;=4,0.7,IF(T540&lt;=6,0.8,IF(T540&lt;=9,0.9,1))))))*$Y$1),1),"")</f>
      </c>
      <c r="V540" s="37">
        <v>5.5</v>
      </c>
      <c r="W540" s="38"/>
    </row>
    <row r="541" ht="24" customHeight="1" spans="1:23" x14ac:dyDescent="0.25">
      <c r="A541" s="31">
        <v>631</v>
      </c>
      <c r="B541" s="32" t="s">
        <v>612</v>
      </c>
      <c r="C541" s="33" t="s">
        <v>24</v>
      </c>
      <c r="D541" s="34">
        <v>2017</v>
      </c>
      <c r="E541" s="34" t="s">
        <v>27</v>
      </c>
      <c r="F541" s="6"/>
      <c r="G541" s="6"/>
      <c r="H541" s="6"/>
      <c r="I541" s="6"/>
      <c r="J541" s="6">
        <v>6</v>
      </c>
      <c r="K541" s="6"/>
      <c r="L541" s="6"/>
      <c r="M541" s="6"/>
      <c r="N541" s="6"/>
      <c r="O541" s="6"/>
      <c r="P541" s="6"/>
      <c r="Q541" s="6"/>
      <c r="R541" s="6"/>
      <c r="S541" s="35">
        <f>SUM(F541:R541)</f>
        <v>6</v>
      </c>
      <c r="T541" s="35">
        <f>COUNT(F541:R541)</f>
        <v>1</v>
      </c>
      <c r="U541" s="36">
        <f>IF(T541&gt;=2,ROUND((IF(T541=2,0.55,IF(T541&lt;=4,0.7,IF(T541&lt;=6,0.8,IF(T541&lt;=9,0.9,1))))*(S541/T541)+(1-(IF(T541=2,0.55,IF(T541&lt;=4,0.7,IF(T541&lt;=6,0.8,IF(T541&lt;=9,0.9,1))))))*$Y$1),1),"")</f>
      </c>
      <c r="V541" s="37">
        <v>5.2</v>
      </c>
      <c r="W541" s="38"/>
    </row>
    <row r="542" ht="24" customHeight="1" spans="1:23" x14ac:dyDescent="0.25">
      <c r="A542" s="31">
        <v>1851</v>
      </c>
      <c r="B542" s="32" t="s">
        <v>613</v>
      </c>
      <c r="C542" s="33" t="s">
        <v>24</v>
      </c>
      <c r="D542" s="34">
        <v>2013</v>
      </c>
      <c r="E542" s="34" t="s">
        <v>25</v>
      </c>
      <c r="F542" s="6"/>
      <c r="G542" s="6">
        <v>7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35">
        <f>SUM(F542:R542)</f>
        <v>7</v>
      </c>
      <c r="T542" s="35">
        <f>COUNT(F542:R542)</f>
        <v>1</v>
      </c>
      <c r="U542" s="36">
        <f>IF(T542&gt;=2,ROUND((IF(T542=2,0.55,IF(T542&lt;=4,0.7,IF(T542&lt;=6,0.8,IF(T542&lt;=9,0.9,1))))*(S542/T542)+(1-(IF(T542=2,0.55,IF(T542&lt;=4,0.7,IF(T542&lt;=6,0.8,IF(T542&lt;=9,0.9,1))))))*$Y$1),1),"")</f>
      </c>
      <c r="V542" s="37">
        <v>7.8</v>
      </c>
      <c r="W542" s="38"/>
    </row>
    <row r="543" ht="47.25" customHeight="1" spans="1:23" x14ac:dyDescent="0.25">
      <c r="A543" s="31">
        <v>961</v>
      </c>
      <c r="B543" s="32" t="s">
        <v>614</v>
      </c>
      <c r="C543" s="33" t="s">
        <v>24</v>
      </c>
      <c r="D543" s="34">
        <v>2015</v>
      </c>
      <c r="E543" s="34" t="s">
        <v>244</v>
      </c>
      <c r="F543" s="6">
        <v>8</v>
      </c>
      <c r="G543" s="6"/>
      <c r="H543" s="6">
        <v>8</v>
      </c>
      <c r="I543" s="6"/>
      <c r="J543" s="6">
        <v>8</v>
      </c>
      <c r="K543" s="6">
        <v>8</v>
      </c>
      <c r="L543" s="6">
        <v>8</v>
      </c>
      <c r="M543" s="6"/>
      <c r="N543" s="6"/>
      <c r="O543" s="6">
        <v>8</v>
      </c>
      <c r="P543" s="6"/>
      <c r="Q543" s="6">
        <v>8</v>
      </c>
      <c r="R543" s="6"/>
      <c r="S543" s="35">
        <f>SUM(F543:R543)</f>
        <v>56</v>
      </c>
      <c r="T543" s="35">
        <f>COUNT(F543:R543)</f>
        <v>7</v>
      </c>
      <c r="U543" s="36">
        <f>IF(T543&gt;=2,ROUND((IF(T543=2,0.55,IF(T543&lt;=4,0.7,IF(T543&lt;=6,0.8,IF(T543&lt;=9,0.9,1))))*(S543/T543)+(1-(IF(T543=2,0.55,IF(T543&lt;=4,0.7,IF(T543&lt;=6,0.8,IF(T543&lt;=9,0.9,1))))))*$Y$1),1),"")</f>
        <v>8</v>
      </c>
      <c r="V543" s="37">
        <v>7</v>
      </c>
      <c r="W543" s="38"/>
    </row>
    <row r="544" ht="24" customHeight="1" spans="1:23" x14ac:dyDescent="0.25">
      <c r="A544" s="31">
        <v>1338</v>
      </c>
      <c r="B544" s="32" t="s">
        <v>615</v>
      </c>
      <c r="C544" s="33" t="s">
        <v>158</v>
      </c>
      <c r="D544" s="34">
        <v>2022</v>
      </c>
      <c r="E544" s="34" t="s">
        <v>30</v>
      </c>
      <c r="F544" s="6"/>
      <c r="G544" s="6"/>
      <c r="H544" s="6"/>
      <c r="I544" s="6"/>
      <c r="J544" s="6"/>
      <c r="K544" s="6"/>
      <c r="L544" s="6">
        <v>7</v>
      </c>
      <c r="M544" s="6"/>
      <c r="N544" s="6"/>
      <c r="O544" s="6">
        <v>6</v>
      </c>
      <c r="P544" s="6"/>
      <c r="Q544" s="6"/>
      <c r="R544" s="6"/>
      <c r="S544" s="35">
        <f>SUM(F544:R544)</f>
        <v>13</v>
      </c>
      <c r="T544" s="35">
        <f>COUNT(F544:R544)</f>
        <v>2</v>
      </c>
      <c r="U544" s="36">
        <f>IF(T544&gt;=2,ROUND((IF(T544=2,0.55,IF(T544&lt;=4,0.7,IF(T544&lt;=6,0.8,IF(T544&lt;=9,0.9,1))))*(S544/T544)+(1-(IF(T544=2,0.55,IF(T544&lt;=4,0.7,IF(T544&lt;=6,0.8,IF(T544&lt;=9,0.9,1))))))*$Y$1),1),"")</f>
        <v>7.2</v>
      </c>
      <c r="V544" s="37">
        <v>6.6</v>
      </c>
      <c r="W544" s="38"/>
    </row>
    <row r="545" ht="24" customHeight="1" spans="1:23" x14ac:dyDescent="0.25">
      <c r="A545" s="31">
        <v>2464</v>
      </c>
      <c r="B545" s="32" t="s">
        <v>616</v>
      </c>
      <c r="C545" s="33" t="s">
        <v>24</v>
      </c>
      <c r="D545" s="34">
        <v>2025</v>
      </c>
      <c r="E545" s="41"/>
      <c r="F545" s="6"/>
      <c r="G545" s="6"/>
      <c r="H545" s="6"/>
      <c r="I545" s="6"/>
      <c r="J545" s="6"/>
      <c r="K545" s="6">
        <v>6</v>
      </c>
      <c r="L545" s="6"/>
      <c r="M545" s="6"/>
      <c r="N545" s="6"/>
      <c r="O545" s="6">
        <v>8</v>
      </c>
      <c r="P545" s="6"/>
      <c r="Q545" s="6">
        <v>6</v>
      </c>
      <c r="R545" s="6"/>
      <c r="S545" s="35">
        <f>SUM(F545:R545)</f>
        <v>20</v>
      </c>
      <c r="T545" s="35">
        <f>COUNT(F545:R545)</f>
        <v>3</v>
      </c>
      <c r="U545" s="36">
        <f>IF(T545&gt;=2,ROUND((IF(T545=2,0.55,IF(T545&lt;=4,0.7,IF(T545&lt;=6,0.8,IF(T545&lt;=9,0.9,1))))*(S545/T545)+(1-(IF(T545=2,0.55,IF(T545&lt;=4,0.7,IF(T545&lt;=6,0.8,IF(T545&lt;=9,0.9,1))))))*$Y$1),1),"")</f>
        <v>7.1</v>
      </c>
      <c r="V545" s="37">
        <v>6.5</v>
      </c>
      <c r="W545" s="38"/>
    </row>
    <row r="546" ht="24" customHeight="1" spans="1:23" x14ac:dyDescent="0.25">
      <c r="A546" s="40">
        <v>2336</v>
      </c>
      <c r="B546" s="32" t="s">
        <v>617</v>
      </c>
      <c r="C546" s="33" t="s">
        <v>24</v>
      </c>
      <c r="D546" s="34">
        <v>2022</v>
      </c>
      <c r="E546" s="41"/>
      <c r="F546" s="6"/>
      <c r="G546" s="6">
        <v>8</v>
      </c>
      <c r="H546" s="6"/>
      <c r="I546" s="6"/>
      <c r="J546" s="6">
        <v>8</v>
      </c>
      <c r="K546" s="6"/>
      <c r="L546" s="6"/>
      <c r="M546" s="6"/>
      <c r="N546" s="6">
        <v>8</v>
      </c>
      <c r="O546" s="6">
        <v>6</v>
      </c>
      <c r="P546" s="6">
        <v>8</v>
      </c>
      <c r="Q546" s="6"/>
      <c r="R546" s="6">
        <v>8</v>
      </c>
      <c r="S546" s="35">
        <f>SUM(F546:R546)</f>
        <v>46</v>
      </c>
      <c r="T546" s="35">
        <f>COUNT(F546:R546)</f>
        <v>6</v>
      </c>
      <c r="U546" s="36">
        <f>IF(T546&gt;=2,ROUND((IF(T546=2,0.55,IF(T546&lt;=4,0.7,IF(T546&lt;=6,0.8,IF(T546&lt;=9,0.9,1))))*(S546/T546)+(1-(IF(T546=2,0.55,IF(T546&lt;=4,0.7,IF(T546&lt;=6,0.8,IF(T546&lt;=9,0.9,1))))))*$Y$1),1),"")</f>
        <v>7.8</v>
      </c>
      <c r="V546" s="37">
        <v>7.1</v>
      </c>
      <c r="W546" s="38"/>
    </row>
    <row r="547" ht="24" customHeight="1" spans="1:23" x14ac:dyDescent="0.25">
      <c r="A547" s="31">
        <v>638</v>
      </c>
      <c r="B547" s="32" t="s">
        <v>618</v>
      </c>
      <c r="C547" s="33" t="s">
        <v>24</v>
      </c>
      <c r="D547" s="34">
        <v>2019</v>
      </c>
      <c r="E547" s="34" t="s">
        <v>30</v>
      </c>
      <c r="F547" s="6"/>
      <c r="G547" s="6"/>
      <c r="H547" s="6"/>
      <c r="I547" s="6"/>
      <c r="J547" s="6">
        <v>6</v>
      </c>
      <c r="K547" s="6"/>
      <c r="L547" s="6"/>
      <c r="M547" s="6"/>
      <c r="N547" s="6"/>
      <c r="O547" s="6"/>
      <c r="P547" s="6"/>
      <c r="Q547" s="6"/>
      <c r="R547" s="6"/>
      <c r="S547" s="35">
        <f>SUM(F547:R547)</f>
        <v>6</v>
      </c>
      <c r="T547" s="35">
        <f>COUNT(F547:R547)</f>
        <v>1</v>
      </c>
      <c r="U547" s="36">
        <f>IF(T547&gt;=2,ROUND((IF(T547=2,0.55,IF(T547&lt;=4,0.7,IF(T547&lt;=6,0.8,IF(T547&lt;=9,0.9,1))))*(S547/T547)+(1-(IF(T547=2,0.55,IF(T547&lt;=4,0.7,IF(T547&lt;=6,0.8,IF(T547&lt;=9,0.9,1))))))*$Y$1),1),"")</f>
      </c>
      <c r="V547" s="37">
        <v>7.2</v>
      </c>
      <c r="W547" s="38"/>
    </row>
    <row r="548" ht="24" customHeight="1" spans="1:23" x14ac:dyDescent="0.25">
      <c r="A548" s="31">
        <v>935</v>
      </c>
      <c r="B548" s="32" t="s">
        <v>619</v>
      </c>
      <c r="C548" s="33" t="s">
        <v>24</v>
      </c>
      <c r="D548" s="34">
        <v>2018</v>
      </c>
      <c r="E548" s="34" t="s">
        <v>30</v>
      </c>
      <c r="F548" s="6">
        <v>10</v>
      </c>
      <c r="G548" s="6">
        <v>8</v>
      </c>
      <c r="H548" s="6">
        <v>8</v>
      </c>
      <c r="I548" s="6">
        <v>10</v>
      </c>
      <c r="J548" s="6">
        <v>10</v>
      </c>
      <c r="K548" s="6">
        <v>10</v>
      </c>
      <c r="L548" s="6">
        <v>10</v>
      </c>
      <c r="M548" s="6">
        <v>8</v>
      </c>
      <c r="N548" s="6">
        <v>8</v>
      </c>
      <c r="O548" s="6">
        <v>9</v>
      </c>
      <c r="P548" s="6">
        <v>8</v>
      </c>
      <c r="Q548" s="6">
        <v>10</v>
      </c>
      <c r="R548" s="6"/>
      <c r="S548" s="35">
        <f>SUM(F548:R548)</f>
        <v>109</v>
      </c>
      <c r="T548" s="35">
        <f>COUNT(F548:R548)</f>
        <v>12</v>
      </c>
      <c r="U548" s="36">
        <f>IF(T548&gt;=2,ROUND((IF(T548=2,0.55,IF(T548&lt;=4,0.7,IF(T548&lt;=6,0.8,IF(T548&lt;=9,0.9,1))))*(S548/T548)+(1-(IF(T548=2,0.55,IF(T548&lt;=4,0.7,IF(T548&lt;=6,0.8,IF(T548&lt;=9,0.9,1))))))*$Y$1),1),"")</f>
        <v>9.1</v>
      </c>
      <c r="V548" s="37">
        <v>7.8</v>
      </c>
      <c r="W548" s="38"/>
    </row>
    <row r="549" ht="24" customHeight="1" spans="1:23" x14ac:dyDescent="0.25">
      <c r="A549" s="31">
        <v>1317</v>
      </c>
      <c r="B549" s="32" t="s">
        <v>620</v>
      </c>
      <c r="C549" s="33" t="s">
        <v>24</v>
      </c>
      <c r="D549" s="34">
        <v>2007</v>
      </c>
      <c r="E549" s="34" t="s">
        <v>244</v>
      </c>
      <c r="F549" s="6">
        <v>6</v>
      </c>
      <c r="G549" s="6"/>
      <c r="H549" s="6"/>
      <c r="I549" s="6"/>
      <c r="J549" s="6">
        <v>8</v>
      </c>
      <c r="K549" s="6">
        <v>8</v>
      </c>
      <c r="L549" s="6">
        <v>6</v>
      </c>
      <c r="M549" s="6">
        <v>8</v>
      </c>
      <c r="N549" s="6"/>
      <c r="O549" s="6"/>
      <c r="P549" s="6"/>
      <c r="Q549" s="6">
        <v>8</v>
      </c>
      <c r="R549" s="6">
        <v>8</v>
      </c>
      <c r="S549" s="35">
        <f>SUM(F549:R549)</f>
        <v>52</v>
      </c>
      <c r="T549" s="35">
        <f>COUNT(F549:R549)</f>
        <v>7</v>
      </c>
      <c r="U549" s="36">
        <f>IF(T549&gt;=2,ROUND((IF(T549=2,0.55,IF(T549&lt;=4,0.7,IF(T549&lt;=6,0.8,IF(T549&lt;=9,0.9,1))))*(S549/T549)+(1-(IF(T549=2,0.55,IF(T549&lt;=4,0.7,IF(T549&lt;=6,0.8,IF(T549&lt;=9,0.9,1))))))*$Y$1),1),"")</f>
        <v>7.5</v>
      </c>
      <c r="V549" s="37">
        <v>7</v>
      </c>
      <c r="W549" s="38"/>
    </row>
    <row r="550" ht="24" customHeight="1" spans="1:23" x14ac:dyDescent="0.25">
      <c r="A550" s="31">
        <v>113</v>
      </c>
      <c r="B550" s="32" t="s">
        <v>621</v>
      </c>
      <c r="C550" s="33" t="s">
        <v>29</v>
      </c>
      <c r="D550" s="34">
        <v>2017</v>
      </c>
      <c r="E550" s="34" t="s">
        <v>30</v>
      </c>
      <c r="F550" s="6">
        <v>8</v>
      </c>
      <c r="G550" s="6"/>
      <c r="H550" s="6">
        <v>8</v>
      </c>
      <c r="I550" s="6"/>
      <c r="J550" s="6"/>
      <c r="K550" s="6"/>
      <c r="L550" s="6">
        <v>8</v>
      </c>
      <c r="M550" s="6">
        <v>8</v>
      </c>
      <c r="N550" s="6">
        <v>8</v>
      </c>
      <c r="O550" s="6"/>
      <c r="P550" s="6"/>
      <c r="Q550" s="6"/>
      <c r="R550" s="6"/>
      <c r="S550" s="35">
        <f>SUM(F550:R550)</f>
        <v>40</v>
      </c>
      <c r="T550" s="35">
        <f>COUNT(F550:R550)</f>
        <v>5</v>
      </c>
      <c r="U550" s="36">
        <f>IF(T550&gt;=2,ROUND((IF(T550=2,0.55,IF(T550&lt;=4,0.7,IF(T550&lt;=6,0.8,IF(T550&lt;=9,0.9,1))))*(S550/T550)+(1-(IF(T550=2,0.55,IF(T550&lt;=4,0.7,IF(T550&lt;=6,0.8,IF(T550&lt;=9,0.9,1))))))*$Y$1),1),"")</f>
        <v>8</v>
      </c>
      <c r="V550" s="37">
        <v>8.4</v>
      </c>
      <c r="W550" s="38"/>
    </row>
    <row r="551" ht="24" customHeight="1" spans="1:23" x14ac:dyDescent="0.25">
      <c r="A551" s="31">
        <v>112</v>
      </c>
      <c r="B551" s="32" t="s">
        <v>622</v>
      </c>
      <c r="C551" s="33" t="s">
        <v>29</v>
      </c>
      <c r="D551" s="34">
        <v>2014</v>
      </c>
      <c r="E551" s="34" t="s">
        <v>30</v>
      </c>
      <c r="F551" s="6">
        <v>8</v>
      </c>
      <c r="G551" s="6"/>
      <c r="H551" s="6">
        <v>10</v>
      </c>
      <c r="I551" s="6"/>
      <c r="J551" s="6"/>
      <c r="K551" s="6"/>
      <c r="L551" s="6">
        <v>6</v>
      </c>
      <c r="M551" s="6"/>
      <c r="N551" s="6"/>
      <c r="O551" s="6">
        <v>8</v>
      </c>
      <c r="P551" s="6"/>
      <c r="Q551" s="6"/>
      <c r="R551" s="6"/>
      <c r="S551" s="35">
        <f>SUM(F551:R551)</f>
        <v>32</v>
      </c>
      <c r="T551" s="35">
        <f>COUNT(F551:R551)</f>
        <v>4</v>
      </c>
      <c r="U551" s="36">
        <f>IF(T551&gt;=2,ROUND((IF(T551=2,0.55,IF(T551&lt;=4,0.7,IF(T551&lt;=6,0.8,IF(T551&lt;=9,0.9,1))))*(S551/T551)+(1-(IF(T551=2,0.55,IF(T551&lt;=4,0.7,IF(T551&lt;=6,0.8,IF(T551&lt;=9,0.9,1))))))*$Y$1),1),"")</f>
        <v>8</v>
      </c>
      <c r="V551" s="37">
        <v>8.3</v>
      </c>
      <c r="W551" s="38"/>
    </row>
    <row r="552" ht="24" customHeight="1" spans="1:23" x14ac:dyDescent="0.25">
      <c r="A552" s="40">
        <v>2357</v>
      </c>
      <c r="B552" s="32" t="s">
        <v>623</v>
      </c>
      <c r="C552" s="33" t="s">
        <v>24</v>
      </c>
      <c r="D552" s="34">
        <v>2011</v>
      </c>
      <c r="E552" s="41"/>
      <c r="F552" s="6">
        <v>7</v>
      </c>
      <c r="G552" s="6"/>
      <c r="H552" s="6"/>
      <c r="I552" s="6"/>
      <c r="J552" s="6"/>
      <c r="K552" s="6">
        <v>8</v>
      </c>
      <c r="L552" s="6"/>
      <c r="M552" s="6"/>
      <c r="N552" s="6"/>
      <c r="O552" s="6"/>
      <c r="P552" s="6"/>
      <c r="Q552" s="6">
        <v>8</v>
      </c>
      <c r="R552" s="6"/>
      <c r="S552" s="35">
        <f>SUM(F552:R552)</f>
        <v>23</v>
      </c>
      <c r="T552" s="35">
        <f>COUNT(F552:R552)</f>
        <v>3</v>
      </c>
      <c r="U552" s="36">
        <f>IF(T552&gt;=2,ROUND((IF(T552=2,0.55,IF(T552&lt;=4,0.7,IF(T552&lt;=6,0.8,IF(T552&lt;=9,0.9,1))))*(S552/T552)+(1-(IF(T552=2,0.55,IF(T552&lt;=4,0.7,IF(T552&lt;=6,0.8,IF(T552&lt;=9,0.9,1))))))*$Y$1),1),"")</f>
        <v>7.8</v>
      </c>
      <c r="V552" s="37">
        <v>7.6</v>
      </c>
      <c r="W552" s="38"/>
    </row>
    <row r="553" ht="24" customHeight="1" spans="1:23" x14ac:dyDescent="0.25">
      <c r="A553" s="40">
        <v>2138</v>
      </c>
      <c r="B553" s="32" t="s">
        <v>624</v>
      </c>
      <c r="C553" s="33" t="s">
        <v>24</v>
      </c>
      <c r="D553" s="34">
        <v>2003</v>
      </c>
      <c r="E553" s="41"/>
      <c r="F553" s="6"/>
      <c r="G553" s="6">
        <v>7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35">
        <f>SUM(F553:R553)</f>
        <v>7</v>
      </c>
      <c r="T553" s="35">
        <f>COUNT(F553:R553)</f>
        <v>1</v>
      </c>
      <c r="U553" s="36">
        <f>IF(T553&gt;=2,ROUND((IF(T553=2,0.55,IF(T553&lt;=4,0.7,IF(T553&lt;=6,0.8,IF(T553&lt;=9,0.9,1))))*(S553/T553)+(1-(IF(T553=2,0.55,IF(T553&lt;=4,0.7,IF(T553&lt;=6,0.8,IF(T553&lt;=9,0.9,1))))))*$Y$1),1),"")</f>
      </c>
      <c r="V553" s="37">
        <v>7.3</v>
      </c>
      <c r="W553" s="38"/>
    </row>
    <row r="554" ht="24" customHeight="1" spans="1:23" x14ac:dyDescent="0.25">
      <c r="A554" s="31">
        <v>867</v>
      </c>
      <c r="B554" s="32" t="s">
        <v>625</v>
      </c>
      <c r="C554" s="33" t="s">
        <v>24</v>
      </c>
      <c r="D554" s="34">
        <v>1995</v>
      </c>
      <c r="E554" s="34" t="s">
        <v>27</v>
      </c>
      <c r="F554" s="6"/>
      <c r="G554" s="6">
        <v>9</v>
      </c>
      <c r="H554" s="6"/>
      <c r="I554" s="6"/>
      <c r="J554" s="6">
        <v>9</v>
      </c>
      <c r="K554" s="6">
        <v>9</v>
      </c>
      <c r="L554" s="6"/>
      <c r="M554" s="6"/>
      <c r="N554" s="6"/>
      <c r="O554" s="6"/>
      <c r="P554" s="6"/>
      <c r="Q554" s="6">
        <v>9</v>
      </c>
      <c r="R554" s="6"/>
      <c r="S554" s="35">
        <f>SUM(F554:R554)</f>
        <v>36</v>
      </c>
      <c r="T554" s="35">
        <f>COUNT(F554:R554)</f>
        <v>4</v>
      </c>
      <c r="U554" s="36">
        <f>IF(T554&gt;=2,ROUND((IF(T554=2,0.55,IF(T554&lt;=4,0.7,IF(T554&lt;=6,0.8,IF(T554&lt;=9,0.9,1))))*(S554/T554)+(1-(IF(T554=2,0.55,IF(T554&lt;=4,0.7,IF(T554&lt;=6,0.8,IF(T554&lt;=9,0.9,1))))))*$Y$1),1),"")</f>
        <v>8.7</v>
      </c>
      <c r="V554" s="37">
        <v>7.5</v>
      </c>
      <c r="W554" s="38"/>
    </row>
    <row r="555" ht="24" customHeight="1" spans="1:23" x14ac:dyDescent="0.25">
      <c r="A555" s="31">
        <v>148</v>
      </c>
      <c r="B555" s="32" t="s">
        <v>626</v>
      </c>
      <c r="C555" s="33" t="s">
        <v>29</v>
      </c>
      <c r="D555" s="34">
        <v>2019</v>
      </c>
      <c r="E555" s="34" t="s">
        <v>30</v>
      </c>
      <c r="F555" s="6"/>
      <c r="G555" s="6"/>
      <c r="H555" s="6">
        <v>8</v>
      </c>
      <c r="I555" s="6"/>
      <c r="J555" s="6"/>
      <c r="K555" s="6">
        <v>8</v>
      </c>
      <c r="L555" s="6">
        <v>8</v>
      </c>
      <c r="M555" s="6">
        <v>8</v>
      </c>
      <c r="N555" s="6">
        <v>8</v>
      </c>
      <c r="O555" s="6"/>
      <c r="P555" s="6"/>
      <c r="Q555" s="6">
        <v>8</v>
      </c>
      <c r="R555" s="6"/>
      <c r="S555" s="35">
        <f>SUM(F555:R555)</f>
        <v>48</v>
      </c>
      <c r="T555" s="35">
        <f>COUNT(F555:R555)</f>
        <v>6</v>
      </c>
      <c r="U555" s="36">
        <f>IF(T555&gt;=2,ROUND((IF(T555=2,0.55,IF(T555&lt;=4,0.7,IF(T555&lt;=6,0.8,IF(T555&lt;=9,0.9,1))))*(S555/T555)+(1-(IF(T555=2,0.55,IF(T555&lt;=4,0.7,IF(T555&lt;=6,0.8,IF(T555&lt;=9,0.9,1))))))*$Y$1),1),"")</f>
        <v>8</v>
      </c>
      <c r="V555" s="37">
        <v>7.3</v>
      </c>
      <c r="W555" s="38"/>
    </row>
    <row r="556" ht="24" customHeight="1" spans="1:23" x14ac:dyDescent="0.25">
      <c r="A556" s="31">
        <v>2481</v>
      </c>
      <c r="B556" s="32" t="s">
        <v>627</v>
      </c>
      <c r="C556" s="33" t="s">
        <v>29</v>
      </c>
      <c r="D556" s="34">
        <v>2026</v>
      </c>
      <c r="E556" s="41"/>
      <c r="F556" s="6">
        <v>8</v>
      </c>
      <c r="G556" s="6"/>
      <c r="H556" s="6"/>
      <c r="I556" s="6"/>
      <c r="J556" s="6"/>
      <c r="K556" s="6"/>
      <c r="L556" s="6">
        <v>9</v>
      </c>
      <c r="M556" s="6"/>
      <c r="N556" s="6"/>
      <c r="O556" s="6"/>
      <c r="P556" s="6"/>
      <c r="Q556" s="6"/>
      <c r="R556" s="6"/>
      <c r="S556" s="35">
        <f>SUM(F556:R556)</f>
        <v>17</v>
      </c>
      <c r="T556" s="35">
        <f>COUNT(F556:R556)</f>
        <v>2</v>
      </c>
      <c r="U556" s="36">
        <f>IF(T556&gt;=2,ROUND((IF(T556=2,0.55,IF(T556&lt;=4,0.7,IF(T556&lt;=6,0.8,IF(T556&lt;=9,0.9,1))))*(S556/T556)+(1-(IF(T556=2,0.55,IF(T556&lt;=4,0.7,IF(T556&lt;=6,0.8,IF(T556&lt;=9,0.9,1))))))*$Y$1),1),"")</f>
        <v>8.3</v>
      </c>
      <c r="V556" s="37">
        <v>8.3</v>
      </c>
      <c r="W556" s="38"/>
    </row>
    <row r="557" ht="24" customHeight="1" spans="1:23" s="39" customFormat="1" x14ac:dyDescent="0.25">
      <c r="A557" s="40">
        <v>2093</v>
      </c>
      <c r="B557" s="32" t="s">
        <v>628</v>
      </c>
      <c r="C557" s="33" t="s">
        <v>24</v>
      </c>
      <c r="D557" s="34">
        <v>1995</v>
      </c>
      <c r="E557" s="41"/>
      <c r="F557" s="6"/>
      <c r="G557" s="6">
        <v>8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35">
        <f>SUM(F557:R557)</f>
        <v>8</v>
      </c>
      <c r="T557" s="35">
        <f>COUNT(F557:R557)</f>
        <v>1</v>
      </c>
      <c r="U557" s="36">
        <f>IF(T557&gt;=2,ROUND((IF(T557=2,0.55,IF(T557&lt;=4,0.7,IF(T557&lt;=6,0.8,IF(T557&lt;=9,0.9,1))))*(S557/T557)+(1-(IF(T557=2,0.55,IF(T557&lt;=4,0.7,IF(T557&lt;=6,0.8,IF(T557&lt;=9,0.9,1))))))*$Y$1),1),"")</f>
      </c>
      <c r="V557" s="37">
        <v>8.5</v>
      </c>
      <c r="W557" s="38"/>
    </row>
    <row r="558" ht="24" customHeight="1" spans="1:23" x14ac:dyDescent="0.25">
      <c r="A558" s="42">
        <v>538</v>
      </c>
      <c r="B558" s="32" t="s">
        <v>628</v>
      </c>
      <c r="C558" s="43" t="s">
        <v>24</v>
      </c>
      <c r="D558" s="44">
        <v>2013</v>
      </c>
      <c r="E558" s="44" t="s">
        <v>629</v>
      </c>
      <c r="F558" s="6">
        <v>8</v>
      </c>
      <c r="G558" s="6">
        <v>8</v>
      </c>
      <c r="H558" s="6">
        <v>8</v>
      </c>
      <c r="I558" s="6">
        <v>8</v>
      </c>
      <c r="J558" s="6">
        <v>8</v>
      </c>
      <c r="K558" s="6">
        <v>6</v>
      </c>
      <c r="L558" s="6">
        <v>8</v>
      </c>
      <c r="M558" s="6">
        <v>8</v>
      </c>
      <c r="N558" s="6">
        <v>8</v>
      </c>
      <c r="O558" s="6"/>
      <c r="P558" s="6">
        <v>8</v>
      </c>
      <c r="Q558" s="6">
        <v>6</v>
      </c>
      <c r="R558" s="6">
        <v>7</v>
      </c>
      <c r="S558" s="45">
        <f>SUM(F558:R558)</f>
        <v>91</v>
      </c>
      <c r="T558" s="45">
        <f>COUNT(F558:R558)</f>
        <v>12</v>
      </c>
      <c r="U558" s="36">
        <f>IF(T558&gt;=2,ROUND((IF(T558=2,0.55,IF(T558&lt;=4,0.7,IF(T558&lt;=6,0.8,IF(T558&lt;=9,0.9,1))))*(S558/T558)+(1-(IF(T558=2,0.55,IF(T558&lt;=4,0.7,IF(T558&lt;=6,0.8,IF(T558&lt;=9,0.9,1))))))*$Y$1),1),"")</f>
        <v>7.6</v>
      </c>
      <c r="V558" s="37">
        <v>8.2</v>
      </c>
      <c r="W558" s="38" t="s">
        <v>44</v>
      </c>
    </row>
    <row r="559" ht="24" customHeight="1" spans="1:23" s="39" customFormat="1" x14ac:dyDescent="0.25">
      <c r="A559" s="40">
        <v>2422</v>
      </c>
      <c r="B559" s="32" t="s">
        <v>630</v>
      </c>
      <c r="C559" s="33" t="s">
        <v>29</v>
      </c>
      <c r="D559" s="34">
        <v>2026</v>
      </c>
      <c r="E559" s="41"/>
      <c r="F559" s="6"/>
      <c r="G559" s="6"/>
      <c r="H559" s="6"/>
      <c r="I559" s="6"/>
      <c r="J559" s="6"/>
      <c r="K559" s="6"/>
      <c r="L559" s="6">
        <v>6</v>
      </c>
      <c r="M559" s="6">
        <v>6</v>
      </c>
      <c r="N559" s="6"/>
      <c r="O559" s="6"/>
      <c r="P559" s="6"/>
      <c r="Q559" s="6"/>
      <c r="R559" s="6"/>
      <c r="S559" s="35">
        <f>SUM(F559:R559)</f>
        <v>12</v>
      </c>
      <c r="T559" s="35">
        <f>COUNT(F559:R559)</f>
        <v>2</v>
      </c>
      <c r="U559" s="36">
        <f>IF(T559&gt;=2,ROUND((IF(T559=2,0.55,IF(T559&lt;=4,0.7,IF(T559&lt;=6,0.8,IF(T559&lt;=9,0.9,1))))*(S559/T559)+(1-(IF(T559=2,0.55,IF(T559&lt;=4,0.7,IF(T559&lt;=6,0.8,IF(T559&lt;=9,0.9,1))))))*$Y$1),1),"")</f>
        <v>6.9</v>
      </c>
      <c r="V559" s="37">
        <v>6.2</v>
      </c>
      <c r="W559" s="38"/>
    </row>
    <row r="560" ht="24" customHeight="1" spans="1:23" x14ac:dyDescent="0.25">
      <c r="A560" s="31">
        <v>1767</v>
      </c>
      <c r="B560" s="32" t="s">
        <v>631</v>
      </c>
      <c r="C560" s="33" t="s">
        <v>158</v>
      </c>
      <c r="D560" s="34">
        <v>2020</v>
      </c>
      <c r="E560" s="34" t="s">
        <v>30</v>
      </c>
      <c r="F560" s="6"/>
      <c r="G560" s="6"/>
      <c r="H560" s="6"/>
      <c r="I560" s="6"/>
      <c r="J560" s="6">
        <v>8</v>
      </c>
      <c r="K560" s="6"/>
      <c r="L560" s="6"/>
      <c r="M560" s="6"/>
      <c r="N560" s="6"/>
      <c r="O560" s="6"/>
      <c r="P560" s="6"/>
      <c r="Q560" s="6"/>
      <c r="R560" s="6"/>
      <c r="S560" s="35">
        <f>SUM(F560:R560)</f>
        <v>8</v>
      </c>
      <c r="T560" s="35">
        <f>COUNT(F560:R560)</f>
        <v>1</v>
      </c>
      <c r="U560" s="36">
        <f>IF(T560&gt;=2,ROUND((IF(T560=2,0.55,IF(T560&lt;=4,0.7,IF(T560&lt;=6,0.8,IF(T560&lt;=9,0.9,1))))*(S560/T560)+(1-(IF(T560=2,0.55,IF(T560&lt;=4,0.7,IF(T560&lt;=6,0.8,IF(T560&lt;=9,0.9,1))))))*$Y$1),1),"")</f>
      </c>
      <c r="V560" s="37">
        <v>7.2</v>
      </c>
      <c r="W560" s="38"/>
    </row>
    <row r="561" ht="24" customHeight="1" spans="1:23" x14ac:dyDescent="0.25">
      <c r="A561" s="31">
        <v>926</v>
      </c>
      <c r="B561" s="32" t="s">
        <v>632</v>
      </c>
      <c r="C561" s="33" t="s">
        <v>29</v>
      </c>
      <c r="D561" s="34">
        <v>2019</v>
      </c>
      <c r="E561" s="34" t="s">
        <v>30</v>
      </c>
      <c r="F561" s="6">
        <v>8</v>
      </c>
      <c r="G561" s="6"/>
      <c r="H561" s="6"/>
      <c r="I561" s="6"/>
      <c r="J561" s="6">
        <v>8</v>
      </c>
      <c r="K561" s="6"/>
      <c r="L561" s="6"/>
      <c r="M561" s="6"/>
      <c r="N561" s="6">
        <v>8</v>
      </c>
      <c r="O561" s="6"/>
      <c r="P561" s="6"/>
      <c r="Q561" s="6"/>
      <c r="R561" s="6"/>
      <c r="S561" s="35">
        <f>SUM(F561:R561)</f>
        <v>24</v>
      </c>
      <c r="T561" s="35">
        <f>COUNT(F561:R561)</f>
        <v>3</v>
      </c>
      <c r="U561" s="36">
        <f>IF(T561&gt;=2,ROUND((IF(T561=2,0.55,IF(T561&lt;=4,0.7,IF(T561&lt;=6,0.8,IF(T561&lt;=9,0.9,1))))*(S561/T561)+(1-(IF(T561=2,0.55,IF(T561&lt;=4,0.7,IF(T561&lt;=6,0.8,IF(T561&lt;=9,0.9,1))))))*$Y$1),1),"")</f>
        <v>8</v>
      </c>
      <c r="V561" s="37">
        <v>6.6</v>
      </c>
      <c r="W561" s="38"/>
    </row>
    <row r="562" ht="24" customHeight="1" spans="1:23" x14ac:dyDescent="0.25">
      <c r="A562" s="31">
        <v>1031</v>
      </c>
      <c r="B562" s="32" t="s">
        <v>633</v>
      </c>
      <c r="C562" s="33" t="s">
        <v>114</v>
      </c>
      <c r="D562" s="34">
        <v>2021</v>
      </c>
      <c r="E562" s="34" t="s">
        <v>30</v>
      </c>
      <c r="F562" s="6"/>
      <c r="G562" s="6"/>
      <c r="H562" s="6"/>
      <c r="I562" s="6">
        <v>8</v>
      </c>
      <c r="J562" s="6">
        <v>6</v>
      </c>
      <c r="K562" s="6">
        <v>8</v>
      </c>
      <c r="L562" s="6"/>
      <c r="M562" s="6">
        <v>6</v>
      </c>
      <c r="N562" s="6">
        <v>6</v>
      </c>
      <c r="O562" s="6"/>
      <c r="P562" s="6"/>
      <c r="Q562" s="6">
        <v>8</v>
      </c>
      <c r="R562" s="6"/>
      <c r="S562" s="35">
        <f>SUM(F562:R562)</f>
        <v>42</v>
      </c>
      <c r="T562" s="35">
        <f>COUNT(F562:R562)</f>
        <v>6</v>
      </c>
      <c r="U562" s="36">
        <f>IF(T562&gt;=2,ROUND((IF(T562=2,0.55,IF(T562&lt;=4,0.7,IF(T562&lt;=6,0.8,IF(T562&lt;=9,0.9,1))))*(S562/T562)+(1-(IF(T562=2,0.55,IF(T562&lt;=4,0.7,IF(T562&lt;=6,0.8,IF(T562&lt;=9,0.9,1))))))*$Y$1),1),"")</f>
        <v>7.2</v>
      </c>
      <c r="V562" s="37">
        <v>5.5</v>
      </c>
      <c r="W562" s="38"/>
    </row>
    <row r="563" ht="24" customHeight="1" spans="1:23" x14ac:dyDescent="0.25">
      <c r="A563" s="47">
        <v>1712</v>
      </c>
      <c r="B563" s="32" t="s">
        <v>634</v>
      </c>
      <c r="C563" s="48" t="s">
        <v>24</v>
      </c>
      <c r="D563" s="49">
        <v>2023</v>
      </c>
      <c r="E563" s="49" t="s">
        <v>81</v>
      </c>
      <c r="F563" s="6">
        <v>8</v>
      </c>
      <c r="G563" s="6">
        <v>8</v>
      </c>
      <c r="H563" s="6">
        <v>8</v>
      </c>
      <c r="I563" s="6"/>
      <c r="J563" s="6">
        <v>9</v>
      </c>
      <c r="K563" s="6">
        <v>9</v>
      </c>
      <c r="L563" s="6">
        <v>8</v>
      </c>
      <c r="M563" s="6"/>
      <c r="N563" s="6">
        <v>8</v>
      </c>
      <c r="O563" s="6">
        <v>8</v>
      </c>
      <c r="P563" s="6">
        <v>8</v>
      </c>
      <c r="Q563" s="6">
        <v>9</v>
      </c>
      <c r="R563" s="6"/>
      <c r="S563" s="50">
        <f>SUM(F563:R563)</f>
        <v>83</v>
      </c>
      <c r="T563" s="50">
        <f>COUNT(F563:R563)</f>
        <v>10</v>
      </c>
      <c r="U563" s="36">
        <f>IF(T563&gt;=2,ROUND((IF(T563=2,0.55,IF(T563&lt;=4,0.7,IF(T563&lt;=6,0.8,IF(T563&lt;=9,0.9,1))))*(S563/T563)+(1-(IF(T563=2,0.55,IF(T563&lt;=4,0.7,IF(T563&lt;=6,0.8,IF(T563&lt;=9,0.9,1))))))*$Y$1),1),"")</f>
        <v>8.3</v>
      </c>
      <c r="V563" s="37">
        <v>7.9</v>
      </c>
      <c r="W563" s="38" t="s">
        <v>44</v>
      </c>
    </row>
    <row r="564" ht="24" customHeight="1" spans="1:23" x14ac:dyDescent="0.25">
      <c r="A564" s="40">
        <v>2369</v>
      </c>
      <c r="B564" s="32" t="s">
        <v>635</v>
      </c>
      <c r="C564" s="33" t="s">
        <v>29</v>
      </c>
      <c r="D564" s="34">
        <v>2010</v>
      </c>
      <c r="E564" s="41"/>
      <c r="F564" s="6">
        <v>8</v>
      </c>
      <c r="G564" s="6"/>
      <c r="H564" s="6">
        <v>9</v>
      </c>
      <c r="I564" s="6"/>
      <c r="J564" s="6">
        <v>8</v>
      </c>
      <c r="K564" s="6"/>
      <c r="L564" s="6"/>
      <c r="M564" s="6"/>
      <c r="N564" s="6"/>
      <c r="O564" s="6"/>
      <c r="P564" s="6"/>
      <c r="Q564" s="6"/>
      <c r="R564" s="6"/>
      <c r="S564" s="35">
        <f>SUM(F564:R564)</f>
        <v>25</v>
      </c>
      <c r="T564" s="35">
        <f>COUNT(F564:R564)</f>
        <v>3</v>
      </c>
      <c r="U564" s="36">
        <f>IF(T564&gt;=2,ROUND((IF(T564=2,0.55,IF(T564&lt;=4,0.7,IF(T564&lt;=6,0.8,IF(T564&lt;=9,0.9,1))))*(S564/T564)+(1-(IF(T564=2,0.55,IF(T564&lt;=4,0.7,IF(T564&lt;=6,0.8,IF(T564&lt;=9,0.9,1))))))*$Y$1),1),"")</f>
        <v>8.3</v>
      </c>
      <c r="V564" s="37">
        <v>8</v>
      </c>
      <c r="W564" s="38"/>
    </row>
    <row r="565" ht="24" customHeight="1" spans="1:23" x14ac:dyDescent="0.25">
      <c r="A565" s="40">
        <v>2470</v>
      </c>
      <c r="B565" s="32" t="s">
        <v>636</v>
      </c>
      <c r="C565" s="33" t="s">
        <v>29</v>
      </c>
      <c r="D565" s="34">
        <v>2023</v>
      </c>
      <c r="E565" s="41"/>
      <c r="F565" s="6"/>
      <c r="G565" s="6"/>
      <c r="H565" s="6">
        <v>8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35">
        <f>SUM(F565:R565)</f>
        <v>8</v>
      </c>
      <c r="T565" s="35">
        <f>COUNT(F565:R565)</f>
        <v>1</v>
      </c>
      <c r="U565" s="36">
        <f>IF(T565&gt;=2,ROUND((IF(T565=2,0.55,IF(T565&lt;=4,0.7,IF(T565&lt;=6,0.8,IF(T565&lt;=9,0.9,1))))*(S565/T565)+(1-(IF(T565=2,0.55,IF(T565&lt;=4,0.7,IF(T565&lt;=6,0.8,IF(T565&lt;=9,0.9,1))))))*$Y$1),1),"")</f>
      </c>
      <c r="V565" s="37">
        <v>7</v>
      </c>
      <c r="W565" s="38"/>
    </row>
    <row r="566" ht="24" customHeight="1" spans="1:23" x14ac:dyDescent="0.25">
      <c r="A566" s="40">
        <v>2356</v>
      </c>
      <c r="B566" s="32" t="s">
        <v>637</v>
      </c>
      <c r="C566" s="33" t="s">
        <v>24</v>
      </c>
      <c r="D566" s="34">
        <v>2015</v>
      </c>
      <c r="E566" s="41"/>
      <c r="F566" s="6"/>
      <c r="G566" s="6"/>
      <c r="H566" s="6"/>
      <c r="I566" s="6"/>
      <c r="J566" s="6">
        <v>9</v>
      </c>
      <c r="K566" s="6"/>
      <c r="L566" s="6"/>
      <c r="M566" s="6"/>
      <c r="N566" s="6"/>
      <c r="O566" s="6"/>
      <c r="P566" s="6"/>
      <c r="Q566" s="6"/>
      <c r="R566" s="6"/>
      <c r="S566" s="35">
        <f>SUM(F566:R566)</f>
        <v>9</v>
      </c>
      <c r="T566" s="35">
        <f>COUNT(F566:R566)</f>
        <v>1</v>
      </c>
      <c r="U566" s="36">
        <f>IF(T566&gt;=2,ROUND((IF(T566=2,0.55,IF(T566&lt;=4,0.7,IF(T566&lt;=6,0.8,IF(T566&lt;=9,0.9,1))))*(S566/T566)+(1-(IF(T566=2,0.55,IF(T566&lt;=4,0.7,IF(T566&lt;=6,0.8,IF(T566&lt;=9,0.9,1))))))*$Y$1),1),"")</f>
      </c>
      <c r="V566" s="37">
        <v>7.8</v>
      </c>
      <c r="W566" s="38"/>
    </row>
    <row r="567" ht="24" customHeight="1" spans="1:23" x14ac:dyDescent="0.25">
      <c r="A567" s="40">
        <v>2286</v>
      </c>
      <c r="B567" s="32" t="s">
        <v>638</v>
      </c>
      <c r="C567" s="33" t="s">
        <v>24</v>
      </c>
      <c r="D567" s="34">
        <v>2012</v>
      </c>
      <c r="E567" s="41"/>
      <c r="F567" s="6"/>
      <c r="G567" s="6">
        <v>8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35">
        <f>SUM(F567:R567)</f>
        <v>8</v>
      </c>
      <c r="T567" s="35">
        <f>COUNT(F567:R567)</f>
        <v>1</v>
      </c>
      <c r="U567" s="36">
        <f>IF(T567&gt;=2,ROUND((IF(T567=2,0.55,IF(T567&lt;=4,0.7,IF(T567&lt;=6,0.8,IF(T567&lt;=9,0.9,1))))*(S567/T567)+(1-(IF(T567=2,0.55,IF(T567&lt;=4,0.7,IF(T567&lt;=6,0.8,IF(T567&lt;=9,0.9,1))))))*$Y$1),1),"")</f>
      </c>
      <c r="V567" s="37">
        <v>7.5</v>
      </c>
      <c r="W567" s="38"/>
    </row>
    <row r="568" ht="24" customHeight="1" spans="1:23" s="39" customFormat="1" x14ac:dyDescent="0.25">
      <c r="A568" s="31">
        <v>187</v>
      </c>
      <c r="B568" s="32" t="s">
        <v>639</v>
      </c>
      <c r="C568" s="33" t="s">
        <v>24</v>
      </c>
      <c r="D568" s="34">
        <v>2017</v>
      </c>
      <c r="E568" s="34" t="s">
        <v>30</v>
      </c>
      <c r="F568" s="6"/>
      <c r="G568" s="6"/>
      <c r="H568" s="6"/>
      <c r="I568" s="6"/>
      <c r="J568" s="6">
        <v>8</v>
      </c>
      <c r="K568" s="6">
        <v>8</v>
      </c>
      <c r="L568" s="6"/>
      <c r="M568" s="6"/>
      <c r="N568" s="6"/>
      <c r="O568" s="6"/>
      <c r="P568" s="6"/>
      <c r="Q568" s="6">
        <v>8</v>
      </c>
      <c r="R568" s="6"/>
      <c r="S568" s="35">
        <f>SUM(F568:R568)</f>
        <v>24</v>
      </c>
      <c r="T568" s="35">
        <f>COUNT(F568:R568)</f>
        <v>3</v>
      </c>
      <c r="U568" s="36">
        <f>IF(T568&gt;=2,ROUND((IF(T568=2,0.55,IF(T568&lt;=4,0.7,IF(T568&lt;=6,0.8,IF(T568&lt;=9,0.9,1))))*(S568/T568)+(1-(IF(T568=2,0.55,IF(T568&lt;=4,0.7,IF(T568&lt;=6,0.8,IF(T568&lt;=9,0.9,1))))))*$Y$1),1),"")</f>
        <v>8</v>
      </c>
      <c r="V568" s="37">
        <v>6.9</v>
      </c>
      <c r="W568" s="38"/>
    </row>
    <row r="569" ht="24" customHeight="1" spans="1:23" x14ac:dyDescent="0.25">
      <c r="A569" s="42">
        <v>1068</v>
      </c>
      <c r="B569" s="32" t="s">
        <v>640</v>
      </c>
      <c r="C569" s="43" t="s">
        <v>24</v>
      </c>
      <c r="D569" s="44">
        <v>2019</v>
      </c>
      <c r="E569" s="44" t="s">
        <v>641</v>
      </c>
      <c r="F569" s="6"/>
      <c r="G569" s="6">
        <v>8</v>
      </c>
      <c r="H569" s="6">
        <v>10</v>
      </c>
      <c r="I569" s="6"/>
      <c r="J569" s="6"/>
      <c r="K569" s="6">
        <v>8</v>
      </c>
      <c r="L569" s="6">
        <v>8</v>
      </c>
      <c r="M569" s="6">
        <v>8</v>
      </c>
      <c r="N569" s="6">
        <v>8</v>
      </c>
      <c r="O569" s="6">
        <v>8</v>
      </c>
      <c r="P569" s="6">
        <v>8</v>
      </c>
      <c r="Q569" s="6">
        <v>8</v>
      </c>
      <c r="R569" s="6">
        <v>8</v>
      </c>
      <c r="S569" s="45">
        <f>SUM(F569:R569)</f>
        <v>82</v>
      </c>
      <c r="T569" s="45">
        <f>COUNT(F569:R569)</f>
        <v>10</v>
      </c>
      <c r="U569" s="36">
        <f>IF(T569&gt;=2,ROUND((IF(T569=2,0.55,IF(T569&lt;=4,0.7,IF(T569&lt;=6,0.8,IF(T569&lt;=9,0.9,1))))*(S569/T569)+(1-(IF(T569=2,0.55,IF(T569&lt;=4,0.7,IF(T569&lt;=6,0.8,IF(T569&lt;=9,0.9,1))))))*$Y$1),1),"")</f>
        <v>8.2</v>
      </c>
      <c r="V569" s="37">
        <v>6.8</v>
      </c>
      <c r="W569" s="38" t="s">
        <v>44</v>
      </c>
    </row>
    <row r="570" ht="24" customHeight="1" spans="1:23" x14ac:dyDescent="0.25">
      <c r="A570" s="31">
        <v>1549</v>
      </c>
      <c r="B570" s="32" t="s">
        <v>642</v>
      </c>
      <c r="C570" s="33" t="s">
        <v>29</v>
      </c>
      <c r="D570" s="34">
        <v>2001</v>
      </c>
      <c r="E570" s="34" t="s">
        <v>69</v>
      </c>
      <c r="F570" s="6"/>
      <c r="G570" s="6"/>
      <c r="H570" s="6">
        <v>10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35">
        <f>SUM(F570:R570)</f>
        <v>10</v>
      </c>
      <c r="T570" s="35">
        <f>COUNT(F570:R570)</f>
        <v>1</v>
      </c>
      <c r="U570" s="36">
        <f>IF(T570&gt;=2,ROUND((IF(T570=2,0.55,IF(T570&lt;=4,0.7,IF(T570&lt;=6,0.8,IF(T570&lt;=9,0.9,1))))*(S570/T570)+(1-(IF(T570=2,0.55,IF(T570&lt;=4,0.7,IF(T570&lt;=6,0.8,IF(T570&lt;=9,0.9,1))))))*$Y$1),1),"")</f>
      </c>
      <c r="V570" s="37">
        <v>8.5</v>
      </c>
      <c r="W570" s="38"/>
    </row>
    <row r="571" ht="24" customHeight="1" spans="1:23" x14ac:dyDescent="0.25">
      <c r="A571" s="31">
        <v>1191</v>
      </c>
      <c r="B571" s="32" t="s">
        <v>643</v>
      </c>
      <c r="C571" s="33" t="s">
        <v>24</v>
      </c>
      <c r="D571" s="34">
        <v>2012</v>
      </c>
      <c r="E571" s="34" t="s">
        <v>30</v>
      </c>
      <c r="F571" s="6"/>
      <c r="G571" s="6"/>
      <c r="H571" s="6"/>
      <c r="I571" s="6"/>
      <c r="J571" s="6"/>
      <c r="K571" s="6"/>
      <c r="L571" s="6"/>
      <c r="M571" s="6"/>
      <c r="N571" s="6"/>
      <c r="O571" s="6">
        <v>6</v>
      </c>
      <c r="P571" s="6"/>
      <c r="Q571" s="6"/>
      <c r="R571" s="6"/>
      <c r="S571" s="35">
        <f>SUM(F571:R571)</f>
        <v>6</v>
      </c>
      <c r="T571" s="35">
        <f>COUNT(F571:R571)</f>
        <v>1</v>
      </c>
      <c r="U571" s="36">
        <f>IF(T571&gt;=2,ROUND((IF(T571=2,0.55,IF(T571&lt;=4,0.7,IF(T571&lt;=6,0.8,IF(T571&lt;=9,0.9,1))))*(S571/T571)+(1-(IF(T571=2,0.55,IF(T571&lt;=4,0.7,IF(T571&lt;=6,0.8,IF(T571&lt;=9,0.9,1))))))*$Y$1),1),"")</f>
      </c>
      <c r="V571" s="37">
        <v>7.2</v>
      </c>
      <c r="W571" s="38"/>
    </row>
    <row r="572" ht="24" customHeight="1" spans="1:23" x14ac:dyDescent="0.25">
      <c r="A572" s="40">
        <v>2186</v>
      </c>
      <c r="B572" s="32" t="s">
        <v>644</v>
      </c>
      <c r="C572" s="33" t="s">
        <v>24</v>
      </c>
      <c r="D572" s="34">
        <v>2006</v>
      </c>
      <c r="E572" s="41"/>
      <c r="F572" s="6"/>
      <c r="G572" s="6">
        <v>7</v>
      </c>
      <c r="H572" s="6"/>
      <c r="I572" s="6"/>
      <c r="J572" s="6"/>
      <c r="K572" s="6">
        <v>8</v>
      </c>
      <c r="L572" s="6"/>
      <c r="M572" s="6"/>
      <c r="N572" s="6"/>
      <c r="O572" s="6"/>
      <c r="P572" s="6"/>
      <c r="Q572" s="6">
        <v>8</v>
      </c>
      <c r="R572" s="6"/>
      <c r="S572" s="35">
        <f>SUM(F572:R572)</f>
        <v>23</v>
      </c>
      <c r="T572" s="35">
        <f>COUNT(F572:R572)</f>
        <v>3</v>
      </c>
      <c r="U572" s="36">
        <f>IF(T572&gt;=2,ROUND((IF(T572=2,0.55,IF(T572&lt;=4,0.7,IF(T572&lt;=6,0.8,IF(T572&lt;=9,0.9,1))))*(S572/T572)+(1-(IF(T572=2,0.55,IF(T572&lt;=4,0.7,IF(T572&lt;=6,0.8,IF(T572&lt;=9,0.9,1))))))*$Y$1),1),"")</f>
        <v>7.8</v>
      </c>
      <c r="V572" s="37">
        <v>8.5</v>
      </c>
      <c r="W572" s="38"/>
    </row>
    <row r="573" ht="24" customHeight="1" spans="1:23" x14ac:dyDescent="0.25">
      <c r="A573" s="31">
        <v>920</v>
      </c>
      <c r="B573" s="32" t="s">
        <v>645</v>
      </c>
      <c r="C573" s="33" t="s">
        <v>24</v>
      </c>
      <c r="D573" s="34">
        <v>2020</v>
      </c>
      <c r="E573" s="34" t="s">
        <v>30</v>
      </c>
      <c r="F573" s="6"/>
      <c r="G573" s="6"/>
      <c r="H573" s="6"/>
      <c r="I573" s="6"/>
      <c r="J573" s="6"/>
      <c r="K573" s="6">
        <v>8</v>
      </c>
      <c r="L573" s="6"/>
      <c r="M573" s="6"/>
      <c r="N573" s="6"/>
      <c r="O573" s="6"/>
      <c r="P573" s="6"/>
      <c r="Q573" s="6">
        <v>8</v>
      </c>
      <c r="R573" s="6"/>
      <c r="S573" s="35">
        <f>SUM(F573:R573)</f>
        <v>16</v>
      </c>
      <c r="T573" s="35">
        <f>COUNT(F573:R573)</f>
        <v>2</v>
      </c>
      <c r="U573" s="36">
        <f>IF(T573&gt;=2,ROUND((IF(T573=2,0.55,IF(T573&lt;=4,0.7,IF(T573&lt;=6,0.8,IF(T573&lt;=9,0.9,1))))*(S573/T573)+(1-(IF(T573=2,0.55,IF(T573&lt;=4,0.7,IF(T573&lt;=6,0.8,IF(T573&lt;=9,0.9,1))))))*$Y$1),1),"")</f>
        <v>8</v>
      </c>
      <c r="V573" s="37">
        <v>4.8</v>
      </c>
      <c r="W573" s="38"/>
    </row>
    <row r="574" ht="24" customHeight="1" spans="1:23" x14ac:dyDescent="0.25">
      <c r="A574" s="31">
        <v>190</v>
      </c>
      <c r="B574" s="32" t="s">
        <v>646</v>
      </c>
      <c r="C574" s="33" t="s">
        <v>24</v>
      </c>
      <c r="D574" s="34">
        <v>2007</v>
      </c>
      <c r="E574" s="49" t="s">
        <v>25</v>
      </c>
      <c r="F574" s="6"/>
      <c r="G574" s="6"/>
      <c r="H574" s="6"/>
      <c r="I574" s="6"/>
      <c r="J574" s="6">
        <v>8</v>
      </c>
      <c r="K574" s="6">
        <v>10</v>
      </c>
      <c r="L574" s="6"/>
      <c r="M574" s="6"/>
      <c r="N574" s="6">
        <v>10</v>
      </c>
      <c r="O574" s="6"/>
      <c r="P574" s="6"/>
      <c r="Q574" s="6">
        <v>10</v>
      </c>
      <c r="R574" s="6"/>
      <c r="S574" s="35">
        <f>SUM(F574:R574)</f>
        <v>38</v>
      </c>
      <c r="T574" s="35">
        <f>COUNT(F574:R574)</f>
        <v>4</v>
      </c>
      <c r="U574" s="36">
        <f>IF(T574&gt;=2,ROUND((IF(T574=2,0.55,IF(T574&lt;=4,0.7,IF(T574&lt;=6,0.8,IF(T574&lt;=9,0.9,1))))*(S574/T574)+(1-(IF(T574=2,0.55,IF(T574&lt;=4,0.7,IF(T574&lt;=6,0.8,IF(T574&lt;=9,0.9,1))))))*$Y$1),1),"")</f>
        <v>9.1</v>
      </c>
      <c r="V574" s="37">
        <v>7.6</v>
      </c>
      <c r="W574" s="38"/>
    </row>
    <row r="575" ht="24" customHeight="1" spans="1:23" x14ac:dyDescent="0.25">
      <c r="A575" s="31">
        <v>1183</v>
      </c>
      <c r="B575" s="32" t="s">
        <v>647</v>
      </c>
      <c r="C575" s="33" t="s">
        <v>24</v>
      </c>
      <c r="D575" s="34">
        <v>1992</v>
      </c>
      <c r="E575" s="34" t="s">
        <v>167</v>
      </c>
      <c r="F575" s="6"/>
      <c r="G575" s="6">
        <v>7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35">
        <f>SUM(F575:R575)</f>
        <v>7</v>
      </c>
      <c r="T575" s="35">
        <f>COUNT(F575:R575)</f>
        <v>1</v>
      </c>
      <c r="U575" s="36">
        <f>IF(T575&gt;=2,ROUND((IF(T575=2,0.55,IF(T575&lt;=4,0.7,IF(T575&lt;=6,0.8,IF(T575&lt;=9,0.9,1))))*(S575/T575)+(1-(IF(T575=2,0.55,IF(T575&lt;=4,0.7,IF(T575&lt;=6,0.8,IF(T575&lt;=9,0.9,1))))))*$Y$1),1),"")</f>
      </c>
      <c r="V575" s="37">
        <v>8.2</v>
      </c>
      <c r="W575" s="38"/>
    </row>
    <row r="576" ht="24" customHeight="1" spans="1:23" x14ac:dyDescent="0.25">
      <c r="A576" s="31">
        <v>2504</v>
      </c>
      <c r="B576" s="32" t="s">
        <v>648</v>
      </c>
      <c r="C576" s="33" t="s">
        <v>29</v>
      </c>
      <c r="D576" s="34">
        <v>2022</v>
      </c>
      <c r="E576" s="34"/>
      <c r="F576" s="6"/>
      <c r="G576" s="6"/>
      <c r="H576" s="6"/>
      <c r="I576" s="6"/>
      <c r="J576" s="6"/>
      <c r="K576" s="6"/>
      <c r="L576" s="6">
        <v>8</v>
      </c>
      <c r="M576" s="6"/>
      <c r="N576" s="6"/>
      <c r="O576" s="6"/>
      <c r="P576" s="6"/>
      <c r="Q576" s="6"/>
      <c r="R576" s="6"/>
      <c r="S576" s="35">
        <f>SUM(F576:R576)</f>
        <v>8</v>
      </c>
      <c r="T576" s="35">
        <f>COUNT(F576:R576)</f>
        <v>1</v>
      </c>
      <c r="U576" s="36">
        <f>IF(T576&gt;=2,ROUND((IF(T576=2,0.55,IF(T576&lt;=4,0.7,IF(T576&lt;=6,0.8,IF(T576&lt;=9,0.9,1))))*(S576/T576)+(1-(IF(T576=2,0.55,IF(T576&lt;=4,0.7,IF(T576&lt;=6,0.8,IF(T576&lt;=9,0.9,1))))))*$Y$1),1),"")</f>
      </c>
      <c r="V576" s="37">
        <v>7.2</v>
      </c>
      <c r="W576" s="38"/>
    </row>
    <row r="577" ht="24" customHeight="1" spans="1:23" x14ac:dyDescent="0.25">
      <c r="A577" s="31">
        <v>1327</v>
      </c>
      <c r="B577" s="32" t="s">
        <v>649</v>
      </c>
      <c r="C577" s="33" t="s">
        <v>24</v>
      </c>
      <c r="D577" s="34">
        <v>2007</v>
      </c>
      <c r="E577" s="34" t="s">
        <v>27</v>
      </c>
      <c r="F577" s="6">
        <v>8</v>
      </c>
      <c r="G577" s="6">
        <v>8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35">
        <f>SUM(F577:R577)</f>
        <v>16</v>
      </c>
      <c r="T577" s="35">
        <f>COUNT(F577:R577)</f>
        <v>2</v>
      </c>
      <c r="U577" s="36">
        <f>IF(T577&gt;=2,ROUND((IF(T577=2,0.55,IF(T577&lt;=4,0.7,IF(T577&lt;=6,0.8,IF(T577&lt;=9,0.9,1))))*(S577/T577)+(1-(IF(T577=2,0.55,IF(T577&lt;=4,0.7,IF(T577&lt;=6,0.8,IF(T577&lt;=9,0.9,1))))))*$Y$1),1),"")</f>
        <v>8</v>
      </c>
      <c r="V577" s="37">
        <v>7.5</v>
      </c>
      <c r="W577" s="38"/>
    </row>
    <row r="578" ht="24" customHeight="1" spans="1:23" x14ac:dyDescent="0.25">
      <c r="A578" s="31">
        <v>1473</v>
      </c>
      <c r="B578" s="32" t="s">
        <v>650</v>
      </c>
      <c r="C578" s="33" t="s">
        <v>24</v>
      </c>
      <c r="D578" s="34">
        <v>2022</v>
      </c>
      <c r="E578" s="34" t="s">
        <v>141</v>
      </c>
      <c r="F578" s="6">
        <v>8</v>
      </c>
      <c r="G578" s="6">
        <v>9</v>
      </c>
      <c r="H578" s="6">
        <v>8</v>
      </c>
      <c r="I578" s="6">
        <v>10</v>
      </c>
      <c r="J578" s="6">
        <v>9</v>
      </c>
      <c r="K578" s="6">
        <v>9</v>
      </c>
      <c r="L578" s="6">
        <v>9</v>
      </c>
      <c r="M578" s="6"/>
      <c r="N578" s="6"/>
      <c r="O578" s="6">
        <v>10</v>
      </c>
      <c r="P578" s="6">
        <v>9</v>
      </c>
      <c r="Q578" s="6">
        <v>9</v>
      </c>
      <c r="R578" s="6"/>
      <c r="S578" s="35">
        <f>SUM(F578:R578)</f>
        <v>90</v>
      </c>
      <c r="T578" s="35">
        <f>COUNT(F578:R578)</f>
        <v>10</v>
      </c>
      <c r="U578" s="36">
        <f>IF(T578&gt;=2,ROUND((IF(T578=2,0.55,IF(T578&lt;=4,0.7,IF(T578&lt;=6,0.8,IF(T578&lt;=9,0.9,1))))*(S578/T578)+(1-(IF(T578=2,0.55,IF(T578&lt;=4,0.7,IF(T578&lt;=6,0.8,IF(T578&lt;=9,0.9,1))))))*$Y$1),1),"")</f>
        <v>9</v>
      </c>
      <c r="V578" s="37">
        <v>7.5</v>
      </c>
      <c r="W578" s="38"/>
    </row>
    <row r="579" ht="24" customHeight="1" spans="1:23" x14ac:dyDescent="0.25">
      <c r="A579" s="42">
        <v>245</v>
      </c>
      <c r="B579" s="32" t="s">
        <v>651</v>
      </c>
      <c r="C579" s="43" t="s">
        <v>24</v>
      </c>
      <c r="D579" s="44">
        <v>2016</v>
      </c>
      <c r="E579" s="44" t="s">
        <v>298</v>
      </c>
      <c r="F579" s="6">
        <v>10</v>
      </c>
      <c r="G579" s="6">
        <v>7</v>
      </c>
      <c r="H579" s="6">
        <v>10</v>
      </c>
      <c r="I579" s="6">
        <v>10</v>
      </c>
      <c r="J579" s="6">
        <v>10</v>
      </c>
      <c r="K579" s="6">
        <v>10</v>
      </c>
      <c r="L579" s="6">
        <v>8</v>
      </c>
      <c r="M579" s="6">
        <v>10</v>
      </c>
      <c r="N579" s="6">
        <v>10</v>
      </c>
      <c r="O579" s="6"/>
      <c r="P579" s="6">
        <v>6</v>
      </c>
      <c r="Q579" s="6">
        <v>10</v>
      </c>
      <c r="R579" s="6">
        <v>10</v>
      </c>
      <c r="S579" s="45">
        <f>SUM(F579:R579)</f>
        <v>111</v>
      </c>
      <c r="T579" s="45">
        <f>COUNT(F579:R579)</f>
        <v>12</v>
      </c>
      <c r="U579" s="36">
        <f>IF(T579&gt;=2,ROUND((IF(T579=2,0.55,IF(T579&lt;=4,0.7,IF(T579&lt;=6,0.8,IF(T579&lt;=9,0.9,1))))*(S579/T579)+(1-(IF(T579=2,0.55,IF(T579&lt;=4,0.7,IF(T579&lt;=6,0.8,IF(T579&lt;=9,0.9,1))))))*$Y$1),1),"")</f>
        <v>9.3</v>
      </c>
      <c r="V579" s="37">
        <v>6.7</v>
      </c>
      <c r="W579" s="38" t="s">
        <v>44</v>
      </c>
    </row>
    <row r="580" ht="47.25" customHeight="1" spans="1:23" s="39" customFormat="1" x14ac:dyDescent="0.25">
      <c r="A580" s="40">
        <v>2382</v>
      </c>
      <c r="B580" s="32" t="s">
        <v>652</v>
      </c>
      <c r="C580" s="33" t="s">
        <v>29</v>
      </c>
      <c r="D580" s="34">
        <v>2025</v>
      </c>
      <c r="E580" s="41"/>
      <c r="F580" s="6">
        <v>7</v>
      </c>
      <c r="G580" s="6"/>
      <c r="H580" s="6"/>
      <c r="I580" s="6"/>
      <c r="J580" s="6"/>
      <c r="K580" s="6"/>
      <c r="L580" s="6">
        <v>8</v>
      </c>
      <c r="M580" s="6"/>
      <c r="N580" s="6"/>
      <c r="O580" s="6"/>
      <c r="P580" s="6"/>
      <c r="Q580" s="6"/>
      <c r="R580" s="6"/>
      <c r="S580" s="35">
        <f>SUM(F580:R580)</f>
        <v>15</v>
      </c>
      <c r="T580" s="35">
        <f>COUNT(F580:R580)</f>
        <v>2</v>
      </c>
      <c r="U580" s="36">
        <f>IF(T580&gt;=2,ROUND((IF(T580=2,0.55,IF(T580&lt;=4,0.7,IF(T580&lt;=6,0.8,IF(T580&lt;=9,0.9,1))))*(S580/T580)+(1-(IF(T580=2,0.55,IF(T580&lt;=4,0.7,IF(T580&lt;=6,0.8,IF(T580&lt;=9,0.9,1))))))*$Y$1),1),"")</f>
        <v>7.8</v>
      </c>
      <c r="V580" s="37">
        <v>7.4</v>
      </c>
      <c r="W580" s="38"/>
    </row>
    <row r="581" ht="24" customHeight="1" spans="1:23" x14ac:dyDescent="0.25">
      <c r="A581" s="31">
        <v>2023</v>
      </c>
      <c r="B581" s="32" t="s">
        <v>653</v>
      </c>
      <c r="C581" s="33" t="s">
        <v>24</v>
      </c>
      <c r="D581" s="34">
        <v>2025</v>
      </c>
      <c r="E581" s="41"/>
      <c r="F581" s="6"/>
      <c r="G581" s="6"/>
      <c r="H581" s="6"/>
      <c r="I581" s="6"/>
      <c r="J581" s="6"/>
      <c r="K581" s="6">
        <v>7</v>
      </c>
      <c r="L581" s="6"/>
      <c r="M581" s="6"/>
      <c r="N581" s="6"/>
      <c r="O581" s="6"/>
      <c r="P581" s="6"/>
      <c r="Q581" s="6">
        <v>7</v>
      </c>
      <c r="R581" s="6"/>
      <c r="S581" s="35">
        <f>SUM(F581:R581)</f>
        <v>14</v>
      </c>
      <c r="T581" s="35">
        <f>COUNT(F581:R581)</f>
        <v>2</v>
      </c>
      <c r="U581" s="36">
        <f>IF(T581&gt;=2,ROUND((IF(T581=2,0.55,IF(T581&lt;=4,0.7,IF(T581&lt;=6,0.8,IF(T581&lt;=9,0.9,1))))*(S581/T581)+(1-(IF(T581=2,0.55,IF(T581&lt;=4,0.7,IF(T581&lt;=6,0.8,IF(T581&lt;=9,0.9,1))))))*$Y$1),1),"")</f>
        <v>7.5</v>
      </c>
      <c r="V581" s="37">
        <v>6.9</v>
      </c>
      <c r="W581" s="38"/>
    </row>
    <row r="582" ht="24" customHeight="1" spans="1:23" x14ac:dyDescent="0.25">
      <c r="A582" s="31">
        <v>839</v>
      </c>
      <c r="B582" s="32" t="s">
        <v>654</v>
      </c>
      <c r="C582" s="33" t="s">
        <v>24</v>
      </c>
      <c r="D582" s="34">
        <v>2011</v>
      </c>
      <c r="E582" s="34" t="s">
        <v>30</v>
      </c>
      <c r="F582" s="6">
        <v>7</v>
      </c>
      <c r="G582" s="6">
        <v>8</v>
      </c>
      <c r="H582" s="6"/>
      <c r="I582" s="6">
        <v>7</v>
      </c>
      <c r="J582" s="6"/>
      <c r="K582" s="6">
        <v>8</v>
      </c>
      <c r="L582" s="6">
        <v>7</v>
      </c>
      <c r="M582" s="6">
        <v>7</v>
      </c>
      <c r="N582" s="6"/>
      <c r="O582" s="6">
        <v>7</v>
      </c>
      <c r="P582" s="6"/>
      <c r="Q582" s="6">
        <v>8</v>
      </c>
      <c r="R582" s="6"/>
      <c r="S582" s="35">
        <f>SUM(F582:R582)</f>
        <v>59</v>
      </c>
      <c r="T582" s="35">
        <f>COUNT(F582:R582)</f>
        <v>8</v>
      </c>
      <c r="U582" s="36">
        <f>IF(T582&gt;=2,ROUND((IF(T582=2,0.55,IF(T582&lt;=4,0.7,IF(T582&lt;=6,0.8,IF(T582&lt;=9,0.9,1))))*(S582/T582)+(1-(IF(T582=2,0.55,IF(T582&lt;=4,0.7,IF(T582&lt;=6,0.8,IF(T582&lt;=9,0.9,1))))))*$Y$1),1),"")</f>
        <v>7.4</v>
      </c>
      <c r="V582" s="37">
        <v>7.3</v>
      </c>
      <c r="W582" s="38"/>
    </row>
    <row r="583" ht="24" customHeight="1" spans="1:23" x14ac:dyDescent="0.25">
      <c r="A583" s="40">
        <v>2435</v>
      </c>
      <c r="B583" s="32" t="s">
        <v>655</v>
      </c>
      <c r="C583" s="33" t="s">
        <v>24</v>
      </c>
      <c r="D583" s="34">
        <v>2025</v>
      </c>
      <c r="E583" s="41"/>
      <c r="F583" s="6"/>
      <c r="G583" s="6"/>
      <c r="H583" s="6"/>
      <c r="I583" s="6"/>
      <c r="J583" s="6">
        <v>8</v>
      </c>
      <c r="K583" s="6"/>
      <c r="L583" s="6"/>
      <c r="M583" s="6"/>
      <c r="N583" s="6"/>
      <c r="O583" s="6"/>
      <c r="P583" s="6"/>
      <c r="Q583" s="6"/>
      <c r="R583" s="6"/>
      <c r="S583" s="35">
        <f>SUM(F583:R583)</f>
        <v>8</v>
      </c>
      <c r="T583" s="35">
        <f>COUNT(F583:R583)</f>
        <v>1</v>
      </c>
      <c r="U583" s="36">
        <f>IF(T583&gt;=2,ROUND((IF(T583=2,0.55,IF(T583&lt;=4,0.7,IF(T583&lt;=6,0.8,IF(T583&lt;=9,0.9,1))))*(S583/T583)+(1-(IF(T583=2,0.55,IF(T583&lt;=4,0.7,IF(T583&lt;=6,0.8,IF(T583&lt;=9,0.9,1))))))*$Y$1),1),"")</f>
      </c>
      <c r="V583" s="37">
        <v>7.2</v>
      </c>
      <c r="W583" s="38"/>
    </row>
    <row r="584" ht="24" customHeight="1" spans="1:23" x14ac:dyDescent="0.25">
      <c r="A584" s="31">
        <v>405</v>
      </c>
      <c r="B584" s="32" t="s">
        <v>656</v>
      </c>
      <c r="C584" s="33" t="s">
        <v>24</v>
      </c>
      <c r="D584" s="34">
        <v>1981</v>
      </c>
      <c r="E584" s="34" t="s">
        <v>30</v>
      </c>
      <c r="F584" s="6"/>
      <c r="G584" s="6">
        <v>8</v>
      </c>
      <c r="H584" s="6"/>
      <c r="I584" s="6"/>
      <c r="J584" s="6"/>
      <c r="K584" s="6"/>
      <c r="L584" s="6"/>
      <c r="M584" s="6"/>
      <c r="N584" s="6">
        <v>8</v>
      </c>
      <c r="O584" s="6"/>
      <c r="P584" s="6">
        <v>8</v>
      </c>
      <c r="Q584" s="6"/>
      <c r="R584" s="6"/>
      <c r="S584" s="35">
        <f>SUM(F584:R584)</f>
        <v>24</v>
      </c>
      <c r="T584" s="35">
        <f>COUNT(F584:R584)</f>
        <v>3</v>
      </c>
      <c r="U584" s="36">
        <f>IF(T584&gt;=2,ROUND((IF(T584=2,0.55,IF(T584&lt;=4,0.7,IF(T584&lt;=6,0.8,IF(T584&lt;=9,0.9,1))))*(S584/T584)+(1-(IF(T584=2,0.55,IF(T584&lt;=4,0.7,IF(T584&lt;=6,0.8,IF(T584&lt;=9,0.9,1))))))*$Y$1),1),"")</f>
        <v>8</v>
      </c>
      <c r="V584" s="37">
        <v>8.4</v>
      </c>
      <c r="W584" s="38"/>
    </row>
    <row r="585" ht="47.25" customHeight="1" spans="1:23" x14ac:dyDescent="0.25">
      <c r="A585" s="31">
        <v>1834</v>
      </c>
      <c r="B585" s="32" t="s">
        <v>657</v>
      </c>
      <c r="C585" s="33" t="s">
        <v>29</v>
      </c>
      <c r="D585" s="34">
        <v>2011</v>
      </c>
      <c r="E585" s="34" t="s">
        <v>25</v>
      </c>
      <c r="F585" s="6"/>
      <c r="G585" s="6"/>
      <c r="H585" s="6">
        <v>10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35">
        <f>SUM(F585:R585)</f>
        <v>10</v>
      </c>
      <c r="T585" s="35">
        <f>COUNT(F585:R585)</f>
        <v>1</v>
      </c>
      <c r="U585" s="36">
        <f>IF(T585&gt;=2,ROUND((IF(T585=2,0.55,IF(T585&lt;=4,0.7,IF(T585&lt;=6,0.8,IF(T585&lt;=9,0.9,1))))*(S585/T585)+(1-(IF(T585=2,0.55,IF(T585&lt;=4,0.7,IF(T585&lt;=6,0.8,IF(T585&lt;=9,0.9,1))))))*$Y$1),1),"")</f>
      </c>
      <c r="V585" s="37">
        <v>7.9</v>
      </c>
      <c r="W585" s="38"/>
    </row>
    <row r="586" ht="24" customHeight="1" spans="1:23" x14ac:dyDescent="0.25">
      <c r="A586" s="31">
        <v>111</v>
      </c>
      <c r="B586" s="32" t="s">
        <v>658</v>
      </c>
      <c r="C586" s="33" t="s">
        <v>24</v>
      </c>
      <c r="D586" s="34">
        <v>1990</v>
      </c>
      <c r="E586" s="34" t="s">
        <v>106</v>
      </c>
      <c r="F586" s="6"/>
      <c r="G586" s="6">
        <v>9</v>
      </c>
      <c r="H586" s="6"/>
      <c r="I586" s="6"/>
      <c r="J586" s="6">
        <v>10</v>
      </c>
      <c r="K586" s="6">
        <v>10</v>
      </c>
      <c r="L586" s="6"/>
      <c r="M586" s="6"/>
      <c r="N586" s="6"/>
      <c r="O586" s="6"/>
      <c r="P586" s="6">
        <v>8</v>
      </c>
      <c r="Q586" s="6">
        <v>10</v>
      </c>
      <c r="R586" s="6"/>
      <c r="S586" s="35">
        <f>SUM(F586:R586)</f>
        <v>47</v>
      </c>
      <c r="T586" s="35">
        <f>COUNT(F586:R586)</f>
        <v>5</v>
      </c>
      <c r="U586" s="36">
        <f>IF(T586&gt;=2,ROUND((IF(T586=2,0.55,IF(T586&lt;=4,0.7,IF(T586&lt;=6,0.8,IF(T586&lt;=9,0.9,1))))*(S586/T586)+(1-(IF(T586=2,0.55,IF(T586&lt;=4,0.7,IF(T586&lt;=6,0.8,IF(T586&lt;=9,0.9,1))))))*$Y$1),1),"")</f>
        <v>9.1</v>
      </c>
      <c r="V586" s="37">
        <v>8.7</v>
      </c>
      <c r="W586" s="38"/>
    </row>
    <row r="587" ht="24" customHeight="1" spans="1:23" x14ac:dyDescent="0.25">
      <c r="A587" s="31">
        <v>1472</v>
      </c>
      <c r="B587" s="32" t="s">
        <v>659</v>
      </c>
      <c r="C587" s="33" t="s">
        <v>24</v>
      </c>
      <c r="D587" s="34">
        <v>2022</v>
      </c>
      <c r="E587" s="34" t="s">
        <v>25</v>
      </c>
      <c r="F587" s="6">
        <v>7</v>
      </c>
      <c r="G587" s="6">
        <v>9</v>
      </c>
      <c r="H587" s="6"/>
      <c r="I587" s="6"/>
      <c r="J587" s="6">
        <v>8</v>
      </c>
      <c r="K587" s="6"/>
      <c r="L587" s="6">
        <v>8</v>
      </c>
      <c r="M587" s="6"/>
      <c r="N587" s="6"/>
      <c r="O587" s="6"/>
      <c r="P587" s="6">
        <v>7</v>
      </c>
      <c r="Q587" s="6"/>
      <c r="R587" s="6"/>
      <c r="S587" s="35">
        <f>SUM(F587:R587)</f>
        <v>39</v>
      </c>
      <c r="T587" s="35">
        <f>COUNT(F587:R587)</f>
        <v>5</v>
      </c>
      <c r="U587" s="36">
        <f>IF(T587&gt;=2,ROUND((IF(T587=2,0.55,IF(T587&lt;=4,0.7,IF(T587&lt;=6,0.8,IF(T587&lt;=9,0.9,1))))*(S587/T587)+(1-(IF(T587=2,0.55,IF(T587&lt;=4,0.7,IF(T587&lt;=6,0.8,IF(T587&lt;=9,0.9,1))))))*$Y$1),1),"")</f>
        <v>7.9</v>
      </c>
      <c r="V587" s="37">
        <v>7.6</v>
      </c>
      <c r="W587" s="38"/>
    </row>
    <row r="588" ht="24" customHeight="1" spans="1:23" x14ac:dyDescent="0.25">
      <c r="A588" s="31">
        <v>1709</v>
      </c>
      <c r="B588" s="32" t="s">
        <v>660</v>
      </c>
      <c r="C588" s="33" t="s">
        <v>29</v>
      </c>
      <c r="D588" s="34">
        <v>2016</v>
      </c>
      <c r="E588" s="34" t="s">
        <v>27</v>
      </c>
      <c r="F588" s="6">
        <v>8</v>
      </c>
      <c r="G588" s="6"/>
      <c r="H588" s="6"/>
      <c r="I588" s="6"/>
      <c r="J588" s="6"/>
      <c r="K588" s="6"/>
      <c r="L588" s="6">
        <v>8</v>
      </c>
      <c r="M588" s="6"/>
      <c r="N588" s="6"/>
      <c r="O588" s="6"/>
      <c r="P588" s="6"/>
      <c r="Q588" s="6"/>
      <c r="R588" s="6"/>
      <c r="S588" s="35">
        <f>SUM(F588:R588)</f>
        <v>16</v>
      </c>
      <c r="T588" s="35">
        <f>COUNT(F588:R588)</f>
        <v>2</v>
      </c>
      <c r="U588" s="36">
        <f>IF(T588&gt;=2,ROUND((IF(T588=2,0.55,IF(T588&lt;=4,0.7,IF(T588&lt;=6,0.8,IF(T588&lt;=9,0.9,1))))*(S588/T588)+(1-(IF(T588=2,0.55,IF(T588&lt;=4,0.7,IF(T588&lt;=6,0.8,IF(T588&lt;=9,0.9,1))))))*$Y$1),1),"")</f>
        <v>8</v>
      </c>
      <c r="V588" s="37">
        <v>7.5</v>
      </c>
      <c r="W588" s="38"/>
    </row>
    <row r="589" ht="24" customHeight="1" spans="1:23" s="39" customFormat="1" x14ac:dyDescent="0.25">
      <c r="A589" s="42">
        <v>765</v>
      </c>
      <c r="B589" s="32" t="s">
        <v>661</v>
      </c>
      <c r="C589" s="43" t="s">
        <v>24</v>
      </c>
      <c r="D589" s="44">
        <v>2020</v>
      </c>
      <c r="E589" s="44" t="s">
        <v>30</v>
      </c>
      <c r="F589" s="6">
        <v>8</v>
      </c>
      <c r="G589" s="6">
        <v>8</v>
      </c>
      <c r="H589" s="6">
        <v>8</v>
      </c>
      <c r="I589" s="6">
        <v>10</v>
      </c>
      <c r="J589" s="6">
        <v>8</v>
      </c>
      <c r="K589" s="6">
        <v>8</v>
      </c>
      <c r="L589" s="6">
        <v>8</v>
      </c>
      <c r="M589" s="6">
        <v>8</v>
      </c>
      <c r="N589" s="6">
        <v>8</v>
      </c>
      <c r="O589" s="6"/>
      <c r="P589" s="6">
        <v>10</v>
      </c>
      <c r="Q589" s="6">
        <v>8</v>
      </c>
      <c r="R589" s="6">
        <v>8</v>
      </c>
      <c r="S589" s="45">
        <f>SUM(F589:R589)</f>
        <v>100</v>
      </c>
      <c r="T589" s="45">
        <f>COUNT(F589:R589)</f>
        <v>12</v>
      </c>
      <c r="U589" s="36">
        <f>IF(T589&gt;=2,ROUND((IF(T589=2,0.55,IF(T589&lt;=4,0.7,IF(T589&lt;=6,0.8,IF(T589&lt;=9,0.9,1))))*(S589/T589)+(1-(IF(T589=2,0.55,IF(T589&lt;=4,0.7,IF(T589&lt;=6,0.8,IF(T589&lt;=9,0.9,1))))))*$Y$1),1),"")</f>
        <v>8.3</v>
      </c>
      <c r="V589" s="37">
        <v>7.7</v>
      </c>
      <c r="W589" s="38" t="s">
        <v>44</v>
      </c>
    </row>
    <row r="590" ht="24" customHeight="1" spans="1:23" x14ac:dyDescent="0.25">
      <c r="A590" s="40">
        <v>2091</v>
      </c>
      <c r="B590" s="32" t="s">
        <v>662</v>
      </c>
      <c r="C590" s="33" t="s">
        <v>24</v>
      </c>
      <c r="D590" s="34">
        <v>1995</v>
      </c>
      <c r="E590" s="41"/>
      <c r="F590" s="6"/>
      <c r="G590" s="6">
        <v>7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35">
        <f>SUM(F590:R590)</f>
        <v>7</v>
      </c>
      <c r="T590" s="35">
        <f>COUNT(F590:R590)</f>
        <v>1</v>
      </c>
      <c r="U590" s="36">
        <f>IF(T590&gt;=2,ROUND((IF(T590=2,0.55,IF(T590&lt;=4,0.7,IF(T590&lt;=6,0.8,IF(T590&lt;=9,0.9,1))))*(S590/T590)+(1-(IF(T590=2,0.55,IF(T590&lt;=4,0.7,IF(T590&lt;=6,0.8,IF(T590&lt;=9,0.9,1))))))*$Y$1),1),"")</f>
      </c>
      <c r="V590" s="37">
        <v>8</v>
      </c>
      <c r="W590" s="38"/>
    </row>
    <row r="591" ht="24" customHeight="1" spans="1:23" s="39" customFormat="1" x14ac:dyDescent="0.25">
      <c r="A591" s="31">
        <v>1945</v>
      </c>
      <c r="B591" s="32" t="s">
        <v>663</v>
      </c>
      <c r="C591" s="33" t="s">
        <v>24</v>
      </c>
      <c r="D591" s="34">
        <v>2023</v>
      </c>
      <c r="E591" s="34" t="s">
        <v>30</v>
      </c>
      <c r="F591" s="6">
        <v>9</v>
      </c>
      <c r="G591" s="6"/>
      <c r="H591" s="6"/>
      <c r="I591" s="6"/>
      <c r="J591" s="6">
        <v>10</v>
      </c>
      <c r="K591" s="6">
        <v>9</v>
      </c>
      <c r="L591" s="6">
        <v>9</v>
      </c>
      <c r="M591" s="6"/>
      <c r="N591" s="6">
        <v>10</v>
      </c>
      <c r="O591" s="6"/>
      <c r="P591" s="6"/>
      <c r="Q591" s="6">
        <v>9</v>
      </c>
      <c r="R591" s="6"/>
      <c r="S591" s="35">
        <f>SUM(F591:R591)</f>
        <v>56</v>
      </c>
      <c r="T591" s="35">
        <f>COUNT(F591:R591)</f>
        <v>6</v>
      </c>
      <c r="U591" s="36">
        <f>IF(T591&gt;=2,ROUND((IF(T591=2,0.55,IF(T591&lt;=4,0.7,IF(T591&lt;=6,0.8,IF(T591&lt;=9,0.9,1))))*(S591/T591)+(1-(IF(T591=2,0.55,IF(T591&lt;=4,0.7,IF(T591&lt;=6,0.8,IF(T591&lt;=9,0.9,1))))))*$Y$1),1),"")</f>
        <v>9.1</v>
      </c>
      <c r="V591" s="37">
        <v>7.2</v>
      </c>
      <c r="W591" s="38"/>
    </row>
    <row r="592" ht="47.25" customHeight="1" spans="1:23" x14ac:dyDescent="0.25">
      <c r="A592" s="31">
        <v>537</v>
      </c>
      <c r="B592" s="32" t="s">
        <v>664</v>
      </c>
      <c r="C592" s="33" t="s">
        <v>24</v>
      </c>
      <c r="D592" s="34">
        <v>2005</v>
      </c>
      <c r="E592" s="34" t="s">
        <v>118</v>
      </c>
      <c r="F592" s="6"/>
      <c r="G592" s="6">
        <v>8</v>
      </c>
      <c r="H592" s="6">
        <v>8</v>
      </c>
      <c r="I592" s="6"/>
      <c r="J592" s="6">
        <v>10</v>
      </c>
      <c r="K592" s="6">
        <v>8</v>
      </c>
      <c r="L592" s="6">
        <v>8</v>
      </c>
      <c r="M592" s="6">
        <v>8</v>
      </c>
      <c r="N592" s="6">
        <v>8</v>
      </c>
      <c r="O592" s="6">
        <v>8</v>
      </c>
      <c r="P592" s="6">
        <v>8</v>
      </c>
      <c r="Q592" s="6">
        <v>8</v>
      </c>
      <c r="R592" s="6"/>
      <c r="S592" s="35">
        <f>SUM(F592:R592)</f>
        <v>82</v>
      </c>
      <c r="T592" s="35">
        <f>COUNT(F592:R592)</f>
        <v>10</v>
      </c>
      <c r="U592" s="36">
        <f>IF(T592&gt;=2,ROUND((IF(T592=2,0.55,IF(T592&lt;=4,0.7,IF(T592&lt;=6,0.8,IF(T592&lt;=9,0.9,1))))*(S592/T592)+(1-(IF(T592=2,0.55,IF(T592&lt;=4,0.7,IF(T592&lt;=6,0.8,IF(T592&lt;=9,0.9,1))))))*$Y$1),1),"")</f>
        <v>8.2</v>
      </c>
      <c r="V592" s="37">
        <v>7.8</v>
      </c>
      <c r="W592" s="38"/>
    </row>
    <row r="593" ht="24" customHeight="1" spans="1:23" x14ac:dyDescent="0.25">
      <c r="A593" s="31">
        <v>1639</v>
      </c>
      <c r="B593" s="32" t="s">
        <v>665</v>
      </c>
      <c r="C593" s="33" t="s">
        <v>24</v>
      </c>
      <c r="D593" s="34">
        <v>2023</v>
      </c>
      <c r="E593" s="34" t="s">
        <v>141</v>
      </c>
      <c r="F593" s="6"/>
      <c r="G593" s="6">
        <v>10</v>
      </c>
      <c r="H593" s="6">
        <v>10</v>
      </c>
      <c r="I593" s="6">
        <v>10</v>
      </c>
      <c r="J593" s="6">
        <v>10</v>
      </c>
      <c r="K593" s="6"/>
      <c r="L593" s="6">
        <v>10</v>
      </c>
      <c r="M593" s="6">
        <v>10</v>
      </c>
      <c r="N593" s="6">
        <v>10</v>
      </c>
      <c r="O593" s="6">
        <v>10</v>
      </c>
      <c r="P593" s="6">
        <v>9</v>
      </c>
      <c r="Q593" s="6"/>
      <c r="R593" s="6"/>
      <c r="S593" s="35">
        <f>SUM(F593:R593)</f>
        <v>89</v>
      </c>
      <c r="T593" s="35">
        <f>COUNT(F593:R593)</f>
        <v>9</v>
      </c>
      <c r="U593" s="36">
        <f>IF(T593&gt;=2,ROUND((IF(T593=2,0.55,IF(T593&lt;=4,0.7,IF(T593&lt;=6,0.8,IF(T593&lt;=9,0.9,1))))*(S593/T593)+(1-(IF(T593=2,0.55,IF(T593&lt;=4,0.7,IF(T593&lt;=6,0.8,IF(T593&lt;=9,0.9,1))))))*$Y$1),1),"")</f>
        <v>9.7</v>
      </c>
      <c r="V593" s="37">
        <v>8.2</v>
      </c>
      <c r="W593" s="38"/>
    </row>
    <row r="594" ht="24" customHeight="1" spans="1:23" s="39" customFormat="1" x14ac:dyDescent="0.25">
      <c r="A594" s="31">
        <v>1466</v>
      </c>
      <c r="B594" s="32" t="s">
        <v>666</v>
      </c>
      <c r="C594" s="33" t="s">
        <v>24</v>
      </c>
      <c r="D594" s="34">
        <v>2018</v>
      </c>
      <c r="E594" s="34" t="s">
        <v>30</v>
      </c>
      <c r="F594" s="6"/>
      <c r="G594" s="6"/>
      <c r="H594" s="6"/>
      <c r="I594" s="6"/>
      <c r="J594" s="6"/>
      <c r="K594" s="6">
        <v>8</v>
      </c>
      <c r="L594" s="6"/>
      <c r="M594" s="6"/>
      <c r="N594" s="6"/>
      <c r="O594" s="6"/>
      <c r="P594" s="6"/>
      <c r="Q594" s="6">
        <v>8</v>
      </c>
      <c r="R594" s="6"/>
      <c r="S594" s="35">
        <f>SUM(F594:R594)</f>
        <v>16</v>
      </c>
      <c r="T594" s="35">
        <f>COUNT(F594:R594)</f>
        <v>2</v>
      </c>
      <c r="U594" s="36">
        <f>IF(T594&gt;=2,ROUND((IF(T594=2,0.55,IF(T594&lt;=4,0.7,IF(T594&lt;=6,0.8,IF(T594&lt;=9,0.9,1))))*(S594/T594)+(1-(IF(T594=2,0.55,IF(T594&lt;=4,0.7,IF(T594&lt;=6,0.8,IF(T594&lt;=9,0.9,1))))))*$Y$1),1),"")</f>
        <v>8</v>
      </c>
      <c r="V594" s="37">
        <v>6.6</v>
      </c>
      <c r="W594" s="38"/>
    </row>
    <row r="595" ht="24" customHeight="1" spans="1:23" x14ac:dyDescent="0.25">
      <c r="A595" s="31">
        <v>309</v>
      </c>
      <c r="B595" s="32" t="s">
        <v>667</v>
      </c>
      <c r="C595" s="33" t="s">
        <v>24</v>
      </c>
      <c r="D595" s="34">
        <v>2017</v>
      </c>
      <c r="E595" s="34" t="s">
        <v>30</v>
      </c>
      <c r="F595" s="6"/>
      <c r="G595" s="6"/>
      <c r="H595" s="6"/>
      <c r="I595" s="6">
        <v>8</v>
      </c>
      <c r="J595" s="6">
        <v>8</v>
      </c>
      <c r="K595" s="6">
        <v>8</v>
      </c>
      <c r="L595" s="6"/>
      <c r="M595" s="6"/>
      <c r="N595" s="6">
        <v>10</v>
      </c>
      <c r="O595" s="6"/>
      <c r="P595" s="6"/>
      <c r="Q595" s="6">
        <v>8</v>
      </c>
      <c r="R595" s="6"/>
      <c r="S595" s="35">
        <f>SUM(F595:R595)</f>
        <v>42</v>
      </c>
      <c r="T595" s="35">
        <f>COUNT(F595:R595)</f>
        <v>5</v>
      </c>
      <c r="U595" s="36">
        <f>IF(T595&gt;=2,ROUND((IF(T595=2,0.55,IF(T595&lt;=4,0.7,IF(T595&lt;=6,0.8,IF(T595&lt;=9,0.9,1))))*(S595/T595)+(1-(IF(T595=2,0.55,IF(T595&lt;=4,0.7,IF(T595&lt;=6,0.8,IF(T595&lt;=9,0.9,1))))))*$Y$1),1),"")</f>
        <v>8.3</v>
      </c>
      <c r="V595" s="37">
        <v>4.2</v>
      </c>
      <c r="W595" s="38"/>
    </row>
    <row r="596" ht="24" customHeight="1" spans="1:23" x14ac:dyDescent="0.25">
      <c r="A596" s="31">
        <v>1034</v>
      </c>
      <c r="B596" s="32" t="s">
        <v>668</v>
      </c>
      <c r="C596" s="33" t="s">
        <v>24</v>
      </c>
      <c r="D596" s="34">
        <v>2011</v>
      </c>
      <c r="E596" s="34" t="s">
        <v>30</v>
      </c>
      <c r="F596" s="6"/>
      <c r="G596" s="6"/>
      <c r="H596" s="6"/>
      <c r="I596" s="6"/>
      <c r="J596" s="6">
        <v>8</v>
      </c>
      <c r="K596" s="6">
        <v>8</v>
      </c>
      <c r="L596" s="6"/>
      <c r="M596" s="6"/>
      <c r="N596" s="6"/>
      <c r="O596" s="6"/>
      <c r="P596" s="6"/>
      <c r="Q596" s="6">
        <v>8</v>
      </c>
      <c r="R596" s="6"/>
      <c r="S596" s="35">
        <f>SUM(F596:R596)</f>
        <v>24</v>
      </c>
      <c r="T596" s="35">
        <f>COUNT(F596:R596)</f>
        <v>3</v>
      </c>
      <c r="U596" s="36">
        <f>IF(T596&gt;=2,ROUND((IF(T596=2,0.55,IF(T596&lt;=4,0.7,IF(T596&lt;=6,0.8,IF(T596&lt;=9,0.9,1))))*(S596/T596)+(1-(IF(T596=2,0.55,IF(T596&lt;=4,0.7,IF(T596&lt;=6,0.8,IF(T596&lt;=9,0.9,1))))))*$Y$1),1),"")</f>
        <v>8</v>
      </c>
      <c r="V596" s="37">
        <v>7</v>
      </c>
      <c r="W596" s="38"/>
    </row>
    <row r="597" ht="24" customHeight="1" spans="1:23" x14ac:dyDescent="0.25">
      <c r="A597" s="40">
        <v>2238</v>
      </c>
      <c r="B597" s="32" t="s">
        <v>669</v>
      </c>
      <c r="C597" s="33" t="s">
        <v>24</v>
      </c>
      <c r="D597" s="34">
        <v>2009</v>
      </c>
      <c r="E597" s="41"/>
      <c r="F597" s="6"/>
      <c r="G597" s="6">
        <v>7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35">
        <f>SUM(F597:R597)</f>
        <v>7</v>
      </c>
      <c r="T597" s="35">
        <f>COUNT(F597:R597)</f>
        <v>1</v>
      </c>
      <c r="U597" s="36">
        <f>IF(T597&gt;=2,ROUND((IF(T597=2,0.55,IF(T597&lt;=4,0.7,IF(T597&lt;=6,0.8,IF(T597&lt;=9,0.9,1))))*(S597/T597)+(1-(IF(T597=2,0.55,IF(T597&lt;=4,0.7,IF(T597&lt;=6,0.8,IF(T597&lt;=9,0.9,1))))))*$Y$1),1),"")</f>
      </c>
      <c r="V597" s="37">
        <v>6.7</v>
      </c>
      <c r="W597" s="38"/>
    </row>
    <row r="598" ht="47.25" customHeight="1" spans="1:23" x14ac:dyDescent="0.25">
      <c r="A598" s="31">
        <v>536</v>
      </c>
      <c r="B598" s="32" t="s">
        <v>670</v>
      </c>
      <c r="C598" s="33" t="s">
        <v>24</v>
      </c>
      <c r="D598" s="34">
        <v>2007</v>
      </c>
      <c r="E598" s="34" t="s">
        <v>92</v>
      </c>
      <c r="F598" s="6"/>
      <c r="G598" s="6">
        <v>8</v>
      </c>
      <c r="H598" s="6"/>
      <c r="I598" s="6"/>
      <c r="J598" s="6"/>
      <c r="K598" s="6"/>
      <c r="L598" s="6">
        <v>8</v>
      </c>
      <c r="M598" s="6"/>
      <c r="N598" s="6"/>
      <c r="O598" s="6"/>
      <c r="P598" s="6">
        <v>8</v>
      </c>
      <c r="Q598" s="6"/>
      <c r="R598" s="6"/>
      <c r="S598" s="35">
        <f>SUM(F598:R598)</f>
        <v>24</v>
      </c>
      <c r="T598" s="35">
        <f>COUNT(F598:R598)</f>
        <v>3</v>
      </c>
      <c r="U598" s="36">
        <f>IF(T598&gt;=2,ROUND((IF(T598=2,0.55,IF(T598&lt;=4,0.7,IF(T598&lt;=6,0.8,IF(T598&lt;=9,0.9,1))))*(S598/T598)+(1-(IF(T598=2,0.55,IF(T598&lt;=4,0.7,IF(T598&lt;=6,0.8,IF(T598&lt;=9,0.9,1))))))*$Y$1),1),"")</f>
        <v>8</v>
      </c>
      <c r="V598" s="37">
        <v>8.2</v>
      </c>
      <c r="W598" s="38"/>
    </row>
    <row r="599" ht="47.25" customHeight="1" spans="1:23" x14ac:dyDescent="0.25">
      <c r="A599" s="31">
        <v>327</v>
      </c>
      <c r="B599" s="32" t="s">
        <v>671</v>
      </c>
      <c r="C599" s="33" t="s">
        <v>24</v>
      </c>
      <c r="D599" s="34">
        <v>2017</v>
      </c>
      <c r="E599" s="34" t="s">
        <v>30</v>
      </c>
      <c r="F599" s="6">
        <v>8</v>
      </c>
      <c r="G599" s="6"/>
      <c r="H599" s="6"/>
      <c r="I599" s="6"/>
      <c r="J599" s="6"/>
      <c r="K599" s="6">
        <v>6</v>
      </c>
      <c r="L599" s="6">
        <v>8</v>
      </c>
      <c r="M599" s="6"/>
      <c r="N599" s="6"/>
      <c r="O599" s="6"/>
      <c r="P599" s="6"/>
      <c r="Q599" s="6">
        <v>6</v>
      </c>
      <c r="R599" s="6"/>
      <c r="S599" s="35">
        <f>SUM(F599:R599)</f>
        <v>28</v>
      </c>
      <c r="T599" s="35">
        <f>COUNT(F599:R599)</f>
        <v>4</v>
      </c>
      <c r="U599" s="36">
        <f>IF(T599&gt;=2,ROUND((IF(T599=2,0.55,IF(T599&lt;=4,0.7,IF(T599&lt;=6,0.8,IF(T599&lt;=9,0.9,1))))*(S599/T599)+(1-(IF(T599=2,0.55,IF(T599&lt;=4,0.7,IF(T599&lt;=6,0.8,IF(T599&lt;=9,0.9,1))))))*$Y$1),1),"")</f>
        <v>7.3</v>
      </c>
      <c r="V599" s="37">
        <v>6.8</v>
      </c>
      <c r="W599" s="38"/>
    </row>
    <row r="600" ht="24" customHeight="1" spans="1:23" x14ac:dyDescent="0.25">
      <c r="A600" s="31">
        <v>1028</v>
      </c>
      <c r="B600" s="32" t="s">
        <v>672</v>
      </c>
      <c r="C600" s="33" t="s">
        <v>29</v>
      </c>
      <c r="D600" s="34">
        <v>2020</v>
      </c>
      <c r="E600" s="34" t="s">
        <v>69</v>
      </c>
      <c r="F600" s="6"/>
      <c r="G600" s="6"/>
      <c r="H600" s="6">
        <v>10</v>
      </c>
      <c r="I600" s="6">
        <v>8</v>
      </c>
      <c r="J600" s="6"/>
      <c r="K600" s="6">
        <v>8</v>
      </c>
      <c r="L600" s="6">
        <v>10</v>
      </c>
      <c r="M600" s="6"/>
      <c r="N600" s="6"/>
      <c r="O600" s="6"/>
      <c r="P600" s="6"/>
      <c r="Q600" s="6">
        <v>8</v>
      </c>
      <c r="R600" s="6">
        <v>10</v>
      </c>
      <c r="S600" s="35">
        <f>SUM(F600:R600)</f>
        <v>54</v>
      </c>
      <c r="T600" s="35">
        <f>COUNT(F600:R600)</f>
        <v>6</v>
      </c>
      <c r="U600" s="36">
        <f>IF(T600&gt;=2,ROUND((IF(T600=2,0.55,IF(T600&lt;=4,0.7,IF(T600&lt;=6,0.8,IF(T600&lt;=9,0.9,1))))*(S600/T600)+(1-(IF(T600=2,0.55,IF(T600&lt;=4,0.7,IF(T600&lt;=6,0.8,IF(T600&lt;=9,0.9,1))))))*$Y$1),1),"")</f>
        <v>8.8</v>
      </c>
      <c r="V600" s="37">
        <v>8.1</v>
      </c>
      <c r="W600" s="38"/>
    </row>
    <row r="601" ht="24" customHeight="1" spans="1:23" x14ac:dyDescent="0.25">
      <c r="A601" s="31">
        <v>836</v>
      </c>
      <c r="B601" s="32" t="s">
        <v>673</v>
      </c>
      <c r="C601" s="33" t="s">
        <v>260</v>
      </c>
      <c r="D601" s="34">
        <v>2019</v>
      </c>
      <c r="E601" s="34" t="s">
        <v>30</v>
      </c>
      <c r="F601" s="6">
        <v>8</v>
      </c>
      <c r="G601" s="6"/>
      <c r="H601" s="6">
        <v>10</v>
      </c>
      <c r="I601" s="6">
        <v>9</v>
      </c>
      <c r="J601" s="6">
        <v>9</v>
      </c>
      <c r="K601" s="6"/>
      <c r="L601" s="6">
        <v>10</v>
      </c>
      <c r="M601" s="6"/>
      <c r="N601" s="6"/>
      <c r="O601" s="6"/>
      <c r="P601" s="6"/>
      <c r="Q601" s="6"/>
      <c r="R601" s="6">
        <v>9</v>
      </c>
      <c r="S601" s="35">
        <f>SUM(F601:R601)</f>
        <v>55</v>
      </c>
      <c r="T601" s="35">
        <f>COUNT(F601:R601)</f>
        <v>6</v>
      </c>
      <c r="U601" s="36">
        <f>IF(T601&gt;=2,ROUND((IF(T601=2,0.55,IF(T601&lt;=4,0.7,IF(T601&lt;=6,0.8,IF(T601&lt;=9,0.9,1))))*(S601/T601)+(1-(IF(T601=2,0.55,IF(T601&lt;=4,0.7,IF(T601&lt;=6,0.8,IF(T601&lt;=9,0.9,1))))))*$Y$1),1),"")</f>
        <v>9</v>
      </c>
      <c r="V601" s="37">
        <v>8.8</v>
      </c>
      <c r="W601" s="38"/>
    </row>
    <row r="602" ht="24" customHeight="1" spans="1:23" x14ac:dyDescent="0.25">
      <c r="A602" s="40">
        <v>2137</v>
      </c>
      <c r="B602" s="32" t="s">
        <v>674</v>
      </c>
      <c r="C602" s="33" t="s">
        <v>24</v>
      </c>
      <c r="D602" s="34">
        <v>2003</v>
      </c>
      <c r="E602" s="41"/>
      <c r="F602" s="6"/>
      <c r="G602" s="6">
        <v>7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35">
        <f>SUM(F602:R602)</f>
        <v>7</v>
      </c>
      <c r="T602" s="35">
        <f>COUNT(F602:R602)</f>
        <v>1</v>
      </c>
      <c r="U602" s="36">
        <f>IF(T602&gt;=2,ROUND((IF(T602=2,0.55,IF(T602&lt;=4,0.7,IF(T602&lt;=6,0.8,IF(T602&lt;=9,0.9,1))))*(S602/T602)+(1-(IF(T602=2,0.55,IF(T602&lt;=4,0.7,IF(T602&lt;=6,0.8,IF(T602&lt;=9,0.9,1))))))*$Y$1),1),"")</f>
      </c>
      <c r="V602" s="37">
        <v>8.3</v>
      </c>
      <c r="W602" s="38"/>
    </row>
    <row r="603" ht="24" customHeight="1" spans="1:23" x14ac:dyDescent="0.25">
      <c r="A603" s="31">
        <v>110</v>
      </c>
      <c r="B603" s="32" t="s">
        <v>675</v>
      </c>
      <c r="C603" s="33" t="s">
        <v>24</v>
      </c>
      <c r="D603" s="34">
        <v>2018</v>
      </c>
      <c r="E603" s="34" t="s">
        <v>676</v>
      </c>
      <c r="F603" s="6"/>
      <c r="G603" s="6">
        <v>7</v>
      </c>
      <c r="H603" s="6"/>
      <c r="I603" s="6"/>
      <c r="J603" s="6"/>
      <c r="K603" s="6">
        <v>8</v>
      </c>
      <c r="L603" s="6"/>
      <c r="M603" s="6"/>
      <c r="N603" s="6"/>
      <c r="O603" s="6"/>
      <c r="P603" s="6">
        <v>6</v>
      </c>
      <c r="Q603" s="6">
        <v>8</v>
      </c>
      <c r="R603" s="6"/>
      <c r="S603" s="35">
        <f>SUM(F603:R603)</f>
        <v>29</v>
      </c>
      <c r="T603" s="35">
        <f>COUNT(F603:R603)</f>
        <v>4</v>
      </c>
      <c r="U603" s="36">
        <f>IF(T603&gt;=2,ROUND((IF(T603=2,0.55,IF(T603&lt;=4,0.7,IF(T603&lt;=6,0.8,IF(T603&lt;=9,0.9,1))))*(S603/T603)+(1-(IF(T603=2,0.55,IF(T603&lt;=4,0.7,IF(T603&lt;=6,0.8,IF(T603&lt;=9,0.9,1))))))*$Y$1),1),"")</f>
        <v>7.5</v>
      </c>
      <c r="V603" s="37">
        <v>7.3</v>
      </c>
      <c r="W603" s="38"/>
    </row>
    <row r="604" ht="24" customHeight="1" spans="1:23" x14ac:dyDescent="0.25">
      <c r="A604" s="31">
        <v>1742</v>
      </c>
      <c r="B604" s="32" t="s">
        <v>677</v>
      </c>
      <c r="C604" s="33" t="s">
        <v>24</v>
      </c>
      <c r="D604" s="34">
        <v>2023</v>
      </c>
      <c r="E604" s="34" t="s">
        <v>30</v>
      </c>
      <c r="F604" s="6"/>
      <c r="G604" s="6"/>
      <c r="H604" s="6"/>
      <c r="I604" s="6"/>
      <c r="J604" s="6">
        <v>8</v>
      </c>
      <c r="K604" s="6"/>
      <c r="L604" s="6"/>
      <c r="M604" s="6"/>
      <c r="N604" s="6"/>
      <c r="O604" s="6"/>
      <c r="P604" s="6"/>
      <c r="Q604" s="6"/>
      <c r="R604" s="6"/>
      <c r="S604" s="35">
        <f>SUM(F604:R604)</f>
        <v>8</v>
      </c>
      <c r="T604" s="35">
        <f>COUNT(F604:R604)</f>
        <v>1</v>
      </c>
      <c r="U604" s="36">
        <f>IF(T604&gt;=2,ROUND((IF(T604=2,0.55,IF(T604&lt;=4,0.7,IF(T604&lt;=6,0.8,IF(T604&lt;=9,0.9,1))))*(S604/T604)+(1-(IF(T604=2,0.55,IF(T604&lt;=4,0.7,IF(T604&lt;=6,0.8,IF(T604&lt;=9,0.9,1))))))*$Y$1),1),"")</f>
      </c>
      <c r="V604" s="37">
        <v>8.3</v>
      </c>
      <c r="W604" s="38"/>
    </row>
    <row r="605" ht="24" customHeight="1" spans="1:23" x14ac:dyDescent="0.25">
      <c r="A605" s="31">
        <v>1311</v>
      </c>
      <c r="B605" s="32" t="s">
        <v>678</v>
      </c>
      <c r="C605" s="33" t="s">
        <v>24</v>
      </c>
      <c r="D605" s="34">
        <v>2019</v>
      </c>
      <c r="E605" s="34" t="s">
        <v>30</v>
      </c>
      <c r="F605" s="6"/>
      <c r="G605" s="6"/>
      <c r="H605" s="6"/>
      <c r="I605" s="6"/>
      <c r="J605" s="6"/>
      <c r="K605" s="6"/>
      <c r="L605" s="6"/>
      <c r="M605" s="6">
        <v>8</v>
      </c>
      <c r="N605" s="6"/>
      <c r="O605" s="6"/>
      <c r="P605" s="6"/>
      <c r="Q605" s="6"/>
      <c r="R605" s="6"/>
      <c r="S605" s="35">
        <f>SUM(F605:R605)</f>
        <v>8</v>
      </c>
      <c r="T605" s="35">
        <f>COUNT(F605:R605)</f>
        <v>1</v>
      </c>
      <c r="U605" s="36">
        <f>IF(T605&gt;=2,ROUND((IF(T605=2,0.55,IF(T605&lt;=4,0.7,IF(T605&lt;=6,0.8,IF(T605&lt;=9,0.9,1))))*(S605/T605)+(1-(IF(T605=2,0.55,IF(T605&lt;=4,0.7,IF(T605&lt;=6,0.8,IF(T605&lt;=9,0.9,1))))))*$Y$1),1),"")</f>
      </c>
      <c r="V605" s="37">
        <v>4.5</v>
      </c>
      <c r="W605" s="38"/>
    </row>
    <row r="606" ht="24" customHeight="1" spans="1:23" x14ac:dyDescent="0.25">
      <c r="A606" s="40">
        <v>2169</v>
      </c>
      <c r="B606" s="32" t="s">
        <v>679</v>
      </c>
      <c r="C606" s="33" t="s">
        <v>24</v>
      </c>
      <c r="D606" s="34">
        <v>2005</v>
      </c>
      <c r="E606" s="41"/>
      <c r="F606" s="6"/>
      <c r="G606" s="6">
        <v>7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35">
        <f>SUM(F606:R606)</f>
        <v>7</v>
      </c>
      <c r="T606" s="35">
        <f>COUNT(F606:R606)</f>
        <v>1</v>
      </c>
      <c r="U606" s="36">
        <f>IF(T606&gt;=2,ROUND((IF(T606=2,0.55,IF(T606&lt;=4,0.7,IF(T606&lt;=6,0.8,IF(T606&lt;=9,0.9,1))))*(S606/T606)+(1-(IF(T606=2,0.55,IF(T606&lt;=4,0.7,IF(T606&lt;=6,0.8,IF(T606&lt;=9,0.9,1))))))*$Y$1),1),"")</f>
      </c>
      <c r="V606" s="37">
        <v>7.5</v>
      </c>
      <c r="W606" s="38"/>
    </row>
    <row r="607" ht="24" customHeight="1" spans="1:23" x14ac:dyDescent="0.25">
      <c r="A607" s="31">
        <v>109</v>
      </c>
      <c r="B607" s="32" t="s">
        <v>680</v>
      </c>
      <c r="C607" s="33" t="s">
        <v>24</v>
      </c>
      <c r="D607" s="34">
        <v>2017</v>
      </c>
      <c r="E607" s="34" t="s">
        <v>30</v>
      </c>
      <c r="F607" s="6">
        <v>6</v>
      </c>
      <c r="G607" s="6">
        <v>8</v>
      </c>
      <c r="H607" s="6">
        <v>8</v>
      </c>
      <c r="I607" s="6">
        <v>10</v>
      </c>
      <c r="J607" s="6">
        <v>8</v>
      </c>
      <c r="K607" s="6">
        <v>10</v>
      </c>
      <c r="L607" s="6">
        <v>8</v>
      </c>
      <c r="M607" s="6">
        <v>8</v>
      </c>
      <c r="N607" s="6">
        <v>8</v>
      </c>
      <c r="O607" s="6"/>
      <c r="P607" s="6">
        <v>8</v>
      </c>
      <c r="Q607" s="6">
        <v>10</v>
      </c>
      <c r="R607" s="6">
        <v>8</v>
      </c>
      <c r="S607" s="35">
        <f>SUM(F607:R607)</f>
        <v>100</v>
      </c>
      <c r="T607" s="35">
        <f>COUNT(F607:R607)</f>
        <v>12</v>
      </c>
      <c r="U607" s="36">
        <f>IF(T607&gt;=2,ROUND((IF(T607=2,0.55,IF(T607&lt;=4,0.7,IF(T607&lt;=6,0.8,IF(T607&lt;=9,0.9,1))))*(S607/T607)+(1-(IF(T607=2,0.55,IF(T607&lt;=4,0.7,IF(T607&lt;=6,0.8,IF(T607&lt;=9,0.9,1))))))*$Y$1),1),"")</f>
        <v>8.3</v>
      </c>
      <c r="V607" s="37">
        <v>7</v>
      </c>
      <c r="W607" s="38"/>
    </row>
    <row r="608" ht="24" customHeight="1" spans="1:23" x14ac:dyDescent="0.25">
      <c r="A608" s="31">
        <v>781</v>
      </c>
      <c r="B608" s="32" t="s">
        <v>681</v>
      </c>
      <c r="C608" s="33" t="s">
        <v>24</v>
      </c>
      <c r="D608" s="34">
        <v>2012</v>
      </c>
      <c r="E608" s="34" t="s">
        <v>30</v>
      </c>
      <c r="F608" s="6">
        <v>8</v>
      </c>
      <c r="G608" s="6"/>
      <c r="H608" s="6"/>
      <c r="I608" s="6"/>
      <c r="J608" s="6">
        <v>10</v>
      </c>
      <c r="K608" s="6"/>
      <c r="L608" s="6">
        <v>8</v>
      </c>
      <c r="M608" s="6"/>
      <c r="N608" s="6"/>
      <c r="O608" s="6"/>
      <c r="P608" s="6"/>
      <c r="Q608" s="6"/>
      <c r="R608" s="6"/>
      <c r="S608" s="35">
        <f>SUM(F608:R608)</f>
        <v>26</v>
      </c>
      <c r="T608" s="35">
        <f>COUNT(F608:R608)</f>
        <v>3</v>
      </c>
      <c r="U608" s="36">
        <f>IF(T608&gt;=2,ROUND((IF(T608=2,0.55,IF(T608&lt;=4,0.7,IF(T608&lt;=6,0.8,IF(T608&lt;=9,0.9,1))))*(S608/T608)+(1-(IF(T608=2,0.55,IF(T608&lt;=4,0.7,IF(T608&lt;=6,0.8,IF(T608&lt;=9,0.9,1))))))*$Y$1),1),"")</f>
        <v>8.5</v>
      </c>
      <c r="V608" s="37">
        <v>7.3</v>
      </c>
      <c r="W608" s="38"/>
    </row>
    <row r="609" ht="24" customHeight="1" spans="1:23" x14ac:dyDescent="0.25">
      <c r="A609" s="31">
        <v>1224</v>
      </c>
      <c r="B609" s="32" t="s">
        <v>682</v>
      </c>
      <c r="C609" s="33" t="s">
        <v>24</v>
      </c>
      <c r="D609" s="34">
        <v>2022</v>
      </c>
      <c r="E609" s="34" t="s">
        <v>30</v>
      </c>
      <c r="F609" s="6"/>
      <c r="G609" s="6">
        <v>7</v>
      </c>
      <c r="H609" s="6">
        <v>8</v>
      </c>
      <c r="I609" s="6"/>
      <c r="J609" s="6">
        <v>8</v>
      </c>
      <c r="K609" s="6">
        <v>6</v>
      </c>
      <c r="L609" s="6">
        <v>6</v>
      </c>
      <c r="M609" s="6"/>
      <c r="N609" s="6">
        <v>6</v>
      </c>
      <c r="O609" s="6">
        <v>8</v>
      </c>
      <c r="P609" s="6">
        <v>6</v>
      </c>
      <c r="Q609" s="6">
        <v>6</v>
      </c>
      <c r="R609" s="6">
        <v>8</v>
      </c>
      <c r="S609" s="35">
        <f>SUM(F609:R609)</f>
        <v>69</v>
      </c>
      <c r="T609" s="35">
        <f>COUNT(F609:R609)</f>
        <v>10</v>
      </c>
      <c r="U609" s="36">
        <f>IF(T609&gt;=2,ROUND((IF(T609=2,0.55,IF(T609&lt;=4,0.7,IF(T609&lt;=6,0.8,IF(T609&lt;=9,0.9,1))))*(S609/T609)+(1-(IF(T609=2,0.55,IF(T609&lt;=4,0.7,IF(T609&lt;=6,0.8,IF(T609&lt;=9,0.9,1))))))*$Y$1),1),"")</f>
        <v>6.9</v>
      </c>
      <c r="V609" s="37">
        <v>6.5</v>
      </c>
      <c r="W609" s="38"/>
    </row>
    <row r="610" ht="24" customHeight="1" spans="1:23" x14ac:dyDescent="0.25">
      <c r="A610" s="31">
        <v>108</v>
      </c>
      <c r="B610" s="32" t="s">
        <v>683</v>
      </c>
      <c r="C610" s="33" t="s">
        <v>24</v>
      </c>
      <c r="D610" s="34">
        <v>2004</v>
      </c>
      <c r="E610" s="34" t="s">
        <v>25</v>
      </c>
      <c r="F610" s="6"/>
      <c r="G610" s="6"/>
      <c r="H610" s="6"/>
      <c r="I610" s="6"/>
      <c r="J610" s="6"/>
      <c r="K610" s="6">
        <v>8</v>
      </c>
      <c r="L610" s="6">
        <v>10</v>
      </c>
      <c r="M610" s="6">
        <v>8</v>
      </c>
      <c r="N610" s="6"/>
      <c r="O610" s="6"/>
      <c r="P610" s="6"/>
      <c r="Q610" s="6">
        <v>8</v>
      </c>
      <c r="R610" s="6"/>
      <c r="S610" s="35">
        <f>SUM(F610:R610)</f>
        <v>34</v>
      </c>
      <c r="T610" s="35">
        <f>COUNT(F610:R610)</f>
        <v>4</v>
      </c>
      <c r="U610" s="36">
        <f>IF(T610&gt;=2,ROUND((IF(T610=2,0.55,IF(T610&lt;=4,0.7,IF(T610&lt;=6,0.8,IF(T610&lt;=9,0.9,1))))*(S610/T610)+(1-(IF(T610=2,0.55,IF(T610&lt;=4,0.7,IF(T610&lt;=6,0.8,IF(T610&lt;=9,0.9,1))))))*$Y$1),1),"")</f>
        <v>8.4</v>
      </c>
      <c r="V610" s="37">
        <v>7</v>
      </c>
      <c r="W610" s="38"/>
    </row>
    <row r="611" ht="24" customHeight="1" spans="1:23" x14ac:dyDescent="0.25">
      <c r="A611" s="31">
        <v>331</v>
      </c>
      <c r="B611" s="32" t="s">
        <v>684</v>
      </c>
      <c r="C611" s="33" t="s">
        <v>24</v>
      </c>
      <c r="D611" s="34">
        <v>2016</v>
      </c>
      <c r="E611" s="34" t="s">
        <v>30</v>
      </c>
      <c r="F611" s="6">
        <v>6</v>
      </c>
      <c r="G611" s="6"/>
      <c r="H611" s="6"/>
      <c r="I611" s="6"/>
      <c r="J611" s="6"/>
      <c r="K611" s="6">
        <v>6</v>
      </c>
      <c r="L611" s="6">
        <v>6</v>
      </c>
      <c r="M611" s="6"/>
      <c r="N611" s="6">
        <v>6</v>
      </c>
      <c r="O611" s="6"/>
      <c r="P611" s="6">
        <v>6</v>
      </c>
      <c r="Q611" s="6">
        <v>6</v>
      </c>
      <c r="R611" s="6">
        <v>6</v>
      </c>
      <c r="S611" s="35">
        <f>SUM(F611:R611)</f>
        <v>42</v>
      </c>
      <c r="T611" s="35">
        <f>COUNT(F611:R611)</f>
        <v>7</v>
      </c>
      <c r="U611" s="36">
        <f>IF(T611&gt;=2,ROUND((IF(T611=2,0.55,IF(T611&lt;=4,0.7,IF(T611&lt;=6,0.8,IF(T611&lt;=9,0.9,1))))*(S611/T611)+(1-(IF(T611=2,0.55,IF(T611&lt;=4,0.7,IF(T611&lt;=6,0.8,IF(T611&lt;=9,0.9,1))))))*$Y$1),1),"")</f>
        <v>6.2</v>
      </c>
      <c r="V611" s="37">
        <v>6.1</v>
      </c>
      <c r="W611" s="38"/>
    </row>
    <row r="612" ht="24" customHeight="1" spans="1:23" x14ac:dyDescent="0.25">
      <c r="A612" s="31">
        <v>860</v>
      </c>
      <c r="B612" s="32" t="s">
        <v>685</v>
      </c>
      <c r="C612" s="33" t="s">
        <v>24</v>
      </c>
      <c r="D612" s="34">
        <v>2010</v>
      </c>
      <c r="E612" s="34" t="s">
        <v>27</v>
      </c>
      <c r="F612" s="6"/>
      <c r="G612" s="6"/>
      <c r="H612" s="6"/>
      <c r="I612" s="6"/>
      <c r="J612" s="6"/>
      <c r="K612" s="6"/>
      <c r="L612" s="6">
        <v>8</v>
      </c>
      <c r="M612" s="6"/>
      <c r="N612" s="6"/>
      <c r="O612" s="6"/>
      <c r="P612" s="6"/>
      <c r="Q612" s="6"/>
      <c r="R612" s="6"/>
      <c r="S612" s="35">
        <f>SUM(F612:R612)</f>
        <v>8</v>
      </c>
      <c r="T612" s="35">
        <f>COUNT(F612:R612)</f>
        <v>1</v>
      </c>
      <c r="U612" s="36">
        <f>IF(T612&gt;=2,ROUND((IF(T612=2,0.55,IF(T612&lt;=4,0.7,IF(T612&lt;=6,0.8,IF(T612&lt;=9,0.9,1))))*(S612/T612)+(1-(IF(T612=2,0.55,IF(T612&lt;=4,0.7,IF(T612&lt;=6,0.8,IF(T612&lt;=9,0.9,1))))))*$Y$1),1),"")</f>
      </c>
      <c r="V612" s="37">
        <v>7.8</v>
      </c>
      <c r="W612" s="38"/>
    </row>
    <row r="613" ht="24" customHeight="1" spans="1:23" x14ac:dyDescent="0.25">
      <c r="A613" s="47">
        <v>2037</v>
      </c>
      <c r="B613" s="32" t="s">
        <v>686</v>
      </c>
      <c r="C613" s="48" t="s">
        <v>24</v>
      </c>
      <c r="D613" s="49">
        <v>2018</v>
      </c>
      <c r="E613" s="52"/>
      <c r="F613" s="6"/>
      <c r="G613" s="6"/>
      <c r="H613" s="6">
        <v>7</v>
      </c>
      <c r="I613" s="6">
        <v>8</v>
      </c>
      <c r="J613" s="6">
        <v>8</v>
      </c>
      <c r="K613" s="6">
        <v>8</v>
      </c>
      <c r="L613" s="6">
        <v>8</v>
      </c>
      <c r="M613" s="6">
        <v>7</v>
      </c>
      <c r="N613" s="6">
        <v>8</v>
      </c>
      <c r="O613" s="6">
        <v>7</v>
      </c>
      <c r="P613" s="6">
        <v>8</v>
      </c>
      <c r="Q613" s="6">
        <v>8</v>
      </c>
      <c r="R613" s="6"/>
      <c r="S613" s="35">
        <f>SUM(F613:R613)</f>
        <v>77</v>
      </c>
      <c r="T613" s="35">
        <f>COUNT(F613:R613)</f>
        <v>10</v>
      </c>
      <c r="U613" s="36">
        <f>IF(T613&gt;=2,ROUND((IF(T613=2,0.55,IF(T613&lt;=4,0.7,IF(T613&lt;=6,0.8,IF(T613&lt;=9,0.9,1))))*(S613/T613)+(1-(IF(T613=2,0.55,IF(T613&lt;=4,0.7,IF(T613&lt;=6,0.8,IF(T613&lt;=9,0.9,1))))))*$Y$1),1),"")</f>
        <v>7.7</v>
      </c>
      <c r="V613" s="37">
        <v>6.9</v>
      </c>
      <c r="W613" s="38" t="s">
        <v>44</v>
      </c>
    </row>
    <row r="614" ht="24" customHeight="1" spans="1:23" x14ac:dyDescent="0.25">
      <c r="A614" s="31">
        <v>1444</v>
      </c>
      <c r="B614" s="32" t="s">
        <v>687</v>
      </c>
      <c r="C614" s="33" t="s">
        <v>24</v>
      </c>
      <c r="D614" s="34">
        <v>2019</v>
      </c>
      <c r="E614" s="34" t="s">
        <v>27</v>
      </c>
      <c r="F614" s="6"/>
      <c r="G614" s="6"/>
      <c r="H614" s="6"/>
      <c r="I614" s="6"/>
      <c r="J614" s="6"/>
      <c r="K614" s="6"/>
      <c r="L614" s="6">
        <v>7</v>
      </c>
      <c r="M614" s="6"/>
      <c r="N614" s="6"/>
      <c r="O614" s="6"/>
      <c r="P614" s="6"/>
      <c r="Q614" s="6"/>
      <c r="R614" s="6"/>
      <c r="S614" s="35">
        <f>SUM(F614:R614)</f>
        <v>7</v>
      </c>
      <c r="T614" s="35">
        <f>COUNT(F614:R614)</f>
        <v>1</v>
      </c>
      <c r="U614" s="36">
        <f>IF(T614&gt;=2,ROUND((IF(T614=2,0.55,IF(T614&lt;=4,0.7,IF(T614&lt;=6,0.8,IF(T614&lt;=9,0.9,1))))*(S614/T614)+(1-(IF(T614=2,0.55,IF(T614&lt;=4,0.7,IF(T614&lt;=6,0.8,IF(T614&lt;=9,0.9,1))))))*$Y$1),1),"")</f>
      </c>
      <c r="V614" s="37">
        <v>6.7</v>
      </c>
      <c r="W614" s="38"/>
    </row>
    <row r="615" ht="24" customHeight="1" spans="1:23" x14ac:dyDescent="0.25">
      <c r="A615" s="31">
        <v>1595</v>
      </c>
      <c r="B615" s="32" t="s">
        <v>688</v>
      </c>
      <c r="C615" s="33" t="s">
        <v>24</v>
      </c>
      <c r="D615" s="34">
        <v>2023</v>
      </c>
      <c r="E615" s="34" t="s">
        <v>30</v>
      </c>
      <c r="F615" s="6"/>
      <c r="G615" s="6"/>
      <c r="H615" s="6"/>
      <c r="I615" s="6"/>
      <c r="J615" s="6">
        <v>7</v>
      </c>
      <c r="K615" s="6"/>
      <c r="L615" s="6"/>
      <c r="M615" s="6"/>
      <c r="N615" s="6"/>
      <c r="O615" s="6"/>
      <c r="P615" s="6"/>
      <c r="Q615" s="6"/>
      <c r="R615" s="6"/>
      <c r="S615" s="35">
        <f>SUM(F615:R615)</f>
        <v>7</v>
      </c>
      <c r="T615" s="35">
        <f>COUNT(F615:R615)</f>
        <v>1</v>
      </c>
      <c r="U615" s="36">
        <f>IF(T615&gt;=2,ROUND((IF(T615=2,0.55,IF(T615&lt;=4,0.7,IF(T615&lt;=6,0.8,IF(T615&lt;=9,0.9,1))))*(S615/T615)+(1-(IF(T615=2,0.55,IF(T615&lt;=4,0.7,IF(T615&lt;=6,0.8,IF(T615&lt;=9,0.9,1))))))*$Y$1),1),"")</f>
      </c>
      <c r="V615" s="37">
        <v>7.1</v>
      </c>
      <c r="W615" s="38"/>
    </row>
    <row r="616" ht="24" customHeight="1" spans="1:23" x14ac:dyDescent="0.25">
      <c r="A616" s="31">
        <v>1570</v>
      </c>
      <c r="B616" s="32" t="s">
        <v>689</v>
      </c>
      <c r="C616" s="33" t="s">
        <v>24</v>
      </c>
      <c r="D616" s="34">
        <v>2003</v>
      </c>
      <c r="E616" s="34" t="s">
        <v>27</v>
      </c>
      <c r="F616" s="6"/>
      <c r="G616" s="6"/>
      <c r="H616" s="6"/>
      <c r="I616" s="6"/>
      <c r="J616" s="6">
        <v>9</v>
      </c>
      <c r="K616" s="6"/>
      <c r="L616" s="6"/>
      <c r="M616" s="6"/>
      <c r="N616" s="6"/>
      <c r="O616" s="6"/>
      <c r="P616" s="6"/>
      <c r="Q616" s="6"/>
      <c r="R616" s="6"/>
      <c r="S616" s="35">
        <f>SUM(F616:R616)</f>
        <v>9</v>
      </c>
      <c r="T616" s="35">
        <f>COUNT(F616:R616)</f>
        <v>1</v>
      </c>
      <c r="U616" s="36">
        <f>IF(T616&gt;=2,ROUND((IF(T616=2,0.55,IF(T616&lt;=4,0.7,IF(T616&lt;=6,0.8,IF(T616&lt;=9,0.9,1))))*(S616/T616)+(1-(IF(T616=2,0.55,IF(T616&lt;=4,0.7,IF(T616&lt;=6,0.8,IF(T616&lt;=9,0.9,1))))))*$Y$1),1),"")</f>
      </c>
      <c r="V616" s="37">
        <v>7.8</v>
      </c>
      <c r="W616" s="38"/>
    </row>
    <row r="617" ht="24" customHeight="1" spans="1:23" x14ac:dyDescent="0.25">
      <c r="A617" s="31">
        <v>1366</v>
      </c>
      <c r="B617" s="32" t="s">
        <v>690</v>
      </c>
      <c r="C617" s="33" t="s">
        <v>29</v>
      </c>
      <c r="D617" s="34">
        <v>2015</v>
      </c>
      <c r="E617" s="34" t="s">
        <v>30</v>
      </c>
      <c r="F617" s="6"/>
      <c r="G617" s="6"/>
      <c r="H617" s="6">
        <v>10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35">
        <f>SUM(F617:R617)</f>
        <v>10</v>
      </c>
      <c r="T617" s="35">
        <f>COUNT(F617:R617)</f>
        <v>1</v>
      </c>
      <c r="U617" s="36">
        <f>IF(T617&gt;=2,ROUND((IF(T617=2,0.55,IF(T617&lt;=4,0.7,IF(T617&lt;=6,0.8,IF(T617&lt;=9,0.9,1))))*(S617/T617)+(1-(IF(T617=2,0.55,IF(T617&lt;=4,0.7,IF(T617&lt;=6,0.8,IF(T617&lt;=9,0.9,1))))))*$Y$1),1),"")</f>
      </c>
      <c r="V617" s="37">
        <v>8.5</v>
      </c>
      <c r="W617" s="38"/>
    </row>
    <row r="618" ht="24" customHeight="1" spans="1:23" x14ac:dyDescent="0.25">
      <c r="A618" s="40">
        <v>2185</v>
      </c>
      <c r="B618" s="32" t="s">
        <v>691</v>
      </c>
      <c r="C618" s="33" t="s">
        <v>24</v>
      </c>
      <c r="D618" s="34">
        <v>2006</v>
      </c>
      <c r="E618" s="41"/>
      <c r="F618" s="6"/>
      <c r="G618" s="6">
        <v>7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35">
        <f>SUM(F618:R618)</f>
        <v>7</v>
      </c>
      <c r="T618" s="35">
        <f>COUNT(F618:R618)</f>
        <v>1</v>
      </c>
      <c r="U618" s="36">
        <f>IF(T618&gt;=2,ROUND((IF(T618=2,0.55,IF(T618&lt;=4,0.7,IF(T618&lt;=6,0.8,IF(T618&lt;=9,0.9,1))))*(S618/T618)+(1-(IF(T618=2,0.55,IF(T618&lt;=4,0.7,IF(T618&lt;=6,0.8,IF(T618&lt;=9,0.9,1))))))*$Y$1),1),"")</f>
      </c>
      <c r="V618" s="37">
        <v>7.6</v>
      </c>
      <c r="W618" s="38"/>
    </row>
    <row r="619" ht="24" customHeight="1" spans="1:23" x14ac:dyDescent="0.25">
      <c r="A619" s="31">
        <v>1835</v>
      </c>
      <c r="B619" s="32" t="s">
        <v>692</v>
      </c>
      <c r="C619" s="33" t="s">
        <v>24</v>
      </c>
      <c r="D619" s="34">
        <v>2023</v>
      </c>
      <c r="E619" s="34" t="s">
        <v>111</v>
      </c>
      <c r="F619" s="6">
        <v>8</v>
      </c>
      <c r="G619" s="6"/>
      <c r="H619" s="6"/>
      <c r="I619" s="6">
        <v>9</v>
      </c>
      <c r="J619" s="6">
        <v>8</v>
      </c>
      <c r="K619" s="6">
        <v>8</v>
      </c>
      <c r="L619" s="6">
        <v>8</v>
      </c>
      <c r="M619" s="6"/>
      <c r="N619" s="6"/>
      <c r="O619" s="6">
        <v>9</v>
      </c>
      <c r="P619" s="6"/>
      <c r="Q619" s="6">
        <v>8</v>
      </c>
      <c r="R619" s="6"/>
      <c r="S619" s="35">
        <f>SUM(F619:R619)</f>
        <v>58</v>
      </c>
      <c r="T619" s="35">
        <f>COUNT(F619:R619)</f>
        <v>7</v>
      </c>
      <c r="U619" s="36">
        <f>IF(T619&gt;=2,ROUND((IF(T619=2,0.55,IF(T619&lt;=4,0.7,IF(T619&lt;=6,0.8,IF(T619&lt;=9,0.9,1))))*(S619/T619)+(1-(IF(T619=2,0.55,IF(T619&lt;=4,0.7,IF(T619&lt;=6,0.8,IF(T619&lt;=9,0.9,1))))))*$Y$1),1),"")</f>
        <v>8.3</v>
      </c>
      <c r="V619" s="37">
        <v>7.1</v>
      </c>
      <c r="W619" s="38"/>
    </row>
    <row r="620" ht="24" customHeight="1" spans="1:23" s="39" customFormat="1" x14ac:dyDescent="0.25">
      <c r="A620" s="31">
        <v>382</v>
      </c>
      <c r="B620" s="32" t="s">
        <v>693</v>
      </c>
      <c r="C620" s="33" t="s">
        <v>24</v>
      </c>
      <c r="D620" s="34">
        <v>1987</v>
      </c>
      <c r="E620" s="34" t="s">
        <v>60</v>
      </c>
      <c r="F620" s="6"/>
      <c r="G620" s="6"/>
      <c r="H620" s="6"/>
      <c r="I620" s="6"/>
      <c r="J620" s="6"/>
      <c r="K620" s="6">
        <v>10</v>
      </c>
      <c r="L620" s="6"/>
      <c r="M620" s="6"/>
      <c r="N620" s="6"/>
      <c r="O620" s="6"/>
      <c r="P620" s="6">
        <v>10</v>
      </c>
      <c r="Q620" s="6">
        <v>10</v>
      </c>
      <c r="R620" s="6"/>
      <c r="S620" s="35">
        <f>SUM(F620:R620)</f>
        <v>30</v>
      </c>
      <c r="T620" s="35">
        <f>COUNT(F620:R620)</f>
        <v>3</v>
      </c>
      <c r="U620" s="36">
        <f>IF(T620&gt;=2,ROUND((IF(T620=2,0.55,IF(T620&lt;=4,0.7,IF(T620&lt;=6,0.8,IF(T620&lt;=9,0.9,1))))*(S620/T620)+(1-(IF(T620=2,0.55,IF(T620&lt;=4,0.7,IF(T620&lt;=6,0.8,IF(T620&lt;=9,0.9,1))))))*$Y$1),1),"")</f>
        <v>9.4</v>
      </c>
      <c r="V620" s="37">
        <v>7.7</v>
      </c>
      <c r="W620" s="38"/>
    </row>
    <row r="621" ht="24" customHeight="1" spans="1:23" x14ac:dyDescent="0.25">
      <c r="A621" s="31">
        <v>1170</v>
      </c>
      <c r="B621" s="32" t="s">
        <v>694</v>
      </c>
      <c r="C621" s="33" t="s">
        <v>24</v>
      </c>
      <c r="D621" s="34">
        <v>2021</v>
      </c>
      <c r="E621" s="34" t="s">
        <v>25</v>
      </c>
      <c r="F621" s="6"/>
      <c r="G621" s="6">
        <v>7</v>
      </c>
      <c r="H621" s="6"/>
      <c r="I621" s="6"/>
      <c r="J621" s="6"/>
      <c r="K621" s="6">
        <v>10</v>
      </c>
      <c r="L621" s="6"/>
      <c r="M621" s="6"/>
      <c r="N621" s="6"/>
      <c r="O621" s="6"/>
      <c r="P621" s="6">
        <v>8</v>
      </c>
      <c r="Q621" s="6">
        <v>10</v>
      </c>
      <c r="R621" s="6"/>
      <c r="S621" s="35">
        <f>SUM(F621:R621)</f>
        <v>35</v>
      </c>
      <c r="T621" s="35">
        <f>COUNT(F621:R621)</f>
        <v>4</v>
      </c>
      <c r="U621" s="36">
        <f>IF(T621&gt;=2,ROUND((IF(T621=2,0.55,IF(T621&lt;=4,0.7,IF(T621&lt;=6,0.8,IF(T621&lt;=9,0.9,1))))*(S621/T621)+(1-(IF(T621=2,0.55,IF(T621&lt;=4,0.7,IF(T621&lt;=6,0.8,IF(T621&lt;=9,0.9,1))))))*$Y$1),1),"")</f>
        <v>8.6</v>
      </c>
      <c r="V621" s="37">
        <v>7.3</v>
      </c>
      <c r="W621" s="38"/>
    </row>
    <row r="622" ht="24" customHeight="1" spans="1:23" x14ac:dyDescent="0.25">
      <c r="A622" s="31">
        <v>801</v>
      </c>
      <c r="B622" s="32" t="s">
        <v>695</v>
      </c>
      <c r="C622" s="33" t="s">
        <v>24</v>
      </c>
      <c r="D622" s="34">
        <v>1992</v>
      </c>
      <c r="E622" s="34" t="s">
        <v>696</v>
      </c>
      <c r="F622" s="6"/>
      <c r="G622" s="6"/>
      <c r="H622" s="6"/>
      <c r="I622" s="6"/>
      <c r="J622" s="6">
        <v>8</v>
      </c>
      <c r="K622" s="6"/>
      <c r="L622" s="6">
        <v>8</v>
      </c>
      <c r="M622" s="6"/>
      <c r="N622" s="6"/>
      <c r="O622" s="6"/>
      <c r="P622" s="6"/>
      <c r="Q622" s="6"/>
      <c r="R622" s="6"/>
      <c r="S622" s="35">
        <f>SUM(F622:R622)</f>
        <v>16</v>
      </c>
      <c r="T622" s="35">
        <f>COUNT(F622:R622)</f>
        <v>2</v>
      </c>
      <c r="U622" s="36">
        <f>IF(T622&gt;=2,ROUND((IF(T622=2,0.55,IF(T622&lt;=4,0.7,IF(T622&lt;=6,0.8,IF(T622&lt;=9,0.9,1))))*(S622/T622)+(1-(IF(T622=2,0.55,IF(T622&lt;=4,0.7,IF(T622&lt;=6,0.8,IF(T622&lt;=9,0.9,1))))))*$Y$1),1),"")</f>
        <v>8</v>
      </c>
      <c r="V622" s="37">
        <v>7.6</v>
      </c>
      <c r="W622" s="38"/>
    </row>
    <row r="623" ht="24" customHeight="1" spans="1:23" x14ac:dyDescent="0.25">
      <c r="A623" s="40">
        <v>2425</v>
      </c>
      <c r="B623" s="32" t="s">
        <v>697</v>
      </c>
      <c r="C623" s="33" t="s">
        <v>24</v>
      </c>
      <c r="D623" s="34">
        <v>2025</v>
      </c>
      <c r="E623" s="41"/>
      <c r="F623" s="6">
        <v>7</v>
      </c>
      <c r="G623" s="6"/>
      <c r="H623" s="6"/>
      <c r="I623" s="6"/>
      <c r="J623" s="6"/>
      <c r="K623" s="6"/>
      <c r="L623" s="6"/>
      <c r="M623" s="6"/>
      <c r="N623" s="6"/>
      <c r="O623" s="6">
        <v>6</v>
      </c>
      <c r="P623" s="6"/>
      <c r="Q623" s="6"/>
      <c r="R623" s="6"/>
      <c r="S623" s="35">
        <f>SUM(F623:R623)</f>
        <v>13</v>
      </c>
      <c r="T623" s="35">
        <f>COUNT(F623:R623)</f>
        <v>2</v>
      </c>
      <c r="U623" s="36">
        <f>IF(T623&gt;=2,ROUND((IF(T623=2,0.55,IF(T623&lt;=4,0.7,IF(T623&lt;=6,0.8,IF(T623&lt;=9,0.9,1))))*(S623/T623)+(1-(IF(T623=2,0.55,IF(T623&lt;=4,0.7,IF(T623&lt;=6,0.8,IF(T623&lt;=9,0.9,1))))))*$Y$1),1),"")</f>
        <v>7.2</v>
      </c>
      <c r="V623" s="37">
        <v>7</v>
      </c>
      <c r="W623" s="38"/>
    </row>
    <row r="624" ht="24" customHeight="1" spans="1:23" x14ac:dyDescent="0.25">
      <c r="A624" s="31">
        <v>744</v>
      </c>
      <c r="B624" s="32" t="s">
        <v>698</v>
      </c>
      <c r="C624" s="33" t="s">
        <v>24</v>
      </c>
      <c r="D624" s="34">
        <v>2013</v>
      </c>
      <c r="E624" s="34" t="s">
        <v>33</v>
      </c>
      <c r="F624" s="6"/>
      <c r="G624" s="6"/>
      <c r="H624" s="6"/>
      <c r="I624" s="6"/>
      <c r="J624" s="6">
        <v>8</v>
      </c>
      <c r="K624" s="6"/>
      <c r="L624" s="6"/>
      <c r="M624" s="6"/>
      <c r="N624" s="6"/>
      <c r="O624" s="6"/>
      <c r="P624" s="6"/>
      <c r="Q624" s="6"/>
      <c r="R624" s="6"/>
      <c r="S624" s="35">
        <f>SUM(F624:R624)</f>
        <v>8</v>
      </c>
      <c r="T624" s="35">
        <f>COUNT(F624:R624)</f>
        <v>1</v>
      </c>
      <c r="U624" s="36">
        <f>IF(T624&gt;=2,ROUND((IF(T624=2,0.55,IF(T624&lt;=4,0.7,IF(T624&lt;=6,0.8,IF(T624&lt;=9,0.9,1))))*(S624/T624)+(1-(IF(T624=2,0.55,IF(T624&lt;=4,0.7,IF(T624&lt;=6,0.8,IF(T624&lt;=9,0.9,1))))))*$Y$1),1),"")</f>
      </c>
      <c r="V624" s="37">
        <v>6.7</v>
      </c>
      <c r="W624" s="38"/>
    </row>
    <row r="625" ht="24" customHeight="1" spans="1:23" s="39" customFormat="1" x14ac:dyDescent="0.25">
      <c r="A625" s="31">
        <v>286</v>
      </c>
      <c r="B625" s="32" t="s">
        <v>699</v>
      </c>
      <c r="C625" s="33" t="s">
        <v>24</v>
      </c>
      <c r="D625" s="34">
        <v>2010</v>
      </c>
      <c r="E625" s="34" t="s">
        <v>30</v>
      </c>
      <c r="F625" s="6"/>
      <c r="G625" s="6">
        <v>6</v>
      </c>
      <c r="H625" s="6"/>
      <c r="I625" s="6"/>
      <c r="J625" s="6"/>
      <c r="K625" s="6">
        <v>6</v>
      </c>
      <c r="L625" s="6">
        <v>8</v>
      </c>
      <c r="M625" s="6"/>
      <c r="N625" s="6"/>
      <c r="O625" s="6"/>
      <c r="P625" s="6"/>
      <c r="Q625" s="6">
        <v>6</v>
      </c>
      <c r="R625" s="6"/>
      <c r="S625" s="35">
        <f>SUM(F625:R625)</f>
        <v>26</v>
      </c>
      <c r="T625" s="35">
        <f>COUNT(F625:R625)</f>
        <v>4</v>
      </c>
      <c r="U625" s="36">
        <f>IF(T625&gt;=2,ROUND((IF(T625=2,0.55,IF(T625&lt;=4,0.7,IF(T625&lt;=6,0.8,IF(T625&lt;=9,0.9,1))))*(S625/T625)+(1-(IF(T625=2,0.55,IF(T625&lt;=4,0.7,IF(T625&lt;=6,0.8,IF(T625&lt;=9,0.9,1))))))*$Y$1),1),"")</f>
        <v>7</v>
      </c>
      <c r="V625" s="37">
        <v>6</v>
      </c>
      <c r="W625" s="38"/>
    </row>
    <row r="626" ht="24" customHeight="1" spans="1:23" x14ac:dyDescent="0.25">
      <c r="A626" s="31">
        <v>1741</v>
      </c>
      <c r="B626" s="32" t="s">
        <v>700</v>
      </c>
      <c r="C626" s="33" t="s">
        <v>29</v>
      </c>
      <c r="D626" s="34">
        <v>2022</v>
      </c>
      <c r="E626" s="34" t="s">
        <v>30</v>
      </c>
      <c r="F626" s="6"/>
      <c r="G626" s="6"/>
      <c r="H626" s="6"/>
      <c r="I626" s="6"/>
      <c r="J626" s="6"/>
      <c r="K626" s="6"/>
      <c r="L626" s="6"/>
      <c r="M626" s="6"/>
      <c r="N626" s="6"/>
      <c r="O626" s="6">
        <v>6</v>
      </c>
      <c r="P626" s="6"/>
      <c r="Q626" s="6"/>
      <c r="R626" s="6"/>
      <c r="S626" s="35">
        <f>SUM(F626:R626)</f>
        <v>6</v>
      </c>
      <c r="T626" s="35">
        <f>COUNT(F626:R626)</f>
        <v>1</v>
      </c>
      <c r="U626" s="36">
        <f>IF(T626&gt;=2,ROUND((IF(T626=2,0.55,IF(T626&lt;=4,0.7,IF(T626&lt;=6,0.8,IF(T626&lt;=9,0.9,1))))*(S626/T626)+(1-(IF(T626=2,0.55,IF(T626&lt;=4,0.7,IF(T626&lt;=6,0.8,IF(T626&lt;=9,0.9,1))))))*$Y$1),1),"")</f>
      </c>
      <c r="V626" s="37">
        <v>7.1</v>
      </c>
      <c r="W626" s="38"/>
    </row>
    <row r="627" ht="24" customHeight="1" spans="1:23" x14ac:dyDescent="0.25">
      <c r="A627" s="31">
        <v>1936</v>
      </c>
      <c r="B627" s="32" t="s">
        <v>701</v>
      </c>
      <c r="C627" s="33" t="s">
        <v>24</v>
      </c>
      <c r="D627" s="34">
        <v>2024</v>
      </c>
      <c r="E627" s="34" t="s">
        <v>30</v>
      </c>
      <c r="F627" s="6">
        <v>8</v>
      </c>
      <c r="G627" s="6"/>
      <c r="H627" s="6">
        <v>8</v>
      </c>
      <c r="I627" s="6">
        <v>10</v>
      </c>
      <c r="J627" s="6">
        <v>8</v>
      </c>
      <c r="K627" s="6">
        <v>9</v>
      </c>
      <c r="L627" s="6">
        <v>7</v>
      </c>
      <c r="M627" s="6">
        <v>8</v>
      </c>
      <c r="N627" s="6">
        <v>8</v>
      </c>
      <c r="O627" s="6">
        <v>8</v>
      </c>
      <c r="P627" s="6"/>
      <c r="Q627" s="6">
        <v>9</v>
      </c>
      <c r="R627" s="6">
        <v>10</v>
      </c>
      <c r="S627" s="35">
        <f>SUM(F627:R627)</f>
        <v>93</v>
      </c>
      <c r="T627" s="35">
        <f>COUNT(F627:R627)</f>
        <v>11</v>
      </c>
      <c r="U627" s="36">
        <f>IF(T627&gt;=2,ROUND((IF(T627=2,0.55,IF(T627&lt;=4,0.7,IF(T627&lt;=6,0.8,IF(T627&lt;=9,0.9,1))))*(S627/T627)+(1-(IF(T627=2,0.55,IF(T627&lt;=4,0.7,IF(T627&lt;=6,0.8,IF(T627&lt;=9,0.9,1))))))*$Y$1),1),"")</f>
        <v>8.5</v>
      </c>
      <c r="V627" s="37">
        <v>7.4</v>
      </c>
      <c r="W627" s="38"/>
    </row>
    <row r="628" ht="24" customHeight="1" spans="1:23" x14ac:dyDescent="0.25">
      <c r="A628" s="31">
        <v>352</v>
      </c>
      <c r="B628" s="32" t="s">
        <v>702</v>
      </c>
      <c r="C628" s="33" t="s">
        <v>24</v>
      </c>
      <c r="D628" s="34">
        <v>2018</v>
      </c>
      <c r="E628" s="34" t="s">
        <v>60</v>
      </c>
      <c r="F628" s="6"/>
      <c r="G628" s="6"/>
      <c r="H628" s="6"/>
      <c r="I628" s="6"/>
      <c r="J628" s="6"/>
      <c r="K628" s="6">
        <v>6</v>
      </c>
      <c r="L628" s="6">
        <v>6</v>
      </c>
      <c r="M628" s="6"/>
      <c r="N628" s="6"/>
      <c r="O628" s="6"/>
      <c r="P628" s="6"/>
      <c r="Q628" s="6">
        <v>6</v>
      </c>
      <c r="R628" s="6"/>
      <c r="S628" s="35">
        <f>SUM(F628:R628)</f>
        <v>18</v>
      </c>
      <c r="T628" s="35">
        <f>COUNT(F628:R628)</f>
        <v>3</v>
      </c>
      <c r="U628" s="36">
        <f>IF(T628&gt;=2,ROUND((IF(T628=2,0.55,IF(T628&lt;=4,0.7,IF(T628&lt;=6,0.8,IF(T628&lt;=9,0.9,1))))*(S628/T628)+(1-(IF(T628=2,0.55,IF(T628&lt;=4,0.7,IF(T628&lt;=6,0.8,IF(T628&lt;=9,0.9,1))))))*$Y$1),1),"")</f>
        <v>6.6</v>
      </c>
      <c r="V628" s="37">
        <v>7.1</v>
      </c>
      <c r="W628" s="38"/>
    </row>
    <row r="629" ht="24" customHeight="1" spans="1:23" x14ac:dyDescent="0.25">
      <c r="A629" s="40">
        <v>2113</v>
      </c>
      <c r="B629" s="32" t="s">
        <v>703</v>
      </c>
      <c r="C629" s="33" t="s">
        <v>24</v>
      </c>
      <c r="D629" s="34">
        <v>2000</v>
      </c>
      <c r="E629" s="41"/>
      <c r="F629" s="6"/>
      <c r="G629" s="6">
        <v>6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35">
        <f>SUM(F629:R629)</f>
        <v>6</v>
      </c>
      <c r="T629" s="35">
        <f>COUNT(F629:R629)</f>
        <v>1</v>
      </c>
      <c r="U629" s="36">
        <f>IF(T629&gt;=2,ROUND((IF(T629=2,0.55,IF(T629&lt;=4,0.7,IF(T629&lt;=6,0.8,IF(T629&lt;=9,0.9,1))))*(S629/T629)+(1-(IF(T629=2,0.55,IF(T629&lt;=4,0.7,IF(T629&lt;=6,0.8,IF(T629&lt;=9,0.9,1))))))*$Y$1),1),"")</f>
      </c>
      <c r="V629" s="37">
        <v>7.9</v>
      </c>
      <c r="W629" s="38"/>
    </row>
    <row r="630" ht="24" customHeight="1" spans="1:23" x14ac:dyDescent="0.25">
      <c r="A630" s="31">
        <v>918</v>
      </c>
      <c r="B630" s="32" t="s">
        <v>704</v>
      </c>
      <c r="C630" s="33" t="s">
        <v>24</v>
      </c>
      <c r="D630" s="34">
        <v>2021</v>
      </c>
      <c r="E630" s="34" t="s">
        <v>30</v>
      </c>
      <c r="F630" s="6">
        <v>8</v>
      </c>
      <c r="G630" s="6"/>
      <c r="H630" s="6">
        <v>6</v>
      </c>
      <c r="I630" s="6">
        <v>8</v>
      </c>
      <c r="J630" s="6">
        <v>6</v>
      </c>
      <c r="K630" s="6">
        <v>6</v>
      </c>
      <c r="L630" s="6"/>
      <c r="M630" s="6">
        <v>6</v>
      </c>
      <c r="N630" s="6">
        <v>6</v>
      </c>
      <c r="O630" s="6">
        <v>6</v>
      </c>
      <c r="P630" s="6"/>
      <c r="Q630" s="6">
        <v>6</v>
      </c>
      <c r="R630" s="6"/>
      <c r="S630" s="35">
        <f>SUM(F630:R630)</f>
        <v>58</v>
      </c>
      <c r="T630" s="35">
        <f>COUNT(F630:R630)</f>
        <v>9</v>
      </c>
      <c r="U630" s="36">
        <f>IF(T630&gt;=2,ROUND((IF(T630=2,0.55,IF(T630&lt;=4,0.7,IF(T630&lt;=6,0.8,IF(T630&lt;=9,0.9,1))))*(S630/T630)+(1-(IF(T630=2,0.55,IF(T630&lt;=4,0.7,IF(T630&lt;=6,0.8,IF(T630&lt;=9,0.9,1))))))*$Y$1),1),"")</f>
        <v>6.6</v>
      </c>
      <c r="V630" s="37">
        <v>7.1</v>
      </c>
      <c r="W630" s="38"/>
    </row>
    <row r="631" ht="24" customHeight="1" spans="1:23" s="39" customFormat="1" x14ac:dyDescent="0.25">
      <c r="A631" s="31">
        <v>2457</v>
      </c>
      <c r="B631" s="32" t="s">
        <v>705</v>
      </c>
      <c r="C631" s="33" t="s">
        <v>29</v>
      </c>
      <c r="D631" s="34">
        <v>2026</v>
      </c>
      <c r="E631" s="41"/>
      <c r="F631" s="6"/>
      <c r="G631" s="6"/>
      <c r="H631" s="6"/>
      <c r="I631" s="6"/>
      <c r="J631" s="6"/>
      <c r="K631" s="6"/>
      <c r="L631" s="6">
        <v>9</v>
      </c>
      <c r="M631" s="6"/>
      <c r="N631" s="6"/>
      <c r="O631" s="6"/>
      <c r="P631" s="6"/>
      <c r="Q631" s="6"/>
      <c r="R631" s="6"/>
      <c r="S631" s="35">
        <f>SUM(F631:R631)</f>
        <v>9</v>
      </c>
      <c r="T631" s="35">
        <f>COUNT(F631:R631)</f>
        <v>1</v>
      </c>
      <c r="U631" s="36">
        <f>IF(T631&gt;=2,ROUND((IF(T631=2,0.55,IF(T631&lt;=4,0.7,IF(T631&lt;=6,0.8,IF(T631&lt;=9,0.9,1))))*(S631/T631)+(1-(IF(T631=2,0.55,IF(T631&lt;=4,0.7,IF(T631&lt;=6,0.8,IF(T631&lt;=9,0.9,1))))))*$Y$1),1),"")</f>
      </c>
      <c r="V631" s="37">
        <v>7.8</v>
      </c>
      <c r="W631" s="38"/>
    </row>
    <row r="632" ht="24" customHeight="1" spans="1:23" x14ac:dyDescent="0.25">
      <c r="A632" s="31">
        <v>275</v>
      </c>
      <c r="B632" s="32" t="s">
        <v>706</v>
      </c>
      <c r="C632" s="33" t="s">
        <v>29</v>
      </c>
      <c r="D632" s="34">
        <v>2013</v>
      </c>
      <c r="E632" s="34" t="s">
        <v>25</v>
      </c>
      <c r="F632" s="6">
        <v>8</v>
      </c>
      <c r="G632" s="6"/>
      <c r="H632" s="6"/>
      <c r="I632" s="6">
        <v>10</v>
      </c>
      <c r="J632" s="6">
        <v>10</v>
      </c>
      <c r="K632" s="6">
        <v>10</v>
      </c>
      <c r="L632" s="6">
        <v>10</v>
      </c>
      <c r="M632" s="6"/>
      <c r="N632" s="6"/>
      <c r="O632" s="6">
        <v>10</v>
      </c>
      <c r="P632" s="6"/>
      <c r="Q632" s="6">
        <v>10</v>
      </c>
      <c r="R632" s="6"/>
      <c r="S632" s="35">
        <f>SUM(F632:R632)</f>
        <v>68</v>
      </c>
      <c r="T632" s="35">
        <f>COUNT(F632:R632)</f>
        <v>7</v>
      </c>
      <c r="U632" s="36">
        <f>IF(T632&gt;=2,ROUND((IF(T632=2,0.55,IF(T632&lt;=4,0.7,IF(T632&lt;=6,0.8,IF(T632&lt;=9,0.9,1))))*(S632/T632)+(1-(IF(T632=2,0.55,IF(T632&lt;=4,0.7,IF(T632&lt;=6,0.8,IF(T632&lt;=9,0.9,1))))))*$Y$1),1),"")</f>
        <v>9.6</v>
      </c>
      <c r="V632" s="37">
        <v>8.2</v>
      </c>
      <c r="W632" s="38"/>
    </row>
    <row r="633" ht="24" customHeight="1" spans="1:23" x14ac:dyDescent="0.25">
      <c r="A633" s="31">
        <v>2485</v>
      </c>
      <c r="B633" s="32" t="s">
        <v>707</v>
      </c>
      <c r="C633" s="33" t="s">
        <v>24</v>
      </c>
      <c r="D633" s="34">
        <v>2019</v>
      </c>
      <c r="E633" s="41"/>
      <c r="F633" s="6"/>
      <c r="G633" s="6"/>
      <c r="H633" s="6"/>
      <c r="I633" s="6"/>
      <c r="J633" s="6"/>
      <c r="K633" s="6"/>
      <c r="L633" s="6"/>
      <c r="M633" s="6">
        <v>8</v>
      </c>
      <c r="N633" s="6"/>
      <c r="O633" s="6">
        <v>8</v>
      </c>
      <c r="P633" s="6"/>
      <c r="Q633" s="6"/>
      <c r="R633" s="6"/>
      <c r="S633" s="35">
        <f>SUM(F633:R633)</f>
        <v>16</v>
      </c>
      <c r="T633" s="35">
        <f>COUNT(F633:R633)</f>
        <v>2</v>
      </c>
      <c r="U633" s="36">
        <f>IF(T633&gt;=2,ROUND((IF(T633=2,0.55,IF(T633&lt;=4,0.7,IF(T633&lt;=6,0.8,IF(T633&lt;=9,0.9,1))))*(S633/T633)+(1-(IF(T633=2,0.55,IF(T633&lt;=4,0.7,IF(T633&lt;=6,0.8,IF(T633&lt;=9,0.9,1))))))*$Y$1),1),"")</f>
        <v>8</v>
      </c>
      <c r="V633" s="37">
        <v>6.9</v>
      </c>
      <c r="W633" s="38"/>
    </row>
    <row r="634" ht="24" customHeight="1" spans="1:23" s="39" customFormat="1" x14ac:dyDescent="0.25">
      <c r="A634" s="31">
        <v>1420</v>
      </c>
      <c r="B634" s="32" t="s">
        <v>708</v>
      </c>
      <c r="C634" s="33" t="s">
        <v>24</v>
      </c>
      <c r="D634" s="34">
        <v>2022</v>
      </c>
      <c r="E634" s="34" t="s">
        <v>30</v>
      </c>
      <c r="F634" s="6"/>
      <c r="G634" s="6"/>
      <c r="H634" s="6"/>
      <c r="I634" s="6"/>
      <c r="J634" s="6"/>
      <c r="K634" s="6">
        <v>8</v>
      </c>
      <c r="L634" s="6"/>
      <c r="M634" s="6"/>
      <c r="N634" s="6"/>
      <c r="O634" s="6"/>
      <c r="P634" s="6"/>
      <c r="Q634" s="6">
        <v>8</v>
      </c>
      <c r="R634" s="6"/>
      <c r="S634" s="35">
        <f>SUM(F634:R634)</f>
        <v>16</v>
      </c>
      <c r="T634" s="35">
        <f>COUNT(F634:R634)</f>
        <v>2</v>
      </c>
      <c r="U634" s="36">
        <f>IF(T634&gt;=2,ROUND((IF(T634=2,0.55,IF(T634&lt;=4,0.7,IF(T634&lt;=6,0.8,IF(T634&lt;=9,0.9,1))))*(S634/T634)+(1-(IF(T634=2,0.55,IF(T634&lt;=4,0.7,IF(T634&lt;=6,0.8,IF(T634&lt;=9,0.9,1))))))*$Y$1),1),"")</f>
        <v>8</v>
      </c>
      <c r="V634" s="37">
        <v>6</v>
      </c>
      <c r="W634" s="38"/>
    </row>
    <row r="635" ht="24" customHeight="1" spans="1:23" x14ac:dyDescent="0.25">
      <c r="A635" s="31">
        <v>719</v>
      </c>
      <c r="B635" s="32" t="s">
        <v>709</v>
      </c>
      <c r="C635" s="33" t="s">
        <v>24</v>
      </c>
      <c r="D635" s="34">
        <v>1999</v>
      </c>
      <c r="E635" s="34" t="s">
        <v>52</v>
      </c>
      <c r="F635" s="6"/>
      <c r="G635" s="6"/>
      <c r="H635" s="6"/>
      <c r="I635" s="6">
        <v>9</v>
      </c>
      <c r="J635" s="6">
        <v>8</v>
      </c>
      <c r="K635" s="6">
        <v>8</v>
      </c>
      <c r="L635" s="6">
        <v>10</v>
      </c>
      <c r="M635" s="6"/>
      <c r="N635" s="6"/>
      <c r="O635" s="6">
        <v>10</v>
      </c>
      <c r="P635" s="6"/>
      <c r="Q635" s="6">
        <v>8</v>
      </c>
      <c r="R635" s="6"/>
      <c r="S635" s="35">
        <f>SUM(F635:R635)</f>
        <v>53</v>
      </c>
      <c r="T635" s="35">
        <f>COUNT(F635:R635)</f>
        <v>6</v>
      </c>
      <c r="U635" s="36">
        <f>IF(T635&gt;=2,ROUND((IF(T635=2,0.55,IF(T635&lt;=4,0.7,IF(T635&lt;=6,0.8,IF(T635&lt;=9,0.9,1))))*(S635/T635)+(1-(IF(T635=2,0.55,IF(T635&lt;=4,0.7,IF(T635&lt;=6,0.8,IF(T635&lt;=9,0.9,1))))))*$Y$1),1),"")</f>
        <v>8.7</v>
      </c>
      <c r="V635" s="37">
        <v>7.4</v>
      </c>
      <c r="W635" s="38"/>
    </row>
    <row r="636" ht="24" customHeight="1" spans="1:23" x14ac:dyDescent="0.25">
      <c r="A636" s="31">
        <v>107</v>
      </c>
      <c r="B636" s="32" t="s">
        <v>710</v>
      </c>
      <c r="C636" s="33" t="s">
        <v>29</v>
      </c>
      <c r="D636" s="34">
        <v>2018</v>
      </c>
      <c r="E636" s="34" t="s">
        <v>30</v>
      </c>
      <c r="F636" s="6">
        <v>8</v>
      </c>
      <c r="G636" s="6"/>
      <c r="H636" s="6">
        <v>10</v>
      </c>
      <c r="I636" s="6"/>
      <c r="J636" s="6"/>
      <c r="K636" s="6">
        <v>8</v>
      </c>
      <c r="L636" s="6">
        <v>8</v>
      </c>
      <c r="M636" s="6">
        <v>10</v>
      </c>
      <c r="N636" s="6"/>
      <c r="O636" s="6"/>
      <c r="P636" s="6"/>
      <c r="Q636" s="6">
        <v>8</v>
      </c>
      <c r="R636" s="6"/>
      <c r="S636" s="35">
        <f>SUM(F636:R636)</f>
        <v>52</v>
      </c>
      <c r="T636" s="35">
        <f>COUNT(F636:R636)</f>
        <v>6</v>
      </c>
      <c r="U636" s="36">
        <f>IF(T636&gt;=2,ROUND((IF(T636=2,0.55,IF(T636&lt;=4,0.7,IF(T636&lt;=6,0.8,IF(T636&lt;=9,0.9,1))))*(S636/T636)+(1-(IF(T636=2,0.55,IF(T636&lt;=4,0.7,IF(T636&lt;=6,0.8,IF(T636&lt;=9,0.9,1))))))*$Y$1),1),"")</f>
        <v>8.6</v>
      </c>
      <c r="V636" s="37">
        <v>7.4</v>
      </c>
      <c r="W636" s="38"/>
    </row>
    <row r="637" ht="24" customHeight="1" spans="1:23" x14ac:dyDescent="0.25">
      <c r="A637" s="31">
        <v>665</v>
      </c>
      <c r="B637" s="32" t="s">
        <v>711</v>
      </c>
      <c r="C637" s="33" t="s">
        <v>24</v>
      </c>
      <c r="D637" s="34">
        <v>1996</v>
      </c>
      <c r="E637" s="34" t="s">
        <v>30</v>
      </c>
      <c r="F637" s="6"/>
      <c r="G637" s="6"/>
      <c r="H637" s="6"/>
      <c r="I637" s="6">
        <v>6</v>
      </c>
      <c r="J637" s="6"/>
      <c r="K637" s="6"/>
      <c r="L637" s="6">
        <v>7</v>
      </c>
      <c r="M637" s="6">
        <v>6</v>
      </c>
      <c r="N637" s="6">
        <v>6</v>
      </c>
      <c r="O637" s="6"/>
      <c r="P637" s="6"/>
      <c r="Q637" s="6"/>
      <c r="R637" s="6"/>
      <c r="S637" s="35">
        <f>SUM(F637:R637)</f>
        <v>25</v>
      </c>
      <c r="T637" s="35">
        <f>COUNT(F637:R637)</f>
        <v>4</v>
      </c>
      <c r="U637" s="36">
        <f>IF(T637&gt;=2,ROUND((IF(T637=2,0.55,IF(T637&lt;=4,0.7,IF(T637&lt;=6,0.8,IF(T637&lt;=9,0.9,1))))*(S637/T637)+(1-(IF(T637=2,0.55,IF(T637&lt;=4,0.7,IF(T637&lt;=6,0.8,IF(T637&lt;=9,0.9,1))))))*$Y$1),1),"")</f>
        <v>6.8</v>
      </c>
      <c r="V637" s="37">
        <v>6.1</v>
      </c>
      <c r="W637" s="38"/>
    </row>
    <row r="638" ht="24" customHeight="1" spans="1:23" x14ac:dyDescent="0.25">
      <c r="A638" s="31">
        <v>663</v>
      </c>
      <c r="B638" s="32" t="s">
        <v>711</v>
      </c>
      <c r="C638" s="33" t="s">
        <v>24</v>
      </c>
      <c r="D638" s="34">
        <v>2011</v>
      </c>
      <c r="E638" s="34" t="s">
        <v>122</v>
      </c>
      <c r="F638" s="6"/>
      <c r="G638" s="6">
        <v>7</v>
      </c>
      <c r="H638" s="6"/>
      <c r="I638" s="6"/>
      <c r="J638" s="6">
        <v>8</v>
      </c>
      <c r="K638" s="6"/>
      <c r="L638" s="6">
        <v>6</v>
      </c>
      <c r="M638" s="6"/>
      <c r="N638" s="6"/>
      <c r="O638" s="6"/>
      <c r="P638" s="6"/>
      <c r="Q638" s="6"/>
      <c r="R638" s="6"/>
      <c r="S638" s="35">
        <f>SUM(F638:R638)</f>
        <v>21</v>
      </c>
      <c r="T638" s="35">
        <f>COUNT(F638:R638)</f>
        <v>3</v>
      </c>
      <c r="U638" s="36">
        <f>IF(T638&gt;=2,ROUND((IF(T638=2,0.55,IF(T638&lt;=4,0.7,IF(T638&lt;=6,0.8,IF(T638&lt;=9,0.9,1))))*(S638/T638)+(1-(IF(T638=2,0.55,IF(T638&lt;=4,0.7,IF(T638&lt;=6,0.8,IF(T638&lt;=9,0.9,1))))))*$Y$1),1),"")</f>
        <v>7.3</v>
      </c>
      <c r="V638" s="37">
        <v>7.7</v>
      </c>
      <c r="W638" s="38"/>
    </row>
    <row r="639" ht="24" customHeight="1" spans="1:23" x14ac:dyDescent="0.25">
      <c r="A639" s="31">
        <v>106</v>
      </c>
      <c r="B639" s="32" t="s">
        <v>712</v>
      </c>
      <c r="C639" s="33" t="s">
        <v>24</v>
      </c>
      <c r="D639" s="34">
        <v>2003</v>
      </c>
      <c r="E639" s="34" t="s">
        <v>92</v>
      </c>
      <c r="F639" s="6">
        <v>8</v>
      </c>
      <c r="G639" s="6"/>
      <c r="H639" s="6"/>
      <c r="I639" s="6"/>
      <c r="J639" s="6"/>
      <c r="K639" s="6">
        <v>6</v>
      </c>
      <c r="L639" s="6"/>
      <c r="M639" s="6">
        <v>8</v>
      </c>
      <c r="N639" s="6"/>
      <c r="O639" s="6"/>
      <c r="P639" s="6"/>
      <c r="Q639" s="6">
        <v>6</v>
      </c>
      <c r="R639" s="6"/>
      <c r="S639" s="35">
        <f>SUM(F639:R639)</f>
        <v>28</v>
      </c>
      <c r="T639" s="35">
        <f>COUNT(F639:R639)</f>
        <v>4</v>
      </c>
      <c r="U639" s="36">
        <f>IF(T639&gt;=2,ROUND((IF(T639=2,0.55,IF(T639&lt;=4,0.7,IF(T639&lt;=6,0.8,IF(T639&lt;=9,0.9,1))))*(S639/T639)+(1-(IF(T639=2,0.55,IF(T639&lt;=4,0.7,IF(T639&lt;=6,0.8,IF(T639&lt;=9,0.9,1))))))*$Y$1),1),"")</f>
        <v>7.3</v>
      </c>
      <c r="V639" s="37">
        <v>6.6</v>
      </c>
      <c r="W639" s="38"/>
    </row>
    <row r="640" ht="24" customHeight="1" spans="1:23" x14ac:dyDescent="0.25">
      <c r="A640" s="31">
        <v>965</v>
      </c>
      <c r="B640" s="32" t="s">
        <v>713</v>
      </c>
      <c r="C640" s="33" t="s">
        <v>24</v>
      </c>
      <c r="D640" s="34">
        <v>2007</v>
      </c>
      <c r="E640" s="34" t="s">
        <v>27</v>
      </c>
      <c r="F640" s="6"/>
      <c r="G640" s="6"/>
      <c r="H640" s="6"/>
      <c r="I640" s="6">
        <v>8</v>
      </c>
      <c r="J640" s="6"/>
      <c r="K640" s="6"/>
      <c r="L640" s="6"/>
      <c r="M640" s="6"/>
      <c r="N640" s="6"/>
      <c r="O640" s="6"/>
      <c r="P640" s="6"/>
      <c r="Q640" s="6"/>
      <c r="R640" s="6"/>
      <c r="S640" s="35">
        <f>SUM(F640:R640)</f>
        <v>8</v>
      </c>
      <c r="T640" s="35">
        <f>COUNT(F640:R640)</f>
        <v>1</v>
      </c>
      <c r="U640" s="36">
        <f>IF(T640&gt;=2,ROUND((IF(T640=2,0.55,IF(T640&lt;=4,0.7,IF(T640&lt;=6,0.8,IF(T640&lt;=9,0.9,1))))*(S640/T640)+(1-(IF(T640=2,0.55,IF(T640&lt;=4,0.7,IF(T640&lt;=6,0.8,IF(T640&lt;=9,0.9,1))))))*$Y$1),1),"")</f>
      </c>
      <c r="V640" s="37">
        <v>6.6</v>
      </c>
      <c r="W640" s="38"/>
    </row>
    <row r="641" ht="24" customHeight="1" spans="1:23" x14ac:dyDescent="0.25">
      <c r="A641" s="42">
        <v>936</v>
      </c>
      <c r="B641" s="32" t="s">
        <v>714</v>
      </c>
      <c r="C641" s="43" t="s">
        <v>24</v>
      </c>
      <c r="D641" s="44">
        <v>2019</v>
      </c>
      <c r="E641" s="44" t="s">
        <v>27</v>
      </c>
      <c r="F641" s="6">
        <v>8</v>
      </c>
      <c r="G641" s="6">
        <v>9</v>
      </c>
      <c r="H641" s="6">
        <v>8</v>
      </c>
      <c r="I641" s="6">
        <v>8</v>
      </c>
      <c r="J641" s="6">
        <v>8</v>
      </c>
      <c r="K641" s="6">
        <v>8</v>
      </c>
      <c r="L641" s="6">
        <v>8</v>
      </c>
      <c r="M641" s="6">
        <v>10</v>
      </c>
      <c r="N641" s="6">
        <v>10</v>
      </c>
      <c r="O641" s="6"/>
      <c r="P641" s="6">
        <v>10</v>
      </c>
      <c r="Q641" s="6">
        <v>8</v>
      </c>
      <c r="R641" s="6">
        <v>10</v>
      </c>
      <c r="S641" s="45">
        <f>SUM(F641:R641)</f>
        <v>105</v>
      </c>
      <c r="T641" s="45">
        <f>COUNT(F641:R641)</f>
        <v>12</v>
      </c>
      <c r="U641" s="36">
        <f>IF(T641&gt;=2,ROUND((IF(T641=2,0.55,IF(T641&lt;=4,0.7,IF(T641&lt;=6,0.8,IF(T641&lt;=9,0.9,1))))*(S641/T641)+(1-(IF(T641=2,0.55,IF(T641&lt;=4,0.7,IF(T641&lt;=6,0.8,IF(T641&lt;=9,0.9,1))))))*$Y$1),1),"")</f>
        <v>8.8</v>
      </c>
      <c r="V641" s="37">
        <v>7.7</v>
      </c>
      <c r="W641" s="38" t="s">
        <v>44</v>
      </c>
    </row>
    <row r="642" ht="24" customHeight="1" spans="1:23" x14ac:dyDescent="0.25">
      <c r="A642" s="42">
        <v>535</v>
      </c>
      <c r="B642" s="32" t="s">
        <v>715</v>
      </c>
      <c r="C642" s="43" t="s">
        <v>24</v>
      </c>
      <c r="D642" s="44">
        <v>2007</v>
      </c>
      <c r="E642" s="44" t="s">
        <v>27</v>
      </c>
      <c r="F642" s="6">
        <v>6</v>
      </c>
      <c r="G642" s="6">
        <v>8</v>
      </c>
      <c r="H642" s="6">
        <v>8</v>
      </c>
      <c r="I642" s="6">
        <v>6</v>
      </c>
      <c r="J642" s="6">
        <v>8</v>
      </c>
      <c r="K642" s="6">
        <v>10</v>
      </c>
      <c r="L642" s="6">
        <v>6</v>
      </c>
      <c r="M642" s="6">
        <v>8</v>
      </c>
      <c r="N642" s="6">
        <v>6</v>
      </c>
      <c r="O642" s="6"/>
      <c r="P642" s="6">
        <v>6</v>
      </c>
      <c r="Q642" s="6">
        <v>10</v>
      </c>
      <c r="R642" s="6">
        <v>6</v>
      </c>
      <c r="S642" s="45">
        <f>SUM(F642:R642)</f>
        <v>88</v>
      </c>
      <c r="T642" s="45">
        <f>COUNT(F642:R642)</f>
        <v>12</v>
      </c>
      <c r="U642" s="36">
        <f>IF(T642&gt;=2,ROUND((IF(T642=2,0.55,IF(T642&lt;=4,0.7,IF(T642&lt;=6,0.8,IF(T642&lt;=9,0.9,1))))*(S642/T642)+(1-(IF(T642=2,0.55,IF(T642&lt;=4,0.7,IF(T642&lt;=6,0.8,IF(T642&lt;=9,0.9,1))))))*$Y$1),1),"")</f>
        <v>7.3</v>
      </c>
      <c r="V642" s="37">
        <v>7.4</v>
      </c>
      <c r="W642" s="38" t="s">
        <v>44</v>
      </c>
    </row>
    <row r="643" ht="24" customHeight="1" spans="1:23" x14ac:dyDescent="0.25">
      <c r="A643" s="31">
        <v>672</v>
      </c>
      <c r="B643" s="32" t="s">
        <v>716</v>
      </c>
      <c r="C643" s="33" t="s">
        <v>24</v>
      </c>
      <c r="D643" s="34">
        <v>2012</v>
      </c>
      <c r="E643" s="34" t="s">
        <v>30</v>
      </c>
      <c r="F643" s="6"/>
      <c r="G643" s="6"/>
      <c r="H643" s="6"/>
      <c r="I643" s="6"/>
      <c r="J643" s="6"/>
      <c r="K643" s="6"/>
      <c r="L643" s="6">
        <v>6</v>
      </c>
      <c r="M643" s="6"/>
      <c r="N643" s="6"/>
      <c r="O643" s="6"/>
      <c r="P643" s="6">
        <v>6</v>
      </c>
      <c r="Q643" s="6"/>
      <c r="R643" s="6"/>
      <c r="S643" s="35">
        <f>SUM(F643:R643)</f>
        <v>12</v>
      </c>
      <c r="T643" s="35">
        <f>COUNT(F643:R643)</f>
        <v>2</v>
      </c>
      <c r="U643" s="36">
        <f>IF(T643&gt;=2,ROUND((IF(T643=2,0.55,IF(T643&lt;=4,0.7,IF(T643&lt;=6,0.8,IF(T643&lt;=9,0.9,1))))*(S643/T643)+(1-(IF(T643=2,0.55,IF(T643&lt;=4,0.7,IF(T643&lt;=6,0.8,IF(T643&lt;=9,0.9,1))))))*$Y$1),1),"")</f>
        <v>6.9</v>
      </c>
      <c r="V643" s="37">
        <v>7.1</v>
      </c>
      <c r="W643" s="38"/>
    </row>
    <row r="644" ht="24" customHeight="1" spans="1:23" x14ac:dyDescent="0.25">
      <c r="A644" s="31">
        <v>1433</v>
      </c>
      <c r="B644" s="32" t="s">
        <v>717</v>
      </c>
      <c r="C644" s="33" t="s">
        <v>24</v>
      </c>
      <c r="D644" s="34">
        <v>2009</v>
      </c>
      <c r="E644" s="34" t="s">
        <v>30</v>
      </c>
      <c r="F644" s="6">
        <v>8</v>
      </c>
      <c r="G644" s="6"/>
      <c r="H644" s="6"/>
      <c r="I644" s="6"/>
      <c r="J644" s="6"/>
      <c r="K644" s="6">
        <v>8</v>
      </c>
      <c r="L644" s="6"/>
      <c r="M644" s="6"/>
      <c r="N644" s="6"/>
      <c r="O644" s="6"/>
      <c r="P644" s="6"/>
      <c r="Q644" s="6">
        <v>8</v>
      </c>
      <c r="R644" s="6"/>
      <c r="S644" s="35">
        <f>SUM(F644:R644)</f>
        <v>24</v>
      </c>
      <c r="T644" s="35">
        <f>COUNT(F644:R644)</f>
        <v>3</v>
      </c>
      <c r="U644" s="36">
        <f>IF(T644&gt;=2,ROUND((IF(T644=2,0.55,IF(T644&lt;=4,0.7,IF(T644&lt;=6,0.8,IF(T644&lt;=9,0.9,1))))*(S644/T644)+(1-(IF(T644=2,0.55,IF(T644&lt;=4,0.7,IF(T644&lt;=6,0.8,IF(T644&lt;=9,0.9,1))))))*$Y$1),1),"")</f>
        <v>8</v>
      </c>
      <c r="V644" s="37">
        <v>6.7</v>
      </c>
      <c r="W644" s="38"/>
    </row>
    <row r="645" ht="24" customHeight="1" spans="1:23" x14ac:dyDescent="0.25">
      <c r="A645" s="31">
        <v>999</v>
      </c>
      <c r="B645" s="32" t="s">
        <v>718</v>
      </c>
      <c r="C645" s="33" t="s">
        <v>24</v>
      </c>
      <c r="D645" s="34">
        <v>1996</v>
      </c>
      <c r="E645" s="34" t="s">
        <v>30</v>
      </c>
      <c r="F645" s="6">
        <v>6</v>
      </c>
      <c r="G645" s="6"/>
      <c r="H645" s="6"/>
      <c r="I645" s="6"/>
      <c r="J645" s="6"/>
      <c r="K645" s="6">
        <v>6</v>
      </c>
      <c r="L645" s="6"/>
      <c r="M645" s="6"/>
      <c r="N645" s="6"/>
      <c r="O645" s="6"/>
      <c r="P645" s="6"/>
      <c r="Q645" s="6">
        <v>6</v>
      </c>
      <c r="R645" s="6"/>
      <c r="S645" s="35">
        <f>SUM(F645:R645)</f>
        <v>18</v>
      </c>
      <c r="T645" s="35">
        <f>COUNT(F645:R645)</f>
        <v>3</v>
      </c>
      <c r="U645" s="36">
        <f>IF(T645&gt;=2,ROUND((IF(T645=2,0.55,IF(T645&lt;=4,0.7,IF(T645&lt;=6,0.8,IF(T645&lt;=9,0.9,1))))*(S645/T645)+(1-(IF(T645=2,0.55,IF(T645&lt;=4,0.7,IF(T645&lt;=6,0.8,IF(T645&lt;=9,0.9,1))))))*$Y$1),1),"")</f>
        <v>6.6</v>
      </c>
      <c r="V645" s="37">
        <v>6.2</v>
      </c>
      <c r="W645" s="38"/>
    </row>
    <row r="646" ht="24" customHeight="1" spans="1:23" s="39" customFormat="1" x14ac:dyDescent="0.25">
      <c r="A646" s="31">
        <v>1242</v>
      </c>
      <c r="B646" s="32" t="s">
        <v>719</v>
      </c>
      <c r="C646" s="33" t="s">
        <v>24</v>
      </c>
      <c r="D646" s="34">
        <v>2018</v>
      </c>
      <c r="E646" s="34" t="s">
        <v>25</v>
      </c>
      <c r="F646" s="6"/>
      <c r="G646" s="6"/>
      <c r="H646" s="6"/>
      <c r="I646" s="6"/>
      <c r="J646" s="6">
        <v>10</v>
      </c>
      <c r="K646" s="6"/>
      <c r="L646" s="6">
        <v>8</v>
      </c>
      <c r="M646" s="6"/>
      <c r="N646" s="6"/>
      <c r="O646" s="6"/>
      <c r="P646" s="6"/>
      <c r="Q646" s="6"/>
      <c r="R646" s="6"/>
      <c r="S646" s="35">
        <f>SUM(F646:R646)</f>
        <v>18</v>
      </c>
      <c r="T646" s="35">
        <f>COUNT(F646:R646)</f>
        <v>2</v>
      </c>
      <c r="U646" s="36">
        <f>IF(T646&gt;=2,ROUND((IF(T646=2,0.55,IF(T646&lt;=4,0.7,IF(T646&lt;=6,0.8,IF(T646&lt;=9,0.9,1))))*(S646/T646)+(1-(IF(T646=2,0.55,IF(T646&lt;=4,0.7,IF(T646&lt;=6,0.8,IF(T646&lt;=9,0.9,1))))))*$Y$1),1),"")</f>
        <v>8.6</v>
      </c>
      <c r="V646" s="37">
        <v>8</v>
      </c>
      <c r="W646" s="38"/>
    </row>
    <row r="647" ht="24" customHeight="1" spans="1:23" x14ac:dyDescent="0.25">
      <c r="A647" s="31">
        <v>534</v>
      </c>
      <c r="B647" s="32" t="s">
        <v>720</v>
      </c>
      <c r="C647" s="33" t="s">
        <v>24</v>
      </c>
      <c r="D647" s="34">
        <v>1991</v>
      </c>
      <c r="E647" s="34" t="s">
        <v>33</v>
      </c>
      <c r="F647" s="6">
        <v>10</v>
      </c>
      <c r="G647" s="6">
        <v>10</v>
      </c>
      <c r="H647" s="6">
        <v>10</v>
      </c>
      <c r="I647" s="6">
        <v>10</v>
      </c>
      <c r="J647" s="6">
        <v>10</v>
      </c>
      <c r="K647" s="6">
        <v>10</v>
      </c>
      <c r="L647" s="6">
        <v>10</v>
      </c>
      <c r="M647" s="6">
        <v>9</v>
      </c>
      <c r="N647" s="6">
        <v>9</v>
      </c>
      <c r="O647" s="6"/>
      <c r="P647" s="6">
        <v>8</v>
      </c>
      <c r="Q647" s="6">
        <v>10</v>
      </c>
      <c r="R647" s="6">
        <v>10</v>
      </c>
      <c r="S647" s="35">
        <f>SUM(F647:R647)</f>
        <v>116</v>
      </c>
      <c r="T647" s="35">
        <f>COUNT(F647:R647)</f>
        <v>12</v>
      </c>
      <c r="U647" s="36">
        <f>IF(T647&gt;=2,ROUND((IF(T647=2,0.55,IF(T647&lt;=4,0.7,IF(T647&lt;=6,0.8,IF(T647&lt;=9,0.9,1))))*(S647/T647)+(1-(IF(T647=2,0.55,IF(T647&lt;=4,0.7,IF(T647&lt;=6,0.8,IF(T647&lt;=9,0.9,1))))))*$Y$1),1),"")</f>
        <v>9.7</v>
      </c>
      <c r="V647" s="37">
        <v>8.6</v>
      </c>
      <c r="W647" s="38"/>
    </row>
    <row r="648" ht="24" customHeight="1" spans="1:23" x14ac:dyDescent="0.25">
      <c r="A648" s="31">
        <v>533</v>
      </c>
      <c r="B648" s="32" t="s">
        <v>721</v>
      </c>
      <c r="C648" s="33" t="s">
        <v>24</v>
      </c>
      <c r="D648" s="34">
        <v>1998</v>
      </c>
      <c r="E648" s="34" t="s">
        <v>30</v>
      </c>
      <c r="F648" s="6"/>
      <c r="G648" s="6">
        <v>10</v>
      </c>
      <c r="H648" s="6"/>
      <c r="I648" s="6"/>
      <c r="J648" s="6">
        <v>8</v>
      </c>
      <c r="K648" s="6">
        <v>8</v>
      </c>
      <c r="L648" s="6">
        <v>8</v>
      </c>
      <c r="M648" s="6"/>
      <c r="N648" s="6"/>
      <c r="O648" s="6"/>
      <c r="P648" s="6">
        <v>8</v>
      </c>
      <c r="Q648" s="6">
        <v>8</v>
      </c>
      <c r="R648" s="6">
        <v>6</v>
      </c>
      <c r="S648" s="35">
        <f>SUM(F648:R648)</f>
        <v>56</v>
      </c>
      <c r="T648" s="35">
        <f>COUNT(F648:R648)</f>
        <v>7</v>
      </c>
      <c r="U648" s="36">
        <f>IF(T648&gt;=2,ROUND((IF(T648=2,0.55,IF(T648&lt;=4,0.7,IF(T648&lt;=6,0.8,IF(T648&lt;=9,0.9,1))))*(S648/T648)+(1-(IF(T648=2,0.55,IF(T648&lt;=4,0.7,IF(T648&lt;=6,0.8,IF(T648&lt;=9,0.9,1))))))*$Y$1),1),"")</f>
        <v>8</v>
      </c>
      <c r="V648" s="37">
        <v>8.2</v>
      </c>
      <c r="W648" s="38"/>
    </row>
    <row r="649" ht="24" customHeight="1" spans="1:23" x14ac:dyDescent="0.25">
      <c r="A649" s="31">
        <v>105</v>
      </c>
      <c r="B649" s="32" t="s">
        <v>722</v>
      </c>
      <c r="C649" s="33" t="s">
        <v>24</v>
      </c>
      <c r="D649" s="34">
        <v>1999</v>
      </c>
      <c r="E649" s="34" t="s">
        <v>92</v>
      </c>
      <c r="F649" s="6">
        <v>8</v>
      </c>
      <c r="G649" s="6">
        <v>9</v>
      </c>
      <c r="H649" s="6">
        <v>8</v>
      </c>
      <c r="I649" s="6">
        <v>8</v>
      </c>
      <c r="J649" s="6"/>
      <c r="K649" s="6">
        <v>10</v>
      </c>
      <c r="L649" s="6">
        <v>10</v>
      </c>
      <c r="M649" s="6">
        <v>10</v>
      </c>
      <c r="N649" s="6">
        <v>10</v>
      </c>
      <c r="O649" s="6"/>
      <c r="P649" s="6">
        <v>10</v>
      </c>
      <c r="Q649" s="6">
        <v>10</v>
      </c>
      <c r="R649" s="6">
        <v>10</v>
      </c>
      <c r="S649" s="35">
        <f>SUM(F649:R649)</f>
        <v>103</v>
      </c>
      <c r="T649" s="35">
        <f>COUNT(F649:R649)</f>
        <v>11</v>
      </c>
      <c r="U649" s="36">
        <f>IF(T649&gt;=2,ROUND((IF(T649=2,0.55,IF(T649&lt;=4,0.7,IF(T649&lt;=6,0.8,IF(T649&lt;=9,0.9,1))))*(S649/T649)+(1-(IF(T649=2,0.55,IF(T649&lt;=4,0.7,IF(T649&lt;=6,0.8,IF(T649&lt;=9,0.9,1))))))*$Y$1),1),"")</f>
        <v>9.4</v>
      </c>
      <c r="V649" s="37">
        <v>8.2</v>
      </c>
      <c r="W649" s="38"/>
    </row>
    <row r="650" ht="24" customHeight="1" spans="1:23" x14ac:dyDescent="0.25">
      <c r="A650" s="31">
        <v>1826</v>
      </c>
      <c r="B650" s="32" t="s">
        <v>723</v>
      </c>
      <c r="C650" s="33" t="s">
        <v>24</v>
      </c>
      <c r="D650" s="34">
        <v>2023</v>
      </c>
      <c r="E650" s="34" t="s">
        <v>25</v>
      </c>
      <c r="F650" s="6"/>
      <c r="G650" s="6"/>
      <c r="H650" s="6"/>
      <c r="I650" s="6"/>
      <c r="J650" s="6"/>
      <c r="K650" s="6"/>
      <c r="L650" s="6">
        <v>7</v>
      </c>
      <c r="M650" s="6"/>
      <c r="N650" s="6"/>
      <c r="O650" s="6"/>
      <c r="P650" s="6"/>
      <c r="Q650" s="6"/>
      <c r="R650" s="6"/>
      <c r="S650" s="35">
        <f>SUM(F650:R650)</f>
        <v>7</v>
      </c>
      <c r="T650" s="35">
        <f>COUNT(F650:R650)</f>
        <v>1</v>
      </c>
      <c r="U650" s="36">
        <f>IF(T650&gt;=2,ROUND((IF(T650=2,0.55,IF(T650&lt;=4,0.7,IF(T650&lt;=6,0.8,IF(T650&lt;=9,0.9,1))))*(S650/T650)+(1-(IF(T650=2,0.55,IF(T650&lt;=4,0.7,IF(T650&lt;=6,0.8,IF(T650&lt;=9,0.9,1))))))*$Y$1),1),"")</f>
      </c>
      <c r="V650" s="37">
        <v>7</v>
      </c>
      <c r="W650" s="38"/>
    </row>
    <row r="651" ht="24" customHeight="1" spans="1:23" s="39" customFormat="1" x14ac:dyDescent="0.25">
      <c r="A651" s="31">
        <v>852</v>
      </c>
      <c r="B651" s="32" t="s">
        <v>724</v>
      </c>
      <c r="C651" s="33" t="s">
        <v>24</v>
      </c>
      <c r="D651" s="34">
        <v>2020</v>
      </c>
      <c r="E651" s="34" t="s">
        <v>30</v>
      </c>
      <c r="F651" s="6">
        <v>6</v>
      </c>
      <c r="G651" s="6"/>
      <c r="H651" s="6"/>
      <c r="I651" s="6"/>
      <c r="J651" s="6"/>
      <c r="K651" s="6"/>
      <c r="L651" s="6">
        <v>6</v>
      </c>
      <c r="M651" s="6"/>
      <c r="N651" s="6"/>
      <c r="O651" s="6"/>
      <c r="P651" s="6"/>
      <c r="Q651" s="6"/>
      <c r="R651" s="6">
        <v>6</v>
      </c>
      <c r="S651" s="35">
        <f>SUM(F651:R651)</f>
        <v>18</v>
      </c>
      <c r="T651" s="35">
        <f>COUNT(F651:R651)</f>
        <v>3</v>
      </c>
      <c r="U651" s="36">
        <f>IF(T651&gt;=2,ROUND((IF(T651=2,0.55,IF(T651&lt;=4,0.7,IF(T651&lt;=6,0.8,IF(T651&lt;=9,0.9,1))))*(S651/T651)+(1-(IF(T651=2,0.55,IF(T651&lt;=4,0.7,IF(T651&lt;=6,0.8,IF(T651&lt;=9,0.9,1))))))*$Y$1),1),"")</f>
        <v>6.6</v>
      </c>
      <c r="V651" s="37">
        <v>6.6</v>
      </c>
      <c r="W651" s="38"/>
    </row>
    <row r="652" ht="24" customHeight="1" spans="1:23" s="39" customFormat="1" x14ac:dyDescent="0.25">
      <c r="A652" s="42">
        <v>104</v>
      </c>
      <c r="B652" s="32" t="s">
        <v>725</v>
      </c>
      <c r="C652" s="43" t="s">
        <v>24</v>
      </c>
      <c r="D652" s="44">
        <v>2009</v>
      </c>
      <c r="E652" s="44" t="s">
        <v>27</v>
      </c>
      <c r="F652" s="6">
        <v>10</v>
      </c>
      <c r="G652" s="6">
        <v>10</v>
      </c>
      <c r="H652" s="6">
        <v>8</v>
      </c>
      <c r="I652" s="6">
        <v>10</v>
      </c>
      <c r="J652" s="6">
        <v>8</v>
      </c>
      <c r="K652" s="6">
        <v>8</v>
      </c>
      <c r="L652" s="6">
        <v>8</v>
      </c>
      <c r="M652" s="6">
        <v>10</v>
      </c>
      <c r="N652" s="6">
        <v>10</v>
      </c>
      <c r="O652" s="6">
        <v>10</v>
      </c>
      <c r="P652" s="6">
        <v>10</v>
      </c>
      <c r="Q652" s="6">
        <v>8</v>
      </c>
      <c r="R652" s="6">
        <v>10</v>
      </c>
      <c r="S652" s="45">
        <f>SUM(F652:R652)</f>
        <v>120</v>
      </c>
      <c r="T652" s="45">
        <f>COUNT(F652:R652)</f>
        <v>13</v>
      </c>
      <c r="U652" s="36">
        <f>IF(T652&gt;=2,ROUND((IF(T652=2,0.55,IF(T652&lt;=4,0.7,IF(T652&lt;=6,0.8,IF(T652&lt;=9,0.9,1))))*(S652/T652)+(1-(IF(T652=2,0.55,IF(T652&lt;=4,0.7,IF(T652&lt;=6,0.8,IF(T652&lt;=9,0.9,1))))))*$Y$1),1),"")</f>
        <v>9.2</v>
      </c>
      <c r="V652" s="37">
        <v>8.2</v>
      </c>
      <c r="W652" s="38" t="s">
        <v>44</v>
      </c>
    </row>
    <row r="653" ht="24" customHeight="1" spans="1:23" x14ac:dyDescent="0.25">
      <c r="A653" s="31">
        <v>792</v>
      </c>
      <c r="B653" s="32" t="s">
        <v>726</v>
      </c>
      <c r="C653" s="33" t="s">
        <v>24</v>
      </c>
      <c r="D653" s="34">
        <v>2005</v>
      </c>
      <c r="E653" s="34" t="s">
        <v>52</v>
      </c>
      <c r="F653" s="6"/>
      <c r="G653" s="6">
        <v>7</v>
      </c>
      <c r="H653" s="6"/>
      <c r="I653" s="6"/>
      <c r="J653" s="6"/>
      <c r="K653" s="6">
        <v>8</v>
      </c>
      <c r="L653" s="6">
        <v>10</v>
      </c>
      <c r="M653" s="6"/>
      <c r="N653" s="6"/>
      <c r="O653" s="6"/>
      <c r="P653" s="6">
        <v>8</v>
      </c>
      <c r="Q653" s="6">
        <v>8</v>
      </c>
      <c r="R653" s="6"/>
      <c r="S653" s="35">
        <f>SUM(F653:R653)</f>
        <v>41</v>
      </c>
      <c r="T653" s="35">
        <f>COUNT(F653:R653)</f>
        <v>5</v>
      </c>
      <c r="U653" s="36">
        <f>IF(T653&gt;=2,ROUND((IF(T653=2,0.55,IF(T653&lt;=4,0.7,IF(T653&lt;=6,0.8,IF(T653&lt;=9,0.9,1))))*(S653/T653)+(1-(IF(T653=2,0.55,IF(T653&lt;=4,0.7,IF(T653&lt;=6,0.8,IF(T653&lt;=9,0.9,1))))))*$Y$1),1),"")</f>
        <v>8.2</v>
      </c>
      <c r="V653" s="37">
        <v>7.7</v>
      </c>
      <c r="W653" s="38"/>
    </row>
    <row r="654" ht="24" customHeight="1" spans="1:23" x14ac:dyDescent="0.25">
      <c r="A654" s="31">
        <v>421</v>
      </c>
      <c r="B654" s="32" t="s">
        <v>727</v>
      </c>
      <c r="C654" s="33" t="s">
        <v>24</v>
      </c>
      <c r="D654" s="34">
        <v>2006</v>
      </c>
      <c r="E654" s="34" t="s">
        <v>122</v>
      </c>
      <c r="F654" s="6">
        <v>8</v>
      </c>
      <c r="G654" s="6">
        <v>8</v>
      </c>
      <c r="H654" s="6"/>
      <c r="I654" s="6"/>
      <c r="J654" s="6"/>
      <c r="K654" s="6"/>
      <c r="L654" s="6"/>
      <c r="M654" s="6"/>
      <c r="N654" s="6">
        <v>9</v>
      </c>
      <c r="O654" s="6"/>
      <c r="P654" s="6">
        <v>8</v>
      </c>
      <c r="Q654" s="6"/>
      <c r="R654" s="6"/>
      <c r="S654" s="35">
        <f>SUM(F654:R654)</f>
        <v>33</v>
      </c>
      <c r="T654" s="35">
        <f>COUNT(F654:R654)</f>
        <v>4</v>
      </c>
      <c r="U654" s="36">
        <f>IF(T654&gt;=2,ROUND((IF(T654=2,0.55,IF(T654&lt;=4,0.7,IF(T654&lt;=6,0.8,IF(T654&lt;=9,0.9,1))))*(S654/T654)+(1-(IF(T654=2,0.55,IF(T654&lt;=4,0.7,IF(T654&lt;=6,0.8,IF(T654&lt;=9,0.9,1))))))*$Y$1),1),"")</f>
        <v>8.2</v>
      </c>
      <c r="V654" s="37">
        <v>6.7</v>
      </c>
      <c r="W654" s="38"/>
    </row>
    <row r="655" ht="24" customHeight="1" spans="1:23" x14ac:dyDescent="0.25">
      <c r="A655" s="31">
        <v>1698</v>
      </c>
      <c r="B655" s="32" t="s">
        <v>728</v>
      </c>
      <c r="C655" s="33" t="s">
        <v>24</v>
      </c>
      <c r="D655" s="34">
        <v>2003</v>
      </c>
      <c r="E655" s="34" t="s">
        <v>30</v>
      </c>
      <c r="F655" s="6"/>
      <c r="G655" s="6"/>
      <c r="H655" s="6"/>
      <c r="I655" s="6"/>
      <c r="J655" s="6">
        <v>8</v>
      </c>
      <c r="K655" s="6"/>
      <c r="L655" s="6"/>
      <c r="M655" s="6"/>
      <c r="N655" s="6"/>
      <c r="O655" s="6"/>
      <c r="P655" s="6"/>
      <c r="Q655" s="6"/>
      <c r="R655" s="6"/>
      <c r="S655" s="35">
        <f>SUM(F655:R655)</f>
        <v>8</v>
      </c>
      <c r="T655" s="35">
        <f>COUNT(F655:R655)</f>
        <v>1</v>
      </c>
      <c r="U655" s="36">
        <f>IF(T655&gt;=2,ROUND((IF(T655=2,0.55,IF(T655&lt;=4,0.7,IF(T655&lt;=6,0.8,IF(T655&lt;=9,0.9,1))))*(S655/T655)+(1-(IF(T655=2,0.55,IF(T655&lt;=4,0.7,IF(T655&lt;=6,0.8,IF(T655&lt;=9,0.9,1))))))*$Y$1),1),"")</f>
      </c>
      <c r="V655" s="37">
        <v>7.9</v>
      </c>
      <c r="W655" s="38"/>
    </row>
    <row r="656" ht="24" customHeight="1" spans="1:23" x14ac:dyDescent="0.25">
      <c r="A656" s="31">
        <v>1023</v>
      </c>
      <c r="B656" s="32" t="s">
        <v>729</v>
      </c>
      <c r="C656" s="33" t="s">
        <v>24</v>
      </c>
      <c r="D656" s="34">
        <v>1996</v>
      </c>
      <c r="E656" s="34" t="s">
        <v>30</v>
      </c>
      <c r="F656" s="6"/>
      <c r="G656" s="6"/>
      <c r="H656" s="6"/>
      <c r="I656" s="6"/>
      <c r="J656" s="6">
        <v>8</v>
      </c>
      <c r="K656" s="6">
        <v>6</v>
      </c>
      <c r="L656" s="6"/>
      <c r="M656" s="6"/>
      <c r="N656" s="6"/>
      <c r="O656" s="6"/>
      <c r="P656" s="6"/>
      <c r="Q656" s="6">
        <v>6</v>
      </c>
      <c r="R656" s="6"/>
      <c r="S656" s="35">
        <f>SUM(F656:R656)</f>
        <v>20</v>
      </c>
      <c r="T656" s="35">
        <f>COUNT(F656:R656)</f>
        <v>3</v>
      </c>
      <c r="U656" s="36">
        <f>IF(T656&gt;=2,ROUND((IF(T656=2,0.55,IF(T656&lt;=4,0.7,IF(T656&lt;=6,0.8,IF(T656&lt;=9,0.9,1))))*(S656/T656)+(1-(IF(T656=2,0.55,IF(T656&lt;=4,0.7,IF(T656&lt;=6,0.8,IF(T656&lt;=9,0.9,1))))))*$Y$1),1),"")</f>
        <v>7.1</v>
      </c>
      <c r="V656" s="37">
        <v>6</v>
      </c>
      <c r="W656" s="38"/>
    </row>
    <row r="657" ht="24" customHeight="1" spans="1:23" x14ac:dyDescent="0.25">
      <c r="A657" s="31">
        <v>900</v>
      </c>
      <c r="B657" s="32" t="s">
        <v>729</v>
      </c>
      <c r="C657" s="33" t="s">
        <v>24</v>
      </c>
      <c r="D657" s="34">
        <v>2006</v>
      </c>
      <c r="E657" s="34" t="s">
        <v>30</v>
      </c>
      <c r="F657" s="6"/>
      <c r="G657" s="6"/>
      <c r="H657" s="6"/>
      <c r="I657" s="6">
        <v>8</v>
      </c>
      <c r="J657" s="6"/>
      <c r="K657" s="6">
        <v>8</v>
      </c>
      <c r="L657" s="6"/>
      <c r="M657" s="6"/>
      <c r="N657" s="6"/>
      <c r="O657" s="6"/>
      <c r="P657" s="6"/>
      <c r="Q657" s="6">
        <v>8</v>
      </c>
      <c r="R657" s="6"/>
      <c r="S657" s="35">
        <f>SUM(F657:R657)</f>
        <v>24</v>
      </c>
      <c r="T657" s="35">
        <f>COUNT(F657:R657)</f>
        <v>3</v>
      </c>
      <c r="U657" s="36">
        <f>IF(T657&gt;=2,ROUND((IF(T657=2,0.55,IF(T657&lt;=4,0.7,IF(T657&lt;=6,0.8,IF(T657&lt;=9,0.9,1))))*(S657/T657)+(1-(IF(T657=2,0.55,IF(T657&lt;=4,0.7,IF(T657&lt;=6,0.8,IF(T657&lt;=9,0.9,1))))))*$Y$1),1),"")</f>
        <v>8</v>
      </c>
      <c r="V657" s="37"/>
      <c r="W657" s="38"/>
    </row>
    <row r="658" ht="24" customHeight="1" spans="1:23" s="39" customFormat="1" x14ac:dyDescent="0.25">
      <c r="A658" s="42">
        <v>1115</v>
      </c>
      <c r="B658" s="32" t="s">
        <v>730</v>
      </c>
      <c r="C658" s="43" t="s">
        <v>158</v>
      </c>
      <c r="D658" s="44">
        <v>2014</v>
      </c>
      <c r="E658" s="44" t="s">
        <v>731</v>
      </c>
      <c r="F658" s="6">
        <v>10</v>
      </c>
      <c r="G658" s="6">
        <v>10</v>
      </c>
      <c r="H658" s="6">
        <v>10</v>
      </c>
      <c r="I658" s="6">
        <v>10</v>
      </c>
      <c r="J658" s="6"/>
      <c r="K658" s="6">
        <v>10</v>
      </c>
      <c r="L658" s="6">
        <v>10</v>
      </c>
      <c r="M658" s="6">
        <v>10</v>
      </c>
      <c r="N658" s="6">
        <v>10</v>
      </c>
      <c r="O658" s="6">
        <v>10</v>
      </c>
      <c r="P658" s="6">
        <v>10</v>
      </c>
      <c r="Q658" s="6">
        <v>10</v>
      </c>
      <c r="R658" s="6"/>
      <c r="S658" s="45">
        <f>SUM(F658:R658)</f>
        <v>110</v>
      </c>
      <c r="T658" s="45">
        <f>COUNT(F658:R658)</f>
        <v>11</v>
      </c>
      <c r="U658" s="36">
        <f>IF(T658&gt;=2,ROUND((IF(T658=2,0.55,IF(T658&lt;=4,0.7,IF(T658&lt;=6,0.8,IF(T658&lt;=9,0.9,1))))*(S658/T658)+(1-(IF(T658=2,0.55,IF(T658&lt;=4,0.7,IF(T658&lt;=6,0.8,IF(T658&lt;=9,0.9,1))))))*$Y$1),1),"")</f>
        <v>10</v>
      </c>
      <c r="V658" s="37">
        <v>8.4</v>
      </c>
      <c r="W658" s="38" t="s">
        <v>44</v>
      </c>
    </row>
    <row r="659" ht="24" customHeight="1" spans="1:23" x14ac:dyDescent="0.25">
      <c r="A659" s="31">
        <v>1792</v>
      </c>
      <c r="B659" s="32" t="s">
        <v>732</v>
      </c>
      <c r="C659" s="33" t="s">
        <v>24</v>
      </c>
      <c r="D659" s="34">
        <v>2023</v>
      </c>
      <c r="E659" s="34" t="s">
        <v>48</v>
      </c>
      <c r="F659" s="6">
        <v>6</v>
      </c>
      <c r="G659" s="6">
        <v>8</v>
      </c>
      <c r="H659" s="6"/>
      <c r="I659" s="6"/>
      <c r="J659" s="6">
        <v>8</v>
      </c>
      <c r="K659" s="6"/>
      <c r="L659" s="6">
        <v>7</v>
      </c>
      <c r="M659" s="6"/>
      <c r="N659" s="6"/>
      <c r="O659" s="6"/>
      <c r="P659" s="6">
        <v>7</v>
      </c>
      <c r="Q659" s="6"/>
      <c r="R659" s="6"/>
      <c r="S659" s="35">
        <f>SUM(F659:R659)</f>
        <v>36</v>
      </c>
      <c r="T659" s="35">
        <f>COUNT(F659:R659)</f>
        <v>5</v>
      </c>
      <c r="U659" s="36">
        <f>IF(T659&gt;=2,ROUND((IF(T659=2,0.55,IF(T659&lt;=4,0.7,IF(T659&lt;=6,0.8,IF(T659&lt;=9,0.9,1))))*(S659/T659)+(1-(IF(T659=2,0.55,IF(T659&lt;=4,0.7,IF(T659&lt;=6,0.8,IF(T659&lt;=9,0.9,1))))))*$Y$1),1),"")</f>
        <v>7.4</v>
      </c>
      <c r="V659" s="37">
        <v>7.4</v>
      </c>
      <c r="W659" s="38"/>
    </row>
    <row r="660" ht="24" customHeight="1" spans="1:23" x14ac:dyDescent="0.25">
      <c r="A660" s="31">
        <v>1886</v>
      </c>
      <c r="B660" s="32" t="s">
        <v>733</v>
      </c>
      <c r="C660" s="33" t="s">
        <v>24</v>
      </c>
      <c r="D660" s="34">
        <v>1990</v>
      </c>
      <c r="E660" s="34" t="s">
        <v>27</v>
      </c>
      <c r="F660" s="6">
        <v>8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35">
        <f>SUM(F660:R660)</f>
        <v>8</v>
      </c>
      <c r="T660" s="35">
        <f>COUNT(F660:R660)</f>
        <v>1</v>
      </c>
      <c r="U660" s="36">
        <f>IF(T660&gt;=2,ROUND((IF(T660=2,0.55,IF(T660&lt;=4,0.7,IF(T660&lt;=6,0.8,IF(T660&lt;=9,0.9,1))))*(S660/T660)+(1-(IF(T660=2,0.55,IF(T660&lt;=4,0.7,IF(T660&lt;=6,0.8,IF(T660&lt;=9,0.9,1))))))*$Y$1),1),"")</f>
      </c>
      <c r="V660" s="37">
        <v>7.1</v>
      </c>
      <c r="W660" s="38"/>
    </row>
    <row r="661" ht="24" customHeight="1" spans="1:23" s="39" customFormat="1" x14ac:dyDescent="0.25">
      <c r="A661" s="31">
        <v>1351</v>
      </c>
      <c r="B661" s="32" t="s">
        <v>734</v>
      </c>
      <c r="C661" s="33" t="s">
        <v>24</v>
      </c>
      <c r="D661" s="34">
        <v>2015</v>
      </c>
      <c r="E661" s="34" t="s">
        <v>30</v>
      </c>
      <c r="F661" s="6"/>
      <c r="G661" s="6"/>
      <c r="H661" s="6"/>
      <c r="I661" s="6"/>
      <c r="J661" s="6"/>
      <c r="K661" s="6"/>
      <c r="L661" s="6"/>
      <c r="M661" s="6"/>
      <c r="N661" s="6">
        <v>7</v>
      </c>
      <c r="O661" s="6"/>
      <c r="P661" s="6"/>
      <c r="Q661" s="6"/>
      <c r="R661" s="6"/>
      <c r="S661" s="35">
        <f>SUM(F661:R661)</f>
        <v>7</v>
      </c>
      <c r="T661" s="35">
        <f>COUNT(F661:R661)</f>
        <v>1</v>
      </c>
      <c r="U661" s="36">
        <f>IF(T661&gt;=2,ROUND((IF(T661=2,0.55,IF(T661&lt;=4,0.7,IF(T661&lt;=6,0.8,IF(T661&lt;=9,0.9,1))))*(S661/T661)+(1-(IF(T661=2,0.55,IF(T661&lt;=4,0.7,IF(T661&lt;=6,0.8,IF(T661&lt;=9,0.9,1))))))*$Y$1),1),"")</f>
      </c>
      <c r="V661" s="37">
        <v>6.4</v>
      </c>
      <c r="W661" s="38"/>
    </row>
    <row r="662" ht="24" customHeight="1" spans="1:23" x14ac:dyDescent="0.25">
      <c r="A662" s="31">
        <v>729</v>
      </c>
      <c r="B662" s="32" t="s">
        <v>735</v>
      </c>
      <c r="C662" s="33" t="s">
        <v>24</v>
      </c>
      <c r="D662" s="34">
        <v>2018</v>
      </c>
      <c r="E662" s="34" t="s">
        <v>27</v>
      </c>
      <c r="F662" s="6">
        <v>8</v>
      </c>
      <c r="G662" s="6"/>
      <c r="H662" s="6">
        <v>8</v>
      </c>
      <c r="I662" s="6">
        <v>8</v>
      </c>
      <c r="J662" s="6">
        <v>8</v>
      </c>
      <c r="K662" s="6">
        <v>8</v>
      </c>
      <c r="L662" s="6">
        <v>6</v>
      </c>
      <c r="M662" s="6">
        <v>8</v>
      </c>
      <c r="N662" s="6">
        <v>8</v>
      </c>
      <c r="O662" s="6"/>
      <c r="P662" s="6"/>
      <c r="Q662" s="6">
        <v>8</v>
      </c>
      <c r="R662" s="6">
        <v>8</v>
      </c>
      <c r="S662" s="35">
        <f>SUM(F662:R662)</f>
        <v>78</v>
      </c>
      <c r="T662" s="35">
        <f>COUNT(F662:R662)</f>
        <v>10</v>
      </c>
      <c r="U662" s="36">
        <f>IF(T662&gt;=2,ROUND((IF(T662=2,0.55,IF(T662&lt;=4,0.7,IF(T662&lt;=6,0.8,IF(T662&lt;=9,0.9,1))))*(S662/T662)+(1-(IF(T662=2,0.55,IF(T662&lt;=4,0.7,IF(T662&lt;=6,0.8,IF(T662&lt;=9,0.9,1))))))*$Y$1),1),"")</f>
        <v>7.8</v>
      </c>
      <c r="V662" s="37">
        <v>6.7</v>
      </c>
      <c r="W662" s="38"/>
    </row>
    <row r="663" ht="24" customHeight="1" spans="1:23" x14ac:dyDescent="0.25">
      <c r="A663" s="31">
        <v>532</v>
      </c>
      <c r="B663" s="32" t="s">
        <v>736</v>
      </c>
      <c r="C663" s="33" t="s">
        <v>24</v>
      </c>
      <c r="D663" s="34">
        <v>1998</v>
      </c>
      <c r="E663" s="34" t="s">
        <v>30</v>
      </c>
      <c r="F663" s="6"/>
      <c r="G663" s="6">
        <v>8</v>
      </c>
      <c r="H663" s="6"/>
      <c r="I663" s="6"/>
      <c r="J663" s="6"/>
      <c r="K663" s="6">
        <v>10</v>
      </c>
      <c r="L663" s="6">
        <v>10</v>
      </c>
      <c r="M663" s="6">
        <v>8</v>
      </c>
      <c r="N663" s="6">
        <v>8</v>
      </c>
      <c r="O663" s="6">
        <v>6</v>
      </c>
      <c r="P663" s="6">
        <v>8</v>
      </c>
      <c r="Q663" s="6">
        <v>10</v>
      </c>
      <c r="R663" s="6"/>
      <c r="S663" s="35">
        <f>SUM(F663:R663)</f>
        <v>68</v>
      </c>
      <c r="T663" s="35">
        <f>COUNT(F663:R663)</f>
        <v>8</v>
      </c>
      <c r="U663" s="36">
        <f>IF(T663&gt;=2,ROUND((IF(T663=2,0.55,IF(T663&lt;=4,0.7,IF(T663&lt;=6,0.8,IF(T663&lt;=9,0.9,1))))*(S663/T663)+(1-(IF(T663=2,0.55,IF(T663&lt;=4,0.7,IF(T663&lt;=6,0.8,IF(T663&lt;=9,0.9,1))))))*$Y$1),1),"")</f>
        <v>8.5</v>
      </c>
      <c r="V663" s="37">
        <v>8.6</v>
      </c>
      <c r="W663" s="38"/>
    </row>
    <row r="664" ht="24" customHeight="1" spans="1:23" x14ac:dyDescent="0.25">
      <c r="A664" s="31">
        <v>1290</v>
      </c>
      <c r="B664" s="32" t="s">
        <v>737</v>
      </c>
      <c r="C664" s="33" t="s">
        <v>24</v>
      </c>
      <c r="D664" s="34">
        <v>2022</v>
      </c>
      <c r="E664" s="34" t="s">
        <v>30</v>
      </c>
      <c r="F664" s="6"/>
      <c r="G664" s="6"/>
      <c r="H664" s="6">
        <v>8</v>
      </c>
      <c r="I664" s="6"/>
      <c r="J664" s="6"/>
      <c r="K664" s="6"/>
      <c r="L664" s="6">
        <v>8</v>
      </c>
      <c r="M664" s="6"/>
      <c r="N664" s="6"/>
      <c r="O664" s="6"/>
      <c r="P664" s="6"/>
      <c r="Q664" s="6"/>
      <c r="R664" s="6"/>
      <c r="S664" s="35">
        <f>SUM(F664:R664)</f>
        <v>16</v>
      </c>
      <c r="T664" s="35">
        <f>COUNT(F664:R664)</f>
        <v>2</v>
      </c>
      <c r="U664" s="36">
        <f>IF(T664&gt;=2,ROUND((IF(T664=2,0.55,IF(T664&lt;=4,0.7,IF(T664&lt;=6,0.8,IF(T664&lt;=9,0.9,1))))*(S664/T664)+(1-(IF(T664=2,0.55,IF(T664&lt;=4,0.7,IF(T664&lt;=6,0.8,IF(T664&lt;=9,0.9,1))))))*$Y$1),1),"")</f>
        <v>8</v>
      </c>
      <c r="V664" s="37">
        <v>7.2</v>
      </c>
      <c r="W664" s="38"/>
    </row>
    <row r="665" ht="24" customHeight="1" spans="1:23" x14ac:dyDescent="0.25">
      <c r="A665" s="31">
        <v>232</v>
      </c>
      <c r="B665" s="32" t="s">
        <v>738</v>
      </c>
      <c r="C665" s="33" t="s">
        <v>24</v>
      </c>
      <c r="D665" s="34">
        <v>2019</v>
      </c>
      <c r="E665" s="34" t="s">
        <v>27</v>
      </c>
      <c r="F665" s="6">
        <v>10</v>
      </c>
      <c r="G665" s="6">
        <v>7</v>
      </c>
      <c r="H665" s="6">
        <v>10</v>
      </c>
      <c r="I665" s="6">
        <v>10</v>
      </c>
      <c r="J665" s="6">
        <v>10</v>
      </c>
      <c r="K665" s="6">
        <v>10</v>
      </c>
      <c r="L665" s="6">
        <v>8</v>
      </c>
      <c r="M665" s="6">
        <v>8</v>
      </c>
      <c r="N665" s="6"/>
      <c r="O665" s="6">
        <v>10</v>
      </c>
      <c r="P665" s="6">
        <v>10</v>
      </c>
      <c r="Q665" s="6">
        <v>10</v>
      </c>
      <c r="R665" s="6">
        <v>10</v>
      </c>
      <c r="S665" s="35">
        <f>SUM(F665:R665)</f>
        <v>113</v>
      </c>
      <c r="T665" s="35">
        <f>COUNT(F665:R665)</f>
        <v>12</v>
      </c>
      <c r="U665" s="36">
        <f>IF(T665&gt;=2,ROUND((IF(T665=2,0.55,IF(T665&lt;=4,0.7,IF(T665&lt;=6,0.8,IF(T665&lt;=9,0.9,1))))*(S665/T665)+(1-(IF(T665=2,0.55,IF(T665&lt;=4,0.7,IF(T665&lt;=6,0.8,IF(T665&lt;=9,0.9,1))))))*$Y$1),1),"")</f>
        <v>9.4</v>
      </c>
      <c r="V665" s="37">
        <v>6.8</v>
      </c>
      <c r="W665" s="38"/>
    </row>
    <row r="666" ht="24" customHeight="1" spans="1:23" x14ac:dyDescent="0.25">
      <c r="A666" s="31">
        <v>1841</v>
      </c>
      <c r="B666" s="32" t="s">
        <v>739</v>
      </c>
      <c r="C666" s="33" t="s">
        <v>24</v>
      </c>
      <c r="D666" s="34">
        <v>1994</v>
      </c>
      <c r="E666" s="34" t="s">
        <v>25</v>
      </c>
      <c r="F666" s="6"/>
      <c r="G666" s="6">
        <v>8</v>
      </c>
      <c r="H666" s="6"/>
      <c r="I666" s="6"/>
      <c r="J666" s="6"/>
      <c r="K666" s="6"/>
      <c r="L666" s="6">
        <v>8</v>
      </c>
      <c r="M666" s="6"/>
      <c r="N666" s="6"/>
      <c r="O666" s="6"/>
      <c r="P666" s="6"/>
      <c r="Q666" s="6"/>
      <c r="R666" s="6"/>
      <c r="S666" s="35">
        <f>SUM(F666:R666)</f>
        <v>16</v>
      </c>
      <c r="T666" s="35">
        <f>COUNT(F666:R666)</f>
        <v>2</v>
      </c>
      <c r="U666" s="36">
        <f>IF(T666&gt;=2,ROUND((IF(T666=2,0.55,IF(T666&lt;=4,0.7,IF(T666&lt;=6,0.8,IF(T666&lt;=9,0.9,1))))*(S666/T666)+(1-(IF(T666=2,0.55,IF(T666&lt;=4,0.7,IF(T666&lt;=6,0.8,IF(T666&lt;=9,0.9,1))))))*$Y$1),1),"")</f>
        <v>8</v>
      </c>
      <c r="V666" s="37">
        <v>8.5</v>
      </c>
      <c r="W666" s="38"/>
    </row>
    <row r="667" ht="24" customHeight="1" spans="1:23" x14ac:dyDescent="0.25">
      <c r="A667" s="31">
        <v>1813</v>
      </c>
      <c r="B667" s="32" t="s">
        <v>740</v>
      </c>
      <c r="C667" s="33" t="s">
        <v>24</v>
      </c>
      <c r="D667" s="34">
        <v>2024</v>
      </c>
      <c r="E667" s="34" t="s">
        <v>30</v>
      </c>
      <c r="F667" s="6">
        <v>7</v>
      </c>
      <c r="G667" s="6"/>
      <c r="H667" s="6"/>
      <c r="I667" s="6"/>
      <c r="J667" s="6"/>
      <c r="K667" s="6">
        <v>7</v>
      </c>
      <c r="L667" s="6"/>
      <c r="M667" s="6">
        <v>8</v>
      </c>
      <c r="N667" s="6"/>
      <c r="O667" s="6"/>
      <c r="P667" s="6"/>
      <c r="Q667" s="6">
        <v>7</v>
      </c>
      <c r="R667" s="6"/>
      <c r="S667" s="35">
        <f>SUM(F667:R667)</f>
        <v>29</v>
      </c>
      <c r="T667" s="35">
        <f>COUNT(F667:R667)</f>
        <v>4</v>
      </c>
      <c r="U667" s="36">
        <f>IF(T667&gt;=2,ROUND((IF(T667=2,0.55,IF(T667&lt;=4,0.7,IF(T667&lt;=6,0.8,IF(T667&lt;=9,0.9,1))))*(S667/T667)+(1-(IF(T667=2,0.55,IF(T667&lt;=4,0.7,IF(T667&lt;=6,0.8,IF(T667&lt;=9,0.9,1))))))*$Y$1),1),"")</f>
        <v>7.5</v>
      </c>
      <c r="V667" s="37">
        <v>6.5</v>
      </c>
      <c r="W667" s="38"/>
    </row>
    <row r="668" ht="24" customHeight="1" spans="1:23" x14ac:dyDescent="0.25">
      <c r="A668" s="31">
        <v>1550</v>
      </c>
      <c r="B668" s="32" t="s">
        <v>741</v>
      </c>
      <c r="C668" s="33" t="s">
        <v>24</v>
      </c>
      <c r="D668" s="34">
        <v>2020</v>
      </c>
      <c r="E668" s="34" t="s">
        <v>30</v>
      </c>
      <c r="F668" s="6"/>
      <c r="G668" s="6"/>
      <c r="H668" s="6"/>
      <c r="I668" s="6"/>
      <c r="J668" s="6"/>
      <c r="K668" s="6"/>
      <c r="L668" s="6"/>
      <c r="M668" s="6"/>
      <c r="N668" s="6"/>
      <c r="O668" s="6">
        <v>7</v>
      </c>
      <c r="P668" s="6"/>
      <c r="Q668" s="6"/>
      <c r="R668" s="6"/>
      <c r="S668" s="35">
        <f>SUM(F668:R668)</f>
        <v>7</v>
      </c>
      <c r="T668" s="35">
        <f>COUNT(F668:R668)</f>
        <v>1</v>
      </c>
      <c r="U668" s="36">
        <f>IF(T668&gt;=2,ROUND((IF(T668=2,0.55,IF(T668&lt;=4,0.7,IF(T668&lt;=6,0.8,IF(T668&lt;=9,0.9,1))))*(S668/T668)+(1-(IF(T668=2,0.55,IF(T668&lt;=4,0.7,IF(T668&lt;=6,0.8,IF(T668&lt;=9,0.9,1))))))*$Y$1),1),"")</f>
      </c>
      <c r="V668" s="37">
        <v>7.1</v>
      </c>
      <c r="W668" s="38"/>
    </row>
    <row r="669" ht="24" customHeight="1" spans="1:23" x14ac:dyDescent="0.25">
      <c r="A669" s="31">
        <v>1269</v>
      </c>
      <c r="B669" s="32" t="s">
        <v>742</v>
      </c>
      <c r="C669" s="33" t="s">
        <v>29</v>
      </c>
      <c r="D669" s="34">
        <v>2021</v>
      </c>
      <c r="E669" s="34" t="s">
        <v>30</v>
      </c>
      <c r="F669" s="6"/>
      <c r="G669" s="6"/>
      <c r="H669" s="6">
        <v>8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35">
        <f>SUM(F669:R669)</f>
        <v>8</v>
      </c>
      <c r="T669" s="35">
        <f>COUNT(F669:R669)</f>
        <v>1</v>
      </c>
      <c r="U669" s="36">
        <f>IF(T669&gt;=2,ROUND((IF(T669=2,0.55,IF(T669&lt;=4,0.7,IF(T669&lt;=6,0.8,IF(T669&lt;=9,0.9,1))))*(S669/T669)+(1-(IF(T669=2,0.55,IF(T669&lt;=4,0.7,IF(T669&lt;=6,0.8,IF(T669&lt;=9,0.9,1))))))*$Y$1),1),"")</f>
      </c>
      <c r="V669" s="37">
        <v>8</v>
      </c>
      <c r="W669" s="38"/>
    </row>
    <row r="670" ht="24" customHeight="1" spans="1:23" x14ac:dyDescent="0.25">
      <c r="A670" s="31">
        <v>233</v>
      </c>
      <c r="B670" s="32" t="s">
        <v>743</v>
      </c>
      <c r="C670" s="33" t="s">
        <v>24</v>
      </c>
      <c r="D670" s="34">
        <v>2015</v>
      </c>
      <c r="E670" s="34" t="s">
        <v>30</v>
      </c>
      <c r="F670" s="6">
        <v>8</v>
      </c>
      <c r="G670" s="6">
        <v>8</v>
      </c>
      <c r="H670" s="6"/>
      <c r="I670" s="6">
        <v>8</v>
      </c>
      <c r="J670" s="6">
        <v>10</v>
      </c>
      <c r="K670" s="6">
        <v>6</v>
      </c>
      <c r="L670" s="6">
        <v>10</v>
      </c>
      <c r="M670" s="6"/>
      <c r="N670" s="6">
        <v>10</v>
      </c>
      <c r="O670" s="6"/>
      <c r="P670" s="6">
        <v>8</v>
      </c>
      <c r="Q670" s="6">
        <v>6</v>
      </c>
      <c r="R670" s="6"/>
      <c r="S670" s="35">
        <f>SUM(F670:R670)</f>
        <v>74</v>
      </c>
      <c r="T670" s="35">
        <f>COUNT(F670:R670)</f>
        <v>9</v>
      </c>
      <c r="U670" s="36">
        <f>IF(T670&gt;=2,ROUND((IF(T670=2,0.55,IF(T670&lt;=4,0.7,IF(T670&lt;=6,0.8,IF(T670&lt;=9,0.9,1))))*(S670/T670)+(1-(IF(T670=2,0.55,IF(T670&lt;=4,0.7,IF(T670&lt;=6,0.8,IF(T670&lt;=9,0.9,1))))))*$Y$1),1),"")</f>
        <v>8.2</v>
      </c>
      <c r="V670" s="37">
        <v>8</v>
      </c>
      <c r="W670" s="38"/>
    </row>
    <row r="671" ht="47.25" customHeight="1" spans="1:23" x14ac:dyDescent="0.25">
      <c r="A671" s="31">
        <v>1993</v>
      </c>
      <c r="B671" s="32" t="s">
        <v>744</v>
      </c>
      <c r="C671" s="33" t="s">
        <v>24</v>
      </c>
      <c r="D671" s="34">
        <v>2024</v>
      </c>
      <c r="E671" s="34" t="s">
        <v>25</v>
      </c>
      <c r="F671" s="6">
        <v>5</v>
      </c>
      <c r="G671" s="6">
        <v>3</v>
      </c>
      <c r="H671" s="6">
        <v>9</v>
      </c>
      <c r="I671" s="6"/>
      <c r="J671" s="6"/>
      <c r="K671" s="6"/>
      <c r="L671" s="6"/>
      <c r="M671" s="6">
        <v>8</v>
      </c>
      <c r="N671" s="6">
        <v>8</v>
      </c>
      <c r="O671" s="6"/>
      <c r="P671" s="6"/>
      <c r="Q671" s="6"/>
      <c r="R671" s="6"/>
      <c r="S671" s="35">
        <f>SUM(F671:R671)</f>
        <v>33</v>
      </c>
      <c r="T671" s="35">
        <f>COUNT(F671:R671)</f>
        <v>5</v>
      </c>
      <c r="U671" s="36">
        <f>IF(T671&gt;=2,ROUND((IF(T671=2,0.55,IF(T671&lt;=4,0.7,IF(T671&lt;=6,0.8,IF(T671&lt;=9,0.9,1))))*(S671/T671)+(1-(IF(T671=2,0.55,IF(T671&lt;=4,0.7,IF(T671&lt;=6,0.8,IF(T671&lt;=9,0.9,1))))))*$Y$1),1),"")</f>
        <v>6.9</v>
      </c>
      <c r="V671" s="37">
        <v>6.9</v>
      </c>
      <c r="W671" s="38"/>
    </row>
    <row r="672" ht="24" customHeight="1" spans="1:23" x14ac:dyDescent="0.25">
      <c r="A672" s="31">
        <v>337</v>
      </c>
      <c r="B672" s="32" t="s">
        <v>745</v>
      </c>
      <c r="C672" s="33" t="s">
        <v>24</v>
      </c>
      <c r="D672" s="34">
        <v>2012</v>
      </c>
      <c r="E672" s="34" t="s">
        <v>746</v>
      </c>
      <c r="F672" s="6">
        <v>9</v>
      </c>
      <c r="G672" s="6">
        <v>8</v>
      </c>
      <c r="H672" s="6">
        <v>8</v>
      </c>
      <c r="I672" s="6">
        <v>8</v>
      </c>
      <c r="J672" s="6"/>
      <c r="K672" s="6">
        <v>8</v>
      </c>
      <c r="L672" s="6"/>
      <c r="M672" s="6"/>
      <c r="N672" s="6">
        <v>10</v>
      </c>
      <c r="O672" s="6"/>
      <c r="P672" s="6">
        <v>8</v>
      </c>
      <c r="Q672" s="6">
        <v>8</v>
      </c>
      <c r="R672" s="6">
        <v>6</v>
      </c>
      <c r="S672" s="35">
        <f>SUM(F672:R672)</f>
        <v>73</v>
      </c>
      <c r="T672" s="35">
        <f>COUNT(F672:R672)</f>
        <v>9</v>
      </c>
      <c r="U672" s="36">
        <f>IF(T672&gt;=2,ROUND((IF(T672=2,0.55,IF(T672&lt;=4,0.7,IF(T672&lt;=6,0.8,IF(T672&lt;=9,0.9,1))))*(S672/T672)+(1-(IF(T672=2,0.55,IF(T672&lt;=4,0.7,IF(T672&lt;=6,0.8,IF(T672&lt;=9,0.9,1))))))*$Y$1),1),"")</f>
        <v>8.1</v>
      </c>
      <c r="V672" s="37">
        <v>7</v>
      </c>
      <c r="W672" s="38"/>
    </row>
    <row r="673" ht="24" customHeight="1" spans="1:23" x14ac:dyDescent="0.25">
      <c r="A673" s="31">
        <v>972</v>
      </c>
      <c r="B673" s="32" t="s">
        <v>747</v>
      </c>
      <c r="C673" s="33" t="s">
        <v>114</v>
      </c>
      <c r="D673" s="34">
        <v>2020</v>
      </c>
      <c r="E673" s="34" t="s">
        <v>30</v>
      </c>
      <c r="F673" s="6"/>
      <c r="G673" s="6"/>
      <c r="H673" s="6"/>
      <c r="I673" s="6">
        <v>6</v>
      </c>
      <c r="J673" s="6"/>
      <c r="K673" s="6">
        <v>6</v>
      </c>
      <c r="L673" s="6"/>
      <c r="M673" s="6"/>
      <c r="N673" s="6"/>
      <c r="O673" s="6"/>
      <c r="P673" s="6"/>
      <c r="Q673" s="6">
        <v>6</v>
      </c>
      <c r="R673" s="6"/>
      <c r="S673" s="35">
        <f>SUM(F673:R673)</f>
        <v>18</v>
      </c>
      <c r="T673" s="35">
        <f>COUNT(F673:R673)</f>
        <v>3</v>
      </c>
      <c r="U673" s="36">
        <f>IF(T673&gt;=2,ROUND((IF(T673=2,0.55,IF(T673&lt;=4,0.7,IF(T673&lt;=6,0.8,IF(T673&lt;=9,0.9,1))))*(S673/T673)+(1-(IF(T673=2,0.55,IF(T673&lt;=4,0.7,IF(T673&lt;=6,0.8,IF(T673&lt;=9,0.9,1))))))*$Y$1),1),"")</f>
        <v>6.6</v>
      </c>
      <c r="V673" s="37">
        <v>5.6</v>
      </c>
      <c r="W673" s="38"/>
    </row>
    <row r="674" ht="24" customHeight="1" spans="1:23" x14ac:dyDescent="0.25">
      <c r="A674" s="40">
        <v>2276</v>
      </c>
      <c r="B674" s="32" t="s">
        <v>748</v>
      </c>
      <c r="C674" s="33" t="s">
        <v>24</v>
      </c>
      <c r="D674" s="34">
        <v>2011</v>
      </c>
      <c r="E674" s="41"/>
      <c r="F674" s="6"/>
      <c r="G674" s="6">
        <v>8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35">
        <f>SUM(F674:R674)</f>
        <v>8</v>
      </c>
      <c r="T674" s="35">
        <f>COUNT(F674:R674)</f>
        <v>1</v>
      </c>
      <c r="U674" s="36">
        <f>IF(T674&gt;=2,ROUND((IF(T674=2,0.55,IF(T674&lt;=4,0.7,IF(T674&lt;=6,0.8,IF(T674&lt;=9,0.9,1))))*(S674/T674)+(1-(IF(T674=2,0.55,IF(T674&lt;=4,0.7,IF(T674&lt;=6,0.8,IF(T674&lt;=9,0.9,1))))))*$Y$1),1),"")</f>
      </c>
      <c r="V674" s="37">
        <v>7.5</v>
      </c>
      <c r="W674" s="38"/>
    </row>
    <row r="675" ht="24" customHeight="1" spans="1:23" x14ac:dyDescent="0.25">
      <c r="A675" s="31">
        <v>1896</v>
      </c>
      <c r="B675" s="32" t="s">
        <v>749</v>
      </c>
      <c r="C675" s="33" t="s">
        <v>24</v>
      </c>
      <c r="D675" s="34">
        <v>2024</v>
      </c>
      <c r="E675" s="34" t="s">
        <v>30</v>
      </c>
      <c r="F675" s="6"/>
      <c r="G675" s="6">
        <v>8</v>
      </c>
      <c r="H675" s="6">
        <v>8</v>
      </c>
      <c r="I675" s="6"/>
      <c r="J675" s="6">
        <v>8</v>
      </c>
      <c r="K675" s="6">
        <v>8</v>
      </c>
      <c r="L675" s="6">
        <v>8</v>
      </c>
      <c r="M675" s="6"/>
      <c r="N675" s="6"/>
      <c r="O675" s="6"/>
      <c r="P675" s="6"/>
      <c r="Q675" s="6">
        <v>8</v>
      </c>
      <c r="R675" s="6"/>
      <c r="S675" s="35">
        <f>SUM(F675:R675)</f>
        <v>48</v>
      </c>
      <c r="T675" s="35">
        <f>COUNT(F675:R675)</f>
        <v>6</v>
      </c>
      <c r="U675" s="36">
        <f>IF(T675&gt;=2,ROUND((IF(T675=2,0.55,IF(T675&lt;=4,0.7,IF(T675&lt;=6,0.8,IF(T675&lt;=9,0.9,1))))*(S675/T675)+(1-(IF(T675=2,0.55,IF(T675&lt;=4,0.7,IF(T675&lt;=6,0.8,IF(T675&lt;=9,0.9,1))))))*$Y$1),1),"")</f>
        <v>8</v>
      </c>
      <c r="V675" s="37">
        <v>7</v>
      </c>
      <c r="W675" s="38"/>
    </row>
    <row r="676" ht="24" customHeight="1" spans="1:23" x14ac:dyDescent="0.25">
      <c r="A676" s="40">
        <v>2124</v>
      </c>
      <c r="B676" s="32" t="s">
        <v>750</v>
      </c>
      <c r="C676" s="33" t="s">
        <v>24</v>
      </c>
      <c r="D676" s="34">
        <v>2001</v>
      </c>
      <c r="E676" s="41"/>
      <c r="F676" s="6"/>
      <c r="G676" s="6">
        <v>7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35">
        <f>SUM(F676:R676)</f>
        <v>7</v>
      </c>
      <c r="T676" s="35">
        <f>COUNT(F676:R676)</f>
        <v>1</v>
      </c>
      <c r="U676" s="36">
        <f>IF(T676&gt;=2,ROUND((IF(T676=2,0.55,IF(T676&lt;=4,0.7,IF(T676&lt;=6,0.8,IF(T676&lt;=9,0.9,1))))*(S676/T676)+(1-(IF(T676=2,0.55,IF(T676&lt;=4,0.7,IF(T676&lt;=6,0.8,IF(T676&lt;=9,0.9,1))))))*$Y$1),1),"")</f>
      </c>
      <c r="V676" s="37">
        <v>7.3</v>
      </c>
      <c r="W676" s="38"/>
    </row>
    <row r="677" ht="24" customHeight="1" spans="1:23" x14ac:dyDescent="0.25">
      <c r="A677" s="42">
        <v>531</v>
      </c>
      <c r="B677" s="32" t="s">
        <v>751</v>
      </c>
      <c r="C677" s="43" t="s">
        <v>24</v>
      </c>
      <c r="D677" s="44">
        <v>2015</v>
      </c>
      <c r="E677" s="44" t="s">
        <v>374</v>
      </c>
      <c r="F677" s="6">
        <v>8</v>
      </c>
      <c r="G677" s="6">
        <v>8</v>
      </c>
      <c r="H677" s="6"/>
      <c r="I677" s="6">
        <v>8</v>
      </c>
      <c r="J677" s="6">
        <v>10</v>
      </c>
      <c r="K677" s="6">
        <v>8</v>
      </c>
      <c r="L677" s="6">
        <v>8</v>
      </c>
      <c r="M677" s="6">
        <v>8</v>
      </c>
      <c r="N677" s="6">
        <v>8</v>
      </c>
      <c r="O677" s="6">
        <v>8</v>
      </c>
      <c r="P677" s="6">
        <v>8</v>
      </c>
      <c r="Q677" s="6">
        <v>8</v>
      </c>
      <c r="R677" s="6"/>
      <c r="S677" s="45">
        <f>SUM(F677:R677)</f>
        <v>90</v>
      </c>
      <c r="T677" s="45">
        <f>COUNT(F677:R677)</f>
        <v>11</v>
      </c>
      <c r="U677" s="36">
        <f>IF(T677&gt;=2,ROUND((IF(T677=2,0.55,IF(T677&lt;=4,0.7,IF(T677&lt;=6,0.8,IF(T677&lt;=9,0.9,1))))*(S677/T677)+(1-(IF(T677=2,0.55,IF(T677&lt;=4,0.7,IF(T677&lt;=6,0.8,IF(T677&lt;=9,0.9,1))))))*$Y$1),1),"")</f>
        <v>8.2</v>
      </c>
      <c r="V677" s="37">
        <v>8.1</v>
      </c>
      <c r="W677" s="38" t="s">
        <v>44</v>
      </c>
    </row>
    <row r="678" ht="24" customHeight="1" spans="1:23" x14ac:dyDescent="0.25">
      <c r="A678" s="31">
        <v>1912</v>
      </c>
      <c r="B678" s="32" t="s">
        <v>752</v>
      </c>
      <c r="C678" s="33" t="s">
        <v>24</v>
      </c>
      <c r="D678" s="34">
        <v>2024</v>
      </c>
      <c r="E678" s="34" t="s">
        <v>141</v>
      </c>
      <c r="F678" s="6">
        <v>8</v>
      </c>
      <c r="G678" s="6">
        <v>8</v>
      </c>
      <c r="H678" s="6">
        <v>8</v>
      </c>
      <c r="I678" s="6"/>
      <c r="J678" s="6">
        <v>8</v>
      </c>
      <c r="K678" s="6"/>
      <c r="L678" s="6">
        <v>7</v>
      </c>
      <c r="M678" s="6"/>
      <c r="N678" s="6"/>
      <c r="O678" s="6">
        <v>8</v>
      </c>
      <c r="P678" s="6">
        <v>8</v>
      </c>
      <c r="Q678" s="6"/>
      <c r="R678" s="6">
        <v>10</v>
      </c>
      <c r="S678" s="35">
        <f>SUM(F678:R678)</f>
        <v>65</v>
      </c>
      <c r="T678" s="35">
        <f>COUNT(F678:R678)</f>
        <v>8</v>
      </c>
      <c r="U678" s="36">
        <f>IF(T678&gt;=2,ROUND((IF(T678=2,0.55,IF(T678&lt;=4,0.7,IF(T678&lt;=6,0.8,IF(T678&lt;=9,0.9,1))))*(S678/T678)+(1-(IF(T678=2,0.55,IF(T678&lt;=4,0.7,IF(T678&lt;=6,0.8,IF(T678&lt;=9,0.9,1))))))*$Y$1),1),"")</f>
        <v>8.1</v>
      </c>
      <c r="V678" s="37">
        <v>6.8</v>
      </c>
      <c r="W678" s="38"/>
    </row>
    <row r="679" ht="24" customHeight="1" spans="1:23" x14ac:dyDescent="0.25">
      <c r="A679" s="31">
        <v>1974</v>
      </c>
      <c r="B679" s="32" t="s">
        <v>753</v>
      </c>
      <c r="C679" s="33" t="s">
        <v>24</v>
      </c>
      <c r="D679" s="34">
        <v>2018</v>
      </c>
      <c r="E679" s="34" t="s">
        <v>25</v>
      </c>
      <c r="F679" s="6">
        <v>6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35">
        <f>SUM(F679:R679)</f>
        <v>6</v>
      </c>
      <c r="T679" s="35">
        <f>COUNT(F679:R679)</f>
        <v>1</v>
      </c>
      <c r="U679" s="36">
        <f>IF(T679&gt;=2,ROUND((IF(T679=2,0.55,IF(T679&lt;=4,0.7,IF(T679&lt;=6,0.8,IF(T679&lt;=9,0.9,1))))*(S679/T679)+(1-(IF(T679=2,0.55,IF(T679&lt;=4,0.7,IF(T679&lt;=6,0.8,IF(T679&lt;=9,0.9,1))))))*$Y$1),1),"")</f>
      </c>
      <c r="V679" s="37">
        <v>6.7</v>
      </c>
      <c r="W679" s="38"/>
    </row>
    <row r="680" ht="24" customHeight="1" spans="1:23" x14ac:dyDescent="0.25">
      <c r="A680" s="31">
        <v>305</v>
      </c>
      <c r="B680" s="32" t="s">
        <v>754</v>
      </c>
      <c r="C680" s="33" t="s">
        <v>24</v>
      </c>
      <c r="D680" s="34">
        <v>2014</v>
      </c>
      <c r="E680" s="34" t="s">
        <v>30</v>
      </c>
      <c r="F680" s="6"/>
      <c r="G680" s="6"/>
      <c r="H680" s="6"/>
      <c r="I680" s="6"/>
      <c r="J680" s="6"/>
      <c r="K680" s="6">
        <v>6</v>
      </c>
      <c r="L680" s="6">
        <v>6</v>
      </c>
      <c r="M680" s="6"/>
      <c r="N680" s="6"/>
      <c r="O680" s="6">
        <v>8</v>
      </c>
      <c r="P680" s="6"/>
      <c r="Q680" s="6">
        <v>6</v>
      </c>
      <c r="R680" s="6"/>
      <c r="S680" s="35">
        <f>SUM(F680:R680)</f>
        <v>26</v>
      </c>
      <c r="T680" s="35">
        <f>COUNT(F680:R680)</f>
        <v>4</v>
      </c>
      <c r="U680" s="36">
        <f>IF(T680&gt;=2,ROUND((IF(T680=2,0.55,IF(T680&lt;=4,0.7,IF(T680&lt;=6,0.8,IF(T680&lt;=9,0.9,1))))*(S680/T680)+(1-(IF(T680=2,0.55,IF(T680&lt;=4,0.7,IF(T680&lt;=6,0.8,IF(T680&lt;=9,0.9,1))))))*$Y$1),1),"")</f>
        <v>7</v>
      </c>
      <c r="V680" s="37">
        <v>7.3</v>
      </c>
      <c r="W680" s="38"/>
    </row>
    <row r="681" ht="24" customHeight="1" spans="1:23" x14ac:dyDescent="0.25">
      <c r="A681" s="31">
        <v>1680</v>
      </c>
      <c r="B681" s="32" t="s">
        <v>755</v>
      </c>
      <c r="C681" s="33" t="s">
        <v>24</v>
      </c>
      <c r="D681" s="34">
        <v>2023</v>
      </c>
      <c r="E681" s="34" t="s">
        <v>27</v>
      </c>
      <c r="F681" s="6"/>
      <c r="G681" s="6"/>
      <c r="H681" s="6"/>
      <c r="I681" s="6"/>
      <c r="J681" s="6"/>
      <c r="K681" s="6">
        <v>8</v>
      </c>
      <c r="L681" s="6"/>
      <c r="M681" s="6"/>
      <c r="N681" s="6"/>
      <c r="O681" s="6"/>
      <c r="P681" s="6"/>
      <c r="Q681" s="6">
        <v>8</v>
      </c>
      <c r="R681" s="6"/>
      <c r="S681" s="35">
        <f>SUM(F681:R681)</f>
        <v>16</v>
      </c>
      <c r="T681" s="35">
        <f>COUNT(F681:R681)</f>
        <v>2</v>
      </c>
      <c r="U681" s="36">
        <f>IF(T681&gt;=2,ROUND((IF(T681=2,0.55,IF(T681&lt;=4,0.7,IF(T681&lt;=6,0.8,IF(T681&lt;=9,0.9,1))))*(S681/T681)+(1-(IF(T681=2,0.55,IF(T681&lt;=4,0.7,IF(T681&lt;=6,0.8,IF(T681&lt;=9,0.9,1))))))*$Y$1),1),"")</f>
        <v>8</v>
      </c>
      <c r="V681" s="37">
        <v>7.1</v>
      </c>
      <c r="W681" s="38"/>
    </row>
    <row r="682" ht="24" customHeight="1" spans="1:23" x14ac:dyDescent="0.25">
      <c r="A682" s="31">
        <v>324</v>
      </c>
      <c r="B682" s="32" t="s">
        <v>756</v>
      </c>
      <c r="C682" s="33" t="s">
        <v>24</v>
      </c>
      <c r="D682" s="34">
        <v>1994</v>
      </c>
      <c r="E682" s="34" t="s">
        <v>25</v>
      </c>
      <c r="F682" s="6"/>
      <c r="G682" s="6">
        <v>8</v>
      </c>
      <c r="H682" s="6"/>
      <c r="I682" s="6"/>
      <c r="J682" s="6">
        <v>10</v>
      </c>
      <c r="K682" s="6">
        <v>8</v>
      </c>
      <c r="L682" s="6"/>
      <c r="M682" s="6"/>
      <c r="N682" s="6"/>
      <c r="O682" s="6"/>
      <c r="P682" s="6">
        <v>8</v>
      </c>
      <c r="Q682" s="6">
        <v>8</v>
      </c>
      <c r="R682" s="6"/>
      <c r="S682" s="35">
        <f>SUM(F682:R682)</f>
        <v>42</v>
      </c>
      <c r="T682" s="35">
        <f>COUNT(F682:R682)</f>
        <v>5</v>
      </c>
      <c r="U682" s="36">
        <f>IF(T682&gt;=2,ROUND((IF(T682=2,0.55,IF(T682&lt;=4,0.7,IF(T682&lt;=6,0.8,IF(T682&lt;=9,0.9,1))))*(S682/T682)+(1-(IF(T682=2,0.55,IF(T682&lt;=4,0.7,IF(T682&lt;=6,0.8,IF(T682&lt;=9,0.9,1))))))*$Y$1),1),"")</f>
        <v>8.3</v>
      </c>
      <c r="V682" s="37">
        <v>8.5</v>
      </c>
      <c r="W682" s="38"/>
    </row>
    <row r="683" ht="24" customHeight="1" spans="1:23" x14ac:dyDescent="0.25">
      <c r="A683" s="31">
        <v>976</v>
      </c>
      <c r="B683" s="32" t="s">
        <v>757</v>
      </c>
      <c r="C683" s="33" t="s">
        <v>24</v>
      </c>
      <c r="D683" s="34">
        <v>2018</v>
      </c>
      <c r="E683" s="34" t="s">
        <v>27</v>
      </c>
      <c r="F683" s="6"/>
      <c r="G683" s="6"/>
      <c r="H683" s="6"/>
      <c r="I683" s="6"/>
      <c r="J683" s="6">
        <v>8</v>
      </c>
      <c r="K683" s="6"/>
      <c r="L683" s="6"/>
      <c r="M683" s="6"/>
      <c r="N683" s="6"/>
      <c r="O683" s="6"/>
      <c r="P683" s="6"/>
      <c r="Q683" s="6"/>
      <c r="R683" s="6"/>
      <c r="S683" s="35">
        <f>SUM(F683:R683)</f>
        <v>8</v>
      </c>
      <c r="T683" s="35">
        <f>COUNT(F683:R683)</f>
        <v>1</v>
      </c>
      <c r="U683" s="36">
        <f>IF(T683&gt;=2,ROUND((IF(T683=2,0.55,IF(T683&lt;=4,0.7,IF(T683&lt;=6,0.8,IF(T683&lt;=9,0.9,1))))*(S683/T683)+(1-(IF(T683=2,0.55,IF(T683&lt;=4,0.7,IF(T683&lt;=6,0.8,IF(T683&lt;=9,0.9,1))))))*$Y$1),1),"")</f>
      </c>
      <c r="V683" s="37">
        <v>6.7</v>
      </c>
      <c r="W683" s="38"/>
    </row>
    <row r="684" ht="24" customHeight="1" spans="1:23" x14ac:dyDescent="0.25">
      <c r="A684" s="31">
        <v>1904</v>
      </c>
      <c r="B684" s="32" t="s">
        <v>758</v>
      </c>
      <c r="C684" s="33" t="s">
        <v>29</v>
      </c>
      <c r="D684" s="34">
        <v>2019</v>
      </c>
      <c r="E684" s="34" t="s">
        <v>30</v>
      </c>
      <c r="F684" s="6"/>
      <c r="G684" s="6"/>
      <c r="H684" s="6"/>
      <c r="I684" s="6"/>
      <c r="J684" s="6"/>
      <c r="K684" s="6"/>
      <c r="L684" s="6">
        <v>8</v>
      </c>
      <c r="M684" s="6"/>
      <c r="N684" s="6"/>
      <c r="O684" s="6"/>
      <c r="P684" s="6"/>
      <c r="Q684" s="6"/>
      <c r="R684" s="6"/>
      <c r="S684" s="35">
        <f>SUM(F684:R684)</f>
        <v>8</v>
      </c>
      <c r="T684" s="35">
        <f>COUNT(F684:R684)</f>
        <v>1</v>
      </c>
      <c r="U684" s="36">
        <f>IF(T684&gt;=2,ROUND((IF(T684=2,0.55,IF(T684&lt;=4,0.7,IF(T684&lt;=6,0.8,IF(T684&lt;=9,0.9,1))))*(S684/T684)+(1-(IF(T684=2,0.55,IF(T684&lt;=4,0.7,IF(T684&lt;=6,0.8,IF(T684&lt;=9,0.9,1))))))*$Y$1),1),"")</f>
      </c>
      <c r="V684" s="37">
        <v>7.2</v>
      </c>
      <c r="W684" s="38"/>
    </row>
    <row r="685" ht="24" customHeight="1" spans="1:23" x14ac:dyDescent="0.25">
      <c r="A685" s="42">
        <v>1047</v>
      </c>
      <c r="B685" s="32" t="s">
        <v>759</v>
      </c>
      <c r="C685" s="43" t="s">
        <v>24</v>
      </c>
      <c r="D685" s="44">
        <v>2019</v>
      </c>
      <c r="E685" s="44" t="s">
        <v>760</v>
      </c>
      <c r="F685" s="6">
        <v>8</v>
      </c>
      <c r="G685" s="6">
        <v>8</v>
      </c>
      <c r="H685" s="6">
        <v>8</v>
      </c>
      <c r="I685" s="6">
        <v>10</v>
      </c>
      <c r="J685" s="6">
        <v>8</v>
      </c>
      <c r="K685" s="6">
        <v>8</v>
      </c>
      <c r="L685" s="6">
        <v>8</v>
      </c>
      <c r="M685" s="6">
        <v>8</v>
      </c>
      <c r="N685" s="6">
        <v>8</v>
      </c>
      <c r="O685" s="6">
        <v>8</v>
      </c>
      <c r="P685" s="6">
        <v>8</v>
      </c>
      <c r="Q685" s="6">
        <v>8</v>
      </c>
      <c r="R685" s="6">
        <v>8</v>
      </c>
      <c r="S685" s="45">
        <f>SUM(F685:R685)</f>
        <v>106</v>
      </c>
      <c r="T685" s="45">
        <f>COUNT(F685:R685)</f>
        <v>13</v>
      </c>
      <c r="U685" s="36">
        <f>IF(T685&gt;=2,ROUND((IF(T685=2,0.55,IF(T685&lt;=4,0.7,IF(T685&lt;=6,0.8,IF(T685&lt;=9,0.9,1))))*(S685/T685)+(1-(IF(T685=2,0.55,IF(T685&lt;=4,0.7,IF(T685&lt;=6,0.8,IF(T685&lt;=9,0.9,1))))))*$Y$1),1),"")</f>
        <v>8.2</v>
      </c>
      <c r="V685" s="37">
        <v>7.6</v>
      </c>
      <c r="W685" s="38" t="s">
        <v>44</v>
      </c>
    </row>
    <row r="686" ht="24" customHeight="1" spans="1:23" x14ac:dyDescent="0.25">
      <c r="A686" s="31">
        <v>2484</v>
      </c>
      <c r="B686" s="32" t="s">
        <v>761</v>
      </c>
      <c r="C686" s="33" t="s">
        <v>24</v>
      </c>
      <c r="D686" s="34">
        <v>2009</v>
      </c>
      <c r="E686" s="41"/>
      <c r="F686" s="6"/>
      <c r="G686" s="6"/>
      <c r="H686" s="6">
        <v>7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35">
        <f>SUM(F686:R686)</f>
        <v>7</v>
      </c>
      <c r="T686" s="35">
        <f>COUNT(F686:R686)</f>
        <v>1</v>
      </c>
      <c r="U686" s="36">
        <f>IF(T686&gt;=2,ROUND((IF(T686=2,0.55,IF(T686&lt;=4,0.7,IF(T686&lt;=6,0.8,IF(T686&lt;=9,0.9,1))))*(S686/T686)+(1-(IF(T686=2,0.55,IF(T686&lt;=4,0.7,IF(T686&lt;=6,0.8,IF(T686&lt;=9,0.9,1))))))*$Y$1),1),"")</f>
      </c>
      <c r="V686" s="37">
        <v>6.2</v>
      </c>
      <c r="W686" s="38"/>
    </row>
    <row r="687" ht="24" customHeight="1" spans="1:23" x14ac:dyDescent="0.25">
      <c r="A687" s="31">
        <v>1660</v>
      </c>
      <c r="B687" s="32" t="s">
        <v>762</v>
      </c>
      <c r="C687" s="33" t="s">
        <v>24</v>
      </c>
      <c r="D687" s="34">
        <v>2022</v>
      </c>
      <c r="E687" s="34" t="s">
        <v>30</v>
      </c>
      <c r="F687" s="6"/>
      <c r="G687" s="6"/>
      <c r="H687" s="6"/>
      <c r="I687" s="6"/>
      <c r="J687" s="6"/>
      <c r="K687" s="6"/>
      <c r="L687" s="6"/>
      <c r="M687" s="6"/>
      <c r="N687" s="6"/>
      <c r="O687" s="6">
        <v>7</v>
      </c>
      <c r="P687" s="6"/>
      <c r="Q687" s="6"/>
      <c r="R687" s="6"/>
      <c r="S687" s="35">
        <f>SUM(F687:R687)</f>
        <v>7</v>
      </c>
      <c r="T687" s="35">
        <f>COUNT(F687:R687)</f>
        <v>1</v>
      </c>
      <c r="U687" s="36">
        <f>IF(T687&gt;=2,ROUND((IF(T687=2,0.55,IF(T687&lt;=4,0.7,IF(T687&lt;=6,0.8,IF(T687&lt;=9,0.9,1))))*(S687/T687)+(1-(IF(T687=2,0.55,IF(T687&lt;=4,0.7,IF(T687&lt;=6,0.8,IF(T687&lt;=9,0.9,1))))))*$Y$1),1),"")</f>
      </c>
      <c r="V687" s="37">
        <v>6</v>
      </c>
      <c r="W687" s="38"/>
    </row>
    <row r="688" ht="24" customHeight="1" spans="1:23" x14ac:dyDescent="0.25">
      <c r="A688" s="31">
        <v>282</v>
      </c>
      <c r="B688" s="32" t="s">
        <v>763</v>
      </c>
      <c r="C688" s="33" t="s">
        <v>24</v>
      </c>
      <c r="D688" s="34">
        <v>1990</v>
      </c>
      <c r="E688" s="34" t="s">
        <v>30</v>
      </c>
      <c r="F688" s="6">
        <v>10</v>
      </c>
      <c r="G688" s="6">
        <v>9</v>
      </c>
      <c r="H688" s="6">
        <v>10</v>
      </c>
      <c r="I688" s="6"/>
      <c r="J688" s="6">
        <v>10</v>
      </c>
      <c r="K688" s="6">
        <v>10</v>
      </c>
      <c r="L688" s="6">
        <v>10</v>
      </c>
      <c r="M688" s="6">
        <v>8</v>
      </c>
      <c r="N688" s="6">
        <v>8</v>
      </c>
      <c r="O688" s="6"/>
      <c r="P688" s="6">
        <v>10</v>
      </c>
      <c r="Q688" s="6">
        <v>10</v>
      </c>
      <c r="R688" s="6"/>
      <c r="S688" s="35">
        <f>SUM(F688:R688)</f>
        <v>95</v>
      </c>
      <c r="T688" s="35">
        <f>COUNT(F688:R688)</f>
        <v>10</v>
      </c>
      <c r="U688" s="36">
        <f>IF(T688&gt;=2,ROUND((IF(T688=2,0.55,IF(T688&lt;=4,0.7,IF(T688&lt;=6,0.8,IF(T688&lt;=9,0.9,1))))*(S688/T688)+(1-(IF(T688=2,0.55,IF(T688&lt;=4,0.7,IF(T688&lt;=6,0.8,IF(T688&lt;=9,0.9,1))))))*$Y$1),1),"")</f>
        <v>9.5</v>
      </c>
      <c r="V688" s="37">
        <v>7.5</v>
      </c>
      <c r="W688" s="38"/>
    </row>
    <row r="689" ht="24" customHeight="1" spans="1:23" x14ac:dyDescent="0.25">
      <c r="A689" s="31">
        <v>146</v>
      </c>
      <c r="B689" s="32" t="s">
        <v>764</v>
      </c>
      <c r="C689" s="33" t="s">
        <v>24</v>
      </c>
      <c r="D689" s="34">
        <v>1974</v>
      </c>
      <c r="E689" s="34" t="s">
        <v>30</v>
      </c>
      <c r="F689" s="6">
        <v>10</v>
      </c>
      <c r="G689" s="6">
        <v>10</v>
      </c>
      <c r="H689" s="6">
        <v>10</v>
      </c>
      <c r="I689" s="6"/>
      <c r="J689" s="6">
        <v>10</v>
      </c>
      <c r="K689" s="6">
        <v>10</v>
      </c>
      <c r="L689" s="6">
        <v>10</v>
      </c>
      <c r="M689" s="6">
        <v>10</v>
      </c>
      <c r="N689" s="6">
        <v>10</v>
      </c>
      <c r="O689" s="6"/>
      <c r="P689" s="6">
        <v>10</v>
      </c>
      <c r="Q689" s="6">
        <v>10</v>
      </c>
      <c r="R689" s="6"/>
      <c r="S689" s="35">
        <f>SUM(F689:R689)</f>
        <v>100</v>
      </c>
      <c r="T689" s="35">
        <f>COUNT(F689:R689)</f>
        <v>10</v>
      </c>
      <c r="U689" s="36">
        <f>IF(T689&gt;=2,ROUND((IF(T689=2,0.55,IF(T689&lt;=4,0.7,IF(T689&lt;=6,0.8,IF(T689&lt;=9,0.9,1))))*(S689/T689)+(1-(IF(T689=2,0.55,IF(T689&lt;=4,0.7,IF(T689&lt;=6,0.8,IF(T689&lt;=9,0.9,1))))))*$Y$1),1),"")</f>
        <v>10</v>
      </c>
      <c r="V689" s="37">
        <v>9</v>
      </c>
      <c r="W689" s="38"/>
    </row>
    <row r="690" ht="24" customHeight="1" spans="1:23" x14ac:dyDescent="0.25">
      <c r="A690" s="31">
        <v>102</v>
      </c>
      <c r="B690" s="32" t="s">
        <v>765</v>
      </c>
      <c r="C690" s="33" t="s">
        <v>24</v>
      </c>
      <c r="D690" s="34">
        <v>1972</v>
      </c>
      <c r="E690" s="34" t="s">
        <v>52</v>
      </c>
      <c r="F690" s="6">
        <v>10</v>
      </c>
      <c r="G690" s="6">
        <v>10</v>
      </c>
      <c r="H690" s="6">
        <v>10</v>
      </c>
      <c r="I690" s="6">
        <v>10</v>
      </c>
      <c r="J690" s="6">
        <v>10</v>
      </c>
      <c r="K690" s="6">
        <v>10</v>
      </c>
      <c r="L690" s="6">
        <v>10</v>
      </c>
      <c r="M690" s="6">
        <v>10</v>
      </c>
      <c r="N690" s="6">
        <v>10</v>
      </c>
      <c r="O690" s="6">
        <v>8</v>
      </c>
      <c r="P690" s="6">
        <v>10</v>
      </c>
      <c r="Q690" s="6">
        <v>10</v>
      </c>
      <c r="R690" s="6">
        <v>10</v>
      </c>
      <c r="S690" s="35">
        <f>SUM(F690:R690)</f>
        <v>128</v>
      </c>
      <c r="T690" s="35">
        <f>COUNT(F690:R690)</f>
        <v>13</v>
      </c>
      <c r="U690" s="36">
        <f>IF(T690&gt;=2,ROUND((IF(T690=2,0.55,IF(T690&lt;=4,0.7,IF(T690&lt;=6,0.8,IF(T690&lt;=9,0.9,1))))*(S690/T690)+(1-(IF(T690=2,0.55,IF(T690&lt;=4,0.7,IF(T690&lt;=6,0.8,IF(T690&lt;=9,0.9,1))))))*$Y$1),1),"")</f>
        <v>9.8</v>
      </c>
      <c r="V690" s="37">
        <v>9.2</v>
      </c>
      <c r="W690" s="38"/>
    </row>
    <row r="691" ht="24" customHeight="1" spans="1:23" s="39" customFormat="1" x14ac:dyDescent="0.25">
      <c r="A691" s="31">
        <v>1454</v>
      </c>
      <c r="B691" s="32" t="s">
        <v>766</v>
      </c>
      <c r="C691" s="33" t="s">
        <v>24</v>
      </c>
      <c r="D691" s="34">
        <v>2011</v>
      </c>
      <c r="E691" s="34" t="s">
        <v>27</v>
      </c>
      <c r="F691" s="6">
        <v>8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35">
        <f>SUM(F691:R691)</f>
        <v>8</v>
      </c>
      <c r="T691" s="35">
        <f>COUNT(F691:R691)</f>
        <v>1</v>
      </c>
      <c r="U691" s="36">
        <f>IF(T691&gt;=2,ROUND((IF(T691=2,0.55,IF(T691&lt;=4,0.7,IF(T691&lt;=6,0.8,IF(T691&lt;=9,0.9,1))))*(S691/T691)+(1-(IF(T691=2,0.55,IF(T691&lt;=4,0.7,IF(T691&lt;=6,0.8,IF(T691&lt;=9,0.9,1))))))*$Y$1),1),"")</f>
      </c>
      <c r="V691" s="37">
        <v>7.3</v>
      </c>
      <c r="W691" s="38"/>
    </row>
    <row r="692" ht="24" customHeight="1" spans="1:23" s="39" customFormat="1" x14ac:dyDescent="0.25">
      <c r="A692" s="31">
        <v>1315</v>
      </c>
      <c r="B692" s="32" t="s">
        <v>766</v>
      </c>
      <c r="C692" s="33" t="s">
        <v>29</v>
      </c>
      <c r="D692" s="34">
        <v>2022</v>
      </c>
      <c r="E692" s="34" t="s">
        <v>30</v>
      </c>
      <c r="F692" s="6">
        <v>7</v>
      </c>
      <c r="G692" s="6"/>
      <c r="H692" s="6"/>
      <c r="I692" s="6"/>
      <c r="J692" s="6"/>
      <c r="K692" s="6"/>
      <c r="L692" s="6">
        <v>8</v>
      </c>
      <c r="M692" s="6">
        <v>8</v>
      </c>
      <c r="N692" s="6">
        <v>8</v>
      </c>
      <c r="O692" s="6"/>
      <c r="P692" s="6"/>
      <c r="Q692" s="6"/>
      <c r="R692" s="6"/>
      <c r="S692" s="35">
        <f>SUM(F692:R692)</f>
        <v>31</v>
      </c>
      <c r="T692" s="35">
        <f>COUNT(F692:R692)</f>
        <v>4</v>
      </c>
      <c r="U692" s="36">
        <f>IF(T692&gt;=2,ROUND((IF(T692=2,0.55,IF(T692&lt;=4,0.7,IF(T692&lt;=6,0.8,IF(T692&lt;=9,0.9,1))))*(S692/T692)+(1-(IF(T692=2,0.55,IF(T692&lt;=4,0.7,IF(T692&lt;=6,0.8,IF(T692&lt;=9,0.9,1))))))*$Y$1),1),"")</f>
        <v>7.9</v>
      </c>
      <c r="V692" s="37">
        <v>7.8</v>
      </c>
      <c r="W692" s="38"/>
    </row>
    <row r="693" ht="24" customHeight="1" spans="1:23" x14ac:dyDescent="0.25">
      <c r="A693" s="31">
        <v>338</v>
      </c>
      <c r="B693" s="32" t="s">
        <v>767</v>
      </c>
      <c r="C693" s="33" t="s">
        <v>24</v>
      </c>
      <c r="D693" s="34">
        <v>1992</v>
      </c>
      <c r="E693" s="34" t="s">
        <v>27</v>
      </c>
      <c r="F693" s="6"/>
      <c r="G693" s="6"/>
      <c r="H693" s="6"/>
      <c r="I693" s="6"/>
      <c r="J693" s="6"/>
      <c r="K693" s="6">
        <v>8</v>
      </c>
      <c r="L693" s="6"/>
      <c r="M693" s="6"/>
      <c r="N693" s="6"/>
      <c r="O693" s="6"/>
      <c r="P693" s="6"/>
      <c r="Q693" s="6">
        <v>8</v>
      </c>
      <c r="R693" s="6"/>
      <c r="S693" s="35">
        <f>SUM(F693:R693)</f>
        <v>16</v>
      </c>
      <c r="T693" s="35">
        <f>COUNT(F693:R693)</f>
        <v>2</v>
      </c>
      <c r="U693" s="36">
        <f>IF(T693&gt;=2,ROUND((IF(T693=2,0.55,IF(T693&lt;=4,0.7,IF(T693&lt;=6,0.8,IF(T693&lt;=9,0.9,1))))*(S693/T693)+(1-(IF(T693=2,0.55,IF(T693&lt;=4,0.7,IF(T693&lt;=6,0.8,IF(T693&lt;=9,0.9,1))))))*$Y$1),1),"")</f>
        <v>8</v>
      </c>
      <c r="V693" s="37">
        <v>7.1</v>
      </c>
      <c r="W693" s="38"/>
    </row>
    <row r="694" ht="24" customHeight="1" spans="1:23" x14ac:dyDescent="0.25">
      <c r="A694" s="31">
        <v>578</v>
      </c>
      <c r="B694" s="32" t="s">
        <v>768</v>
      </c>
      <c r="C694" s="33" t="s">
        <v>24</v>
      </c>
      <c r="D694" s="34">
        <v>2017</v>
      </c>
      <c r="E694" s="34" t="s">
        <v>179</v>
      </c>
      <c r="F694" s="6"/>
      <c r="G694" s="6"/>
      <c r="H694" s="6">
        <v>6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35">
        <f>SUM(F694:R694)</f>
        <v>6</v>
      </c>
      <c r="T694" s="35">
        <f>COUNT(F694:R694)</f>
        <v>1</v>
      </c>
      <c r="U694" s="36">
        <f>IF(T694&gt;=2,ROUND((IF(T694=2,0.55,IF(T694&lt;=4,0.7,IF(T694&lt;=6,0.8,IF(T694&lt;=9,0.9,1))))*(S694/T694)+(1-(IF(T694=2,0.55,IF(T694&lt;=4,0.7,IF(T694&lt;=6,0.8,IF(T694&lt;=9,0.9,1))))))*$Y$1),1),"")</f>
      </c>
      <c r="V694" s="37">
        <v>6.2</v>
      </c>
      <c r="W694" s="38"/>
    </row>
    <row r="695" ht="24" customHeight="1" spans="1:23" x14ac:dyDescent="0.25">
      <c r="A695" s="31">
        <v>101</v>
      </c>
      <c r="B695" s="32" t="s">
        <v>769</v>
      </c>
      <c r="C695" s="33" t="s">
        <v>24</v>
      </c>
      <c r="D695" s="34">
        <v>2019</v>
      </c>
      <c r="E695" s="34" t="s">
        <v>30</v>
      </c>
      <c r="F695" s="6"/>
      <c r="G695" s="6"/>
      <c r="H695" s="6">
        <v>4</v>
      </c>
      <c r="I695" s="6"/>
      <c r="J695" s="6">
        <v>6</v>
      </c>
      <c r="K695" s="6"/>
      <c r="L695" s="6">
        <v>4</v>
      </c>
      <c r="M695" s="6"/>
      <c r="N695" s="6"/>
      <c r="O695" s="6"/>
      <c r="P695" s="6"/>
      <c r="Q695" s="6"/>
      <c r="R695" s="6"/>
      <c r="S695" s="35">
        <f>SUM(F695:R695)</f>
        <v>14</v>
      </c>
      <c r="T695" s="35">
        <f>COUNT(F695:R695)</f>
        <v>3</v>
      </c>
      <c r="U695" s="36">
        <f>IF(T695&gt;=2,ROUND((IF(T695=2,0.55,IF(T695&lt;=4,0.7,IF(T695&lt;=6,0.8,IF(T695&lt;=9,0.9,1))))*(S695/T695)+(1-(IF(T695=2,0.55,IF(T695&lt;=4,0.7,IF(T695&lt;=6,0.8,IF(T695&lt;=9,0.9,1))))))*$Y$1),1),"")</f>
        <v>5.7</v>
      </c>
      <c r="V695" s="37">
        <v>6.8</v>
      </c>
      <c r="W695" s="38"/>
    </row>
    <row r="696" ht="24" customHeight="1" spans="1:23" x14ac:dyDescent="0.25">
      <c r="A696" s="31">
        <v>1156</v>
      </c>
      <c r="B696" s="32" t="s">
        <v>770</v>
      </c>
      <c r="C696" s="33" t="s">
        <v>24</v>
      </c>
      <c r="D696" s="34">
        <v>2006</v>
      </c>
      <c r="E696" s="34" t="s">
        <v>760</v>
      </c>
      <c r="F696" s="6"/>
      <c r="G696" s="6"/>
      <c r="H696" s="6"/>
      <c r="I696" s="6"/>
      <c r="J696" s="6">
        <v>8</v>
      </c>
      <c r="K696" s="6">
        <v>8</v>
      </c>
      <c r="L696" s="6"/>
      <c r="M696" s="6"/>
      <c r="N696" s="6"/>
      <c r="O696" s="6"/>
      <c r="P696" s="6"/>
      <c r="Q696" s="6">
        <v>8</v>
      </c>
      <c r="R696" s="6"/>
      <c r="S696" s="35">
        <f>SUM(F696:R696)</f>
        <v>24</v>
      </c>
      <c r="T696" s="35">
        <f>COUNT(F696:R696)</f>
        <v>3</v>
      </c>
      <c r="U696" s="36">
        <f>IF(T696&gt;=2,ROUND((IF(T696=2,0.55,IF(T696&lt;=4,0.7,IF(T696&lt;=6,0.8,IF(T696&lt;=9,0.9,1))))*(S696/T696)+(1-(IF(T696=2,0.55,IF(T696&lt;=4,0.7,IF(T696&lt;=6,0.8,IF(T696&lt;=9,0.9,1))))))*$Y$1),1),"")</f>
        <v>8</v>
      </c>
      <c r="V696" s="37">
        <v>7.6</v>
      </c>
      <c r="W696" s="38"/>
    </row>
    <row r="697" ht="24" customHeight="1" spans="1:23" x14ac:dyDescent="0.25">
      <c r="A697" s="31">
        <v>1530</v>
      </c>
      <c r="B697" s="32" t="s">
        <v>771</v>
      </c>
      <c r="C697" s="33" t="s">
        <v>24</v>
      </c>
      <c r="D697" s="34">
        <v>2022</v>
      </c>
      <c r="E697" s="34" t="s">
        <v>81</v>
      </c>
      <c r="F697" s="6">
        <v>8</v>
      </c>
      <c r="G697" s="6">
        <v>7</v>
      </c>
      <c r="H697" s="6"/>
      <c r="I697" s="6"/>
      <c r="J697" s="6"/>
      <c r="K697" s="6">
        <v>8</v>
      </c>
      <c r="L697" s="6">
        <v>8</v>
      </c>
      <c r="M697" s="6"/>
      <c r="N697" s="6"/>
      <c r="O697" s="6">
        <v>10</v>
      </c>
      <c r="P697" s="6"/>
      <c r="Q697" s="6">
        <v>8</v>
      </c>
      <c r="R697" s="6">
        <v>10</v>
      </c>
      <c r="S697" s="35">
        <f>SUM(F697:R697)</f>
        <v>59</v>
      </c>
      <c r="T697" s="35">
        <f>COUNT(F697:R697)</f>
        <v>7</v>
      </c>
      <c r="U697" s="36">
        <f>IF(T697&gt;=2,ROUND((IF(T697=2,0.55,IF(T697&lt;=4,0.7,IF(T697&lt;=6,0.8,IF(T697&lt;=9,0.9,1))))*(S697/T697)+(1-(IF(T697=2,0.55,IF(T697&lt;=4,0.7,IF(T697&lt;=6,0.8,IF(T697&lt;=9,0.9,1))))))*$Y$1),1),"")</f>
        <v>8.4</v>
      </c>
      <c r="V697" s="37">
        <v>7.5</v>
      </c>
      <c r="W697" s="38"/>
    </row>
    <row r="698" ht="24" customHeight="1" spans="1:23" x14ac:dyDescent="0.25">
      <c r="A698" s="31">
        <v>100</v>
      </c>
      <c r="B698" s="32" t="s">
        <v>772</v>
      </c>
      <c r="C698" s="33" t="s">
        <v>24</v>
      </c>
      <c r="D698" s="34">
        <v>1993</v>
      </c>
      <c r="E698" s="34" t="s">
        <v>773</v>
      </c>
      <c r="F698" s="6">
        <v>10</v>
      </c>
      <c r="G698" s="6">
        <v>8</v>
      </c>
      <c r="H698" s="6">
        <v>8</v>
      </c>
      <c r="I698" s="6">
        <v>8</v>
      </c>
      <c r="J698" s="6">
        <v>10</v>
      </c>
      <c r="K698" s="6">
        <v>10</v>
      </c>
      <c r="L698" s="6">
        <v>10</v>
      </c>
      <c r="M698" s="6">
        <v>8</v>
      </c>
      <c r="N698" s="6"/>
      <c r="O698" s="6">
        <v>10</v>
      </c>
      <c r="P698" s="6">
        <v>10</v>
      </c>
      <c r="Q698" s="6">
        <v>10</v>
      </c>
      <c r="R698" s="6">
        <v>10</v>
      </c>
      <c r="S698" s="35">
        <f>SUM(F698:R698)</f>
        <v>112</v>
      </c>
      <c r="T698" s="35">
        <f>COUNT(F698:R698)</f>
        <v>12</v>
      </c>
      <c r="U698" s="36">
        <f>IF(T698&gt;=2,ROUND((IF(T698=2,0.55,IF(T698&lt;=4,0.7,IF(T698&lt;=6,0.8,IF(T698&lt;=9,0.9,1))))*(S698/T698)+(1-(IF(T698=2,0.55,IF(T698&lt;=4,0.7,IF(T698&lt;=6,0.8,IF(T698&lt;=9,0.9,1))))))*$Y$1),1),"")</f>
        <v>9.3</v>
      </c>
      <c r="V698" s="37">
        <v>7.5</v>
      </c>
      <c r="W698" s="38"/>
    </row>
    <row r="699" ht="24" customHeight="1" spans="1:23" x14ac:dyDescent="0.25">
      <c r="A699" s="31">
        <v>99</v>
      </c>
      <c r="B699" s="32" t="s">
        <v>774</v>
      </c>
      <c r="C699" s="33" t="s">
        <v>24</v>
      </c>
      <c r="D699" s="34">
        <v>2002</v>
      </c>
      <c r="E699" s="34" t="s">
        <v>137</v>
      </c>
      <c r="F699" s="6">
        <v>10</v>
      </c>
      <c r="G699" s="6">
        <v>9</v>
      </c>
      <c r="H699" s="6">
        <v>10</v>
      </c>
      <c r="I699" s="6">
        <v>10</v>
      </c>
      <c r="J699" s="6">
        <v>10</v>
      </c>
      <c r="K699" s="6">
        <v>10</v>
      </c>
      <c r="L699" s="6">
        <v>10</v>
      </c>
      <c r="M699" s="6">
        <v>8</v>
      </c>
      <c r="N699" s="6">
        <v>10</v>
      </c>
      <c r="O699" s="6">
        <v>10</v>
      </c>
      <c r="P699" s="6">
        <v>10</v>
      </c>
      <c r="Q699" s="6">
        <v>10</v>
      </c>
      <c r="R699" s="6">
        <v>8</v>
      </c>
      <c r="S699" s="35">
        <f>SUM(F699:R699)</f>
        <v>125</v>
      </c>
      <c r="T699" s="35">
        <f>COUNT(F699:R699)</f>
        <v>13</v>
      </c>
      <c r="U699" s="36">
        <f>IF(T699&gt;=2,ROUND((IF(T699=2,0.55,IF(T699&lt;=4,0.7,IF(T699&lt;=6,0.8,IF(T699&lt;=9,0.9,1))))*(S699/T699)+(1-(IF(T699=2,0.55,IF(T699&lt;=4,0.7,IF(T699&lt;=6,0.8,IF(T699&lt;=9,0.9,1))))))*$Y$1),1),"")</f>
        <v>9.6</v>
      </c>
      <c r="V699" s="37">
        <v>8.5</v>
      </c>
      <c r="W699" s="38"/>
    </row>
    <row r="700" ht="24" customHeight="1" spans="1:23" x14ac:dyDescent="0.25">
      <c r="A700" s="31">
        <v>1432</v>
      </c>
      <c r="B700" s="32" t="s">
        <v>775</v>
      </c>
      <c r="C700" s="33" t="s">
        <v>24</v>
      </c>
      <c r="D700" s="34">
        <v>2022</v>
      </c>
      <c r="E700" s="34" t="s">
        <v>27</v>
      </c>
      <c r="F700" s="6"/>
      <c r="G700" s="6"/>
      <c r="H700" s="6"/>
      <c r="I700" s="6"/>
      <c r="J700" s="6">
        <v>8</v>
      </c>
      <c r="K700" s="6">
        <v>5</v>
      </c>
      <c r="L700" s="6"/>
      <c r="M700" s="6"/>
      <c r="N700" s="6"/>
      <c r="O700" s="6"/>
      <c r="P700" s="6"/>
      <c r="Q700" s="6">
        <v>5</v>
      </c>
      <c r="R700" s="6"/>
      <c r="S700" s="35">
        <f>SUM(F700:R700)</f>
        <v>18</v>
      </c>
      <c r="T700" s="35">
        <f>COUNT(F700:R700)</f>
        <v>3</v>
      </c>
      <c r="U700" s="36">
        <f>IF(T700&gt;=2,ROUND((IF(T700=2,0.55,IF(T700&lt;=4,0.7,IF(T700&lt;=6,0.8,IF(T700&lt;=9,0.9,1))))*(S700/T700)+(1-(IF(T700=2,0.55,IF(T700&lt;=4,0.7,IF(T700&lt;=6,0.8,IF(T700&lt;=9,0.9,1))))))*$Y$1),1),"")</f>
        <v>6.6</v>
      </c>
      <c r="V700" s="37">
        <v>7</v>
      </c>
      <c r="W700" s="38"/>
    </row>
    <row r="701" ht="24" customHeight="1" spans="1:23" x14ac:dyDescent="0.25">
      <c r="A701" s="31">
        <v>1421</v>
      </c>
      <c r="B701" s="32" t="s">
        <v>776</v>
      </c>
      <c r="C701" s="33" t="s">
        <v>24</v>
      </c>
      <c r="D701" s="34">
        <v>2020</v>
      </c>
      <c r="E701" s="34" t="s">
        <v>777</v>
      </c>
      <c r="F701" s="6"/>
      <c r="G701" s="6"/>
      <c r="H701" s="6"/>
      <c r="I701" s="6"/>
      <c r="J701" s="6">
        <v>9</v>
      </c>
      <c r="K701" s="6"/>
      <c r="L701" s="6"/>
      <c r="M701" s="6"/>
      <c r="N701" s="6"/>
      <c r="O701" s="6"/>
      <c r="P701" s="6"/>
      <c r="Q701" s="6"/>
      <c r="R701" s="6"/>
      <c r="S701" s="35">
        <f>SUM(F701:R701)</f>
        <v>9</v>
      </c>
      <c r="T701" s="35">
        <f>COUNT(F701:R701)</f>
        <v>1</v>
      </c>
      <c r="U701" s="36">
        <f>IF(T701&gt;=2,ROUND((IF(T701=2,0.55,IF(T701&lt;=4,0.7,IF(T701&lt;=6,0.8,IF(T701&lt;=9,0.9,1))))*(S701/T701)+(1-(IF(T701=2,0.55,IF(T701&lt;=4,0.7,IF(T701&lt;=6,0.8,IF(T701&lt;=9,0.9,1))))))*$Y$1),1),"")</f>
      </c>
      <c r="V701" s="37">
        <v>7.1</v>
      </c>
      <c r="W701" s="38"/>
    </row>
    <row r="702" ht="24" customHeight="1" spans="1:23" x14ac:dyDescent="0.25">
      <c r="A702" s="31">
        <v>268</v>
      </c>
      <c r="B702" s="32" t="s">
        <v>778</v>
      </c>
      <c r="C702" s="33" t="s">
        <v>24</v>
      </c>
      <c r="D702" s="34">
        <v>2009</v>
      </c>
      <c r="E702" s="34" t="s">
        <v>30</v>
      </c>
      <c r="F702" s="6"/>
      <c r="G702" s="6">
        <v>7</v>
      </c>
      <c r="H702" s="6">
        <v>8</v>
      </c>
      <c r="I702" s="6"/>
      <c r="J702" s="6">
        <v>8</v>
      </c>
      <c r="K702" s="6">
        <v>6</v>
      </c>
      <c r="L702" s="6">
        <v>10</v>
      </c>
      <c r="M702" s="6"/>
      <c r="N702" s="6"/>
      <c r="O702" s="6">
        <v>8</v>
      </c>
      <c r="P702" s="6">
        <v>6</v>
      </c>
      <c r="Q702" s="6">
        <v>6</v>
      </c>
      <c r="R702" s="6"/>
      <c r="S702" s="35">
        <f>SUM(F702:R702)</f>
        <v>59</v>
      </c>
      <c r="T702" s="35">
        <f>COUNT(F702:R702)</f>
        <v>8</v>
      </c>
      <c r="U702" s="36">
        <f>IF(T702&gt;=2,ROUND((IF(T702=2,0.55,IF(T702&lt;=4,0.7,IF(T702&lt;=6,0.8,IF(T702&lt;=9,0.9,1))))*(S702/T702)+(1-(IF(T702=2,0.55,IF(T702&lt;=4,0.7,IF(T702&lt;=6,0.8,IF(T702&lt;=9,0.9,1))))))*$Y$1),1),"")</f>
        <v>7.4</v>
      </c>
      <c r="V702" s="37">
        <v>7.1</v>
      </c>
      <c r="W702" s="38"/>
    </row>
    <row r="703" ht="47.25" customHeight="1" spans="1:23" x14ac:dyDescent="0.25">
      <c r="A703" s="31">
        <v>746</v>
      </c>
      <c r="B703" s="32" t="s">
        <v>779</v>
      </c>
      <c r="C703" s="33" t="s">
        <v>24</v>
      </c>
      <c r="D703" s="34">
        <v>2013</v>
      </c>
      <c r="E703" s="34" t="s">
        <v>27</v>
      </c>
      <c r="F703" s="6">
        <v>6</v>
      </c>
      <c r="G703" s="6">
        <v>8</v>
      </c>
      <c r="H703" s="6"/>
      <c r="I703" s="6"/>
      <c r="J703" s="6"/>
      <c r="K703" s="6"/>
      <c r="L703" s="6">
        <v>8</v>
      </c>
      <c r="M703" s="6"/>
      <c r="N703" s="6"/>
      <c r="O703" s="6"/>
      <c r="P703" s="6">
        <v>8</v>
      </c>
      <c r="Q703" s="6"/>
      <c r="R703" s="6"/>
      <c r="S703" s="35">
        <f>SUM(F703:R703)</f>
        <v>30</v>
      </c>
      <c r="T703" s="35">
        <f>COUNT(F703:R703)</f>
        <v>4</v>
      </c>
      <c r="U703" s="36">
        <f>IF(T703&gt;=2,ROUND((IF(T703=2,0.55,IF(T703&lt;=4,0.7,IF(T703&lt;=6,0.8,IF(T703&lt;=9,0.9,1))))*(S703/T703)+(1-(IF(T703=2,0.55,IF(T703&lt;=4,0.7,IF(T703&lt;=6,0.8,IF(T703&lt;=9,0.9,1))))))*$Y$1),1),"")</f>
        <v>7.7</v>
      </c>
      <c r="V703" s="37">
        <v>7.7</v>
      </c>
      <c r="W703" s="38"/>
    </row>
    <row r="704" ht="24" customHeight="1" spans="1:23" x14ac:dyDescent="0.25">
      <c r="A704" s="31">
        <v>1480</v>
      </c>
      <c r="B704" s="32" t="s">
        <v>780</v>
      </c>
      <c r="C704" s="33" t="s">
        <v>24</v>
      </c>
      <c r="D704" s="34">
        <v>2022</v>
      </c>
      <c r="E704" s="34" t="s">
        <v>30</v>
      </c>
      <c r="F704" s="6"/>
      <c r="G704" s="6"/>
      <c r="H704" s="6">
        <v>6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35">
        <f>SUM(F704:R704)</f>
        <v>6</v>
      </c>
      <c r="T704" s="35">
        <f>COUNT(F704:R704)</f>
        <v>1</v>
      </c>
      <c r="U704" s="36">
        <f>IF(T704&gt;=2,ROUND((IF(T704=2,0.55,IF(T704&lt;=4,0.7,IF(T704&lt;=6,0.8,IF(T704&lt;=9,0.9,1))))*(S704/T704)+(1-(IF(T704=2,0.55,IF(T704&lt;=4,0.7,IF(T704&lt;=6,0.8,IF(T704&lt;=9,0.9,1))))))*$Y$1),1),"")</f>
      </c>
      <c r="V704" s="37">
        <v>6.6</v>
      </c>
      <c r="W704" s="38"/>
    </row>
    <row r="705" ht="24" customHeight="1" spans="1:23" x14ac:dyDescent="0.25">
      <c r="A705" s="31">
        <v>1644</v>
      </c>
      <c r="B705" s="32" t="s">
        <v>781</v>
      </c>
      <c r="C705" s="33" t="s">
        <v>24</v>
      </c>
      <c r="D705" s="34">
        <v>2011</v>
      </c>
      <c r="E705" s="34" t="s">
        <v>30</v>
      </c>
      <c r="F705" s="6"/>
      <c r="G705" s="6">
        <v>7</v>
      </c>
      <c r="H705" s="6"/>
      <c r="I705" s="6"/>
      <c r="J705" s="6"/>
      <c r="K705" s="6">
        <v>9</v>
      </c>
      <c r="L705" s="6"/>
      <c r="M705" s="6"/>
      <c r="N705" s="6"/>
      <c r="O705" s="6"/>
      <c r="P705" s="6">
        <v>8</v>
      </c>
      <c r="Q705" s="6">
        <v>9</v>
      </c>
      <c r="R705" s="6"/>
      <c r="S705" s="35">
        <f>SUM(F705:R705)</f>
        <v>33</v>
      </c>
      <c r="T705" s="35">
        <f>COUNT(F705:R705)</f>
        <v>4</v>
      </c>
      <c r="U705" s="36">
        <f>IF(T705&gt;=2,ROUND((IF(T705=2,0.55,IF(T705&lt;=4,0.7,IF(T705&lt;=6,0.8,IF(T705&lt;=9,0.9,1))))*(S705/T705)+(1-(IF(T705=2,0.55,IF(T705&lt;=4,0.7,IF(T705&lt;=6,0.8,IF(T705&lt;=9,0.9,1))))))*$Y$1),1),"")</f>
        <v>8.2</v>
      </c>
      <c r="V705" s="37">
        <v>7.2</v>
      </c>
      <c r="W705" s="38"/>
    </row>
    <row r="706" ht="24" customHeight="1" spans="1:23" x14ac:dyDescent="0.25">
      <c r="A706" s="31">
        <v>1100</v>
      </c>
      <c r="B706" s="32" t="s">
        <v>782</v>
      </c>
      <c r="C706" s="33" t="s">
        <v>24</v>
      </c>
      <c r="D706" s="34">
        <v>2021</v>
      </c>
      <c r="E706" s="34" t="s">
        <v>30</v>
      </c>
      <c r="F706" s="6">
        <v>6</v>
      </c>
      <c r="G706" s="6"/>
      <c r="H706" s="6"/>
      <c r="I706" s="6"/>
      <c r="J706" s="6"/>
      <c r="K706" s="6"/>
      <c r="L706" s="6">
        <v>6</v>
      </c>
      <c r="M706" s="6"/>
      <c r="N706" s="6"/>
      <c r="O706" s="6">
        <v>8</v>
      </c>
      <c r="P706" s="6"/>
      <c r="Q706" s="6"/>
      <c r="R706" s="6"/>
      <c r="S706" s="35">
        <f>SUM(F706:R706)</f>
        <v>20</v>
      </c>
      <c r="T706" s="35">
        <f>COUNT(F706:R706)</f>
        <v>3</v>
      </c>
      <c r="U706" s="36">
        <f>IF(T706&gt;=2,ROUND((IF(T706=2,0.55,IF(T706&lt;=4,0.7,IF(T706&lt;=6,0.8,IF(T706&lt;=9,0.9,1))))*(S706/T706)+(1-(IF(T706=2,0.55,IF(T706&lt;=4,0.7,IF(T706&lt;=6,0.8,IF(T706&lt;=9,0.9,1))))))*$Y$1),1),"")</f>
        <v>7.1</v>
      </c>
      <c r="V706" s="37">
        <v>5.6</v>
      </c>
      <c r="W706" s="38"/>
    </row>
    <row r="707" ht="24" customHeight="1" spans="1:23" x14ac:dyDescent="0.25">
      <c r="A707" s="31">
        <v>529</v>
      </c>
      <c r="B707" s="32" t="s">
        <v>783</v>
      </c>
      <c r="C707" s="33" t="s">
        <v>24</v>
      </c>
      <c r="D707" s="34">
        <v>1993</v>
      </c>
      <c r="E707" s="34" t="s">
        <v>33</v>
      </c>
      <c r="F707" s="6"/>
      <c r="G707" s="6">
        <v>8</v>
      </c>
      <c r="H707" s="6"/>
      <c r="I707" s="6"/>
      <c r="J707" s="6"/>
      <c r="K707" s="6"/>
      <c r="L707" s="6"/>
      <c r="M707" s="6"/>
      <c r="N707" s="6"/>
      <c r="O707" s="6"/>
      <c r="P707" s="6">
        <v>8</v>
      </c>
      <c r="Q707" s="6"/>
      <c r="R707" s="6"/>
      <c r="S707" s="35">
        <f>SUM(F707:R707)</f>
        <v>16</v>
      </c>
      <c r="T707" s="35">
        <f>COUNT(F707:R707)</f>
        <v>2</v>
      </c>
      <c r="U707" s="36">
        <f>IF(T707&gt;=2,ROUND((IF(T707=2,0.55,IF(T707&lt;=4,0.7,IF(T707&lt;=6,0.8,IF(T707&lt;=9,0.9,1))))*(S707/T707)+(1-(IF(T707=2,0.55,IF(T707&lt;=4,0.7,IF(T707&lt;=6,0.8,IF(T707&lt;=9,0.9,1))))))*$Y$1),1),"")</f>
        <v>8</v>
      </c>
      <c r="V707" s="37">
        <v>7.9</v>
      </c>
      <c r="W707" s="38"/>
    </row>
    <row r="708" ht="24" customHeight="1" spans="1:23" x14ac:dyDescent="0.25">
      <c r="A708" s="31">
        <v>1614</v>
      </c>
      <c r="B708" s="32" t="s">
        <v>784</v>
      </c>
      <c r="C708" s="33" t="s">
        <v>24</v>
      </c>
      <c r="D708" s="34">
        <v>2023</v>
      </c>
      <c r="E708" s="34" t="s">
        <v>27</v>
      </c>
      <c r="F708" s="6">
        <v>8</v>
      </c>
      <c r="G708" s="6">
        <v>8</v>
      </c>
      <c r="H708" s="6"/>
      <c r="I708" s="6"/>
      <c r="J708" s="6">
        <v>8</v>
      </c>
      <c r="K708" s="6">
        <v>8</v>
      </c>
      <c r="L708" s="6"/>
      <c r="M708" s="6">
        <v>8</v>
      </c>
      <c r="N708" s="6">
        <v>8</v>
      </c>
      <c r="O708" s="6"/>
      <c r="P708" s="6">
        <v>7</v>
      </c>
      <c r="Q708" s="6">
        <v>8</v>
      </c>
      <c r="R708" s="6"/>
      <c r="S708" s="35">
        <f>SUM(F708:R708)</f>
        <v>63</v>
      </c>
      <c r="T708" s="35">
        <f>COUNT(F708:R708)</f>
        <v>8</v>
      </c>
      <c r="U708" s="36">
        <f>IF(T708&gt;=2,ROUND((IF(T708=2,0.55,IF(T708&lt;=4,0.7,IF(T708&lt;=6,0.8,IF(T708&lt;=9,0.9,1))))*(S708/T708)+(1-(IF(T708=2,0.55,IF(T708&lt;=4,0.7,IF(T708&lt;=6,0.8,IF(T708&lt;=9,0.9,1))))))*$Y$1),1),"")</f>
        <v>7.9</v>
      </c>
      <c r="V708" s="37">
        <v>7.5</v>
      </c>
      <c r="W708" s="38"/>
    </row>
    <row r="709" ht="24" customHeight="1" spans="1:23" x14ac:dyDescent="0.25">
      <c r="A709" s="42">
        <v>253</v>
      </c>
      <c r="B709" s="32" t="s">
        <v>785</v>
      </c>
      <c r="C709" s="43" t="s">
        <v>24</v>
      </c>
      <c r="D709" s="44">
        <v>1996</v>
      </c>
      <c r="E709" s="44" t="s">
        <v>410</v>
      </c>
      <c r="F709" s="6">
        <v>10</v>
      </c>
      <c r="G709" s="6">
        <v>8</v>
      </c>
      <c r="H709" s="6">
        <v>10</v>
      </c>
      <c r="I709" s="6">
        <v>10</v>
      </c>
      <c r="J709" s="6">
        <v>10</v>
      </c>
      <c r="K709" s="6">
        <v>10</v>
      </c>
      <c r="L709" s="6">
        <v>10</v>
      </c>
      <c r="M709" s="6">
        <v>10</v>
      </c>
      <c r="N709" s="6">
        <v>10</v>
      </c>
      <c r="O709" s="6">
        <v>10</v>
      </c>
      <c r="P709" s="6">
        <v>10</v>
      </c>
      <c r="Q709" s="6">
        <v>10</v>
      </c>
      <c r="R709" s="6">
        <v>10</v>
      </c>
      <c r="S709" s="45">
        <f>SUM(F709:R709)</f>
        <v>128</v>
      </c>
      <c r="T709" s="45">
        <f>COUNT(F709:R709)</f>
        <v>13</v>
      </c>
      <c r="U709" s="36">
        <f>IF(T709&gt;=2,ROUND((IF(T709=2,0.55,IF(T709&lt;=4,0.7,IF(T709&lt;=6,0.8,IF(T709&lt;=9,0.9,1))))*(S709/T709)+(1-(IF(T709=2,0.55,IF(T709&lt;=4,0.7,IF(T709&lt;=6,0.8,IF(T709&lt;=9,0.9,1))))))*$Y$1),1),"")</f>
        <v>9.8</v>
      </c>
      <c r="V709" s="37">
        <v>7.4</v>
      </c>
      <c r="W709" s="38" t="s">
        <v>44</v>
      </c>
    </row>
    <row r="710" ht="24" customHeight="1" spans="1:23" x14ac:dyDescent="0.25">
      <c r="A710" s="40">
        <v>2358</v>
      </c>
      <c r="B710" s="32" t="s">
        <v>786</v>
      </c>
      <c r="C710" s="33" t="s">
        <v>29</v>
      </c>
      <c r="D710" s="34">
        <v>2022</v>
      </c>
      <c r="E710" s="41"/>
      <c r="F710" s="6">
        <v>8</v>
      </c>
      <c r="G710" s="6"/>
      <c r="H710" s="6"/>
      <c r="I710" s="6"/>
      <c r="J710" s="6"/>
      <c r="K710" s="6"/>
      <c r="L710" s="6">
        <v>8</v>
      </c>
      <c r="M710" s="6"/>
      <c r="N710" s="6"/>
      <c r="O710" s="6"/>
      <c r="P710" s="6"/>
      <c r="Q710" s="6"/>
      <c r="R710" s="6"/>
      <c r="S710" s="35">
        <f>SUM(F710:R710)</f>
        <v>16</v>
      </c>
      <c r="T710" s="35">
        <f>COUNT(F710:R710)</f>
        <v>2</v>
      </c>
      <c r="U710" s="36">
        <f>IF(T710&gt;=2,ROUND((IF(T710=2,0.55,IF(T710&lt;=4,0.7,IF(T710&lt;=6,0.8,IF(T710&lt;=9,0.9,1))))*(S710/T710)+(1-(IF(T710=2,0.55,IF(T710&lt;=4,0.7,IF(T710&lt;=6,0.8,IF(T710&lt;=9,0.9,1))))))*$Y$1),1),"")</f>
        <v>8</v>
      </c>
      <c r="V710" s="37">
        <v>7</v>
      </c>
      <c r="W710" s="38"/>
    </row>
    <row r="711" ht="24" customHeight="1" spans="1:23" x14ac:dyDescent="0.25">
      <c r="A711" s="31">
        <v>401</v>
      </c>
      <c r="B711" s="32" t="s">
        <v>787</v>
      </c>
      <c r="C711" s="33" t="s">
        <v>24</v>
      </c>
      <c r="D711" s="34">
        <v>2019</v>
      </c>
      <c r="E711" s="34" t="s">
        <v>60</v>
      </c>
      <c r="F711" s="6">
        <v>6</v>
      </c>
      <c r="G711" s="6"/>
      <c r="H711" s="6"/>
      <c r="I711" s="6"/>
      <c r="J711" s="6"/>
      <c r="K711" s="6">
        <v>6</v>
      </c>
      <c r="L711" s="6"/>
      <c r="M711" s="6">
        <v>6</v>
      </c>
      <c r="N711" s="6"/>
      <c r="O711" s="6">
        <v>6</v>
      </c>
      <c r="P711" s="6"/>
      <c r="Q711" s="6">
        <v>6</v>
      </c>
      <c r="R711" s="6"/>
      <c r="S711" s="35">
        <f>SUM(F711:R711)</f>
        <v>30</v>
      </c>
      <c r="T711" s="35">
        <f>COUNT(F711:R711)</f>
        <v>5</v>
      </c>
      <c r="U711" s="36">
        <f>IF(T711&gt;=2,ROUND((IF(T711=2,0.55,IF(T711&lt;=4,0.7,IF(T711&lt;=6,0.8,IF(T711&lt;=9,0.9,1))))*(S711/T711)+(1-(IF(T711=2,0.55,IF(T711&lt;=4,0.7,IF(T711&lt;=6,0.8,IF(T711&lt;=9,0.9,1))))))*$Y$1),1),"")</f>
        <v>6.4</v>
      </c>
      <c r="V711" s="37">
        <v>5.4</v>
      </c>
      <c r="W711" s="38"/>
    </row>
    <row r="712" ht="47.25" customHeight="1" spans="1:23" x14ac:dyDescent="0.25">
      <c r="A712" s="31">
        <v>1758</v>
      </c>
      <c r="B712" s="32" t="s">
        <v>788</v>
      </c>
      <c r="C712" s="33" t="s">
        <v>24</v>
      </c>
      <c r="D712" s="34">
        <v>2017</v>
      </c>
      <c r="E712" s="34" t="s">
        <v>81</v>
      </c>
      <c r="F712" s="6"/>
      <c r="G712" s="6"/>
      <c r="H712" s="6"/>
      <c r="I712" s="6"/>
      <c r="J712" s="6">
        <v>8</v>
      </c>
      <c r="K712" s="6"/>
      <c r="L712" s="6"/>
      <c r="M712" s="6"/>
      <c r="N712" s="6"/>
      <c r="O712" s="6"/>
      <c r="P712" s="6"/>
      <c r="Q712" s="6"/>
      <c r="R712" s="6"/>
      <c r="S712" s="35">
        <f>SUM(F712:R712)</f>
        <v>8</v>
      </c>
      <c r="T712" s="35">
        <f>COUNT(F712:R712)</f>
        <v>1</v>
      </c>
      <c r="U712" s="36">
        <f>IF(T712&gt;=2,ROUND((IF(T712=2,0.55,IF(T712&lt;=4,0.7,IF(T712&lt;=6,0.8,IF(T712&lt;=9,0.9,1))))*(S712/T712)+(1-(IF(T712=2,0.55,IF(T712&lt;=4,0.7,IF(T712&lt;=6,0.8,IF(T712&lt;=9,0.9,1))))))*$Y$1),1),"")</f>
      </c>
      <c r="V712" s="37">
        <v>7.2</v>
      </c>
      <c r="W712" s="38"/>
    </row>
    <row r="713" ht="24" customHeight="1" spans="1:23" x14ac:dyDescent="0.25">
      <c r="A713" s="42">
        <v>1578</v>
      </c>
      <c r="B713" s="32" t="s">
        <v>789</v>
      </c>
      <c r="C713" s="43" t="s">
        <v>24</v>
      </c>
      <c r="D713" s="44">
        <v>1992</v>
      </c>
      <c r="E713" s="44" t="s">
        <v>30</v>
      </c>
      <c r="F713" s="6">
        <v>8</v>
      </c>
      <c r="G713" s="6">
        <v>7</v>
      </c>
      <c r="H713" s="6">
        <v>8</v>
      </c>
      <c r="I713" s="6">
        <v>8</v>
      </c>
      <c r="J713" s="6">
        <v>9</v>
      </c>
      <c r="K713" s="6"/>
      <c r="L713" s="6"/>
      <c r="M713" s="6"/>
      <c r="N713" s="6"/>
      <c r="O713" s="6">
        <v>9</v>
      </c>
      <c r="P713" s="6"/>
      <c r="Q713" s="6"/>
      <c r="R713" s="6"/>
      <c r="S713" s="45">
        <f>SUM(F713:R713)</f>
        <v>49</v>
      </c>
      <c r="T713" s="45">
        <f>COUNT(F713:R713)</f>
        <v>6</v>
      </c>
      <c r="U713" s="36">
        <f>IF(T713&gt;=2,ROUND((IF(T713=2,0.55,IF(T713&lt;=4,0.7,IF(T713&lt;=6,0.8,IF(T713&lt;=9,0.9,1))))*(S713/T713)+(1-(IF(T713=2,0.55,IF(T713&lt;=4,0.7,IF(T713&lt;=6,0.8,IF(T713&lt;=9,0.9,1))))))*$Y$1),1),"")</f>
        <v>8.2</v>
      </c>
      <c r="V713" s="37">
        <v>7.3</v>
      </c>
      <c r="W713" s="38" t="s">
        <v>44</v>
      </c>
    </row>
    <row r="714" ht="24" customHeight="1" spans="1:23" x14ac:dyDescent="0.25">
      <c r="A714" s="40">
        <v>2437</v>
      </c>
      <c r="B714" s="32" t="s">
        <v>790</v>
      </c>
      <c r="C714" s="33" t="s">
        <v>29</v>
      </c>
      <c r="D714" s="34">
        <v>2026</v>
      </c>
      <c r="E714" s="41"/>
      <c r="F714" s="6"/>
      <c r="G714" s="6"/>
      <c r="H714" s="6">
        <v>8</v>
      </c>
      <c r="I714" s="6"/>
      <c r="J714" s="6"/>
      <c r="K714" s="6"/>
      <c r="L714" s="6"/>
      <c r="M714" s="6">
        <v>7</v>
      </c>
      <c r="N714" s="6"/>
      <c r="O714" s="6"/>
      <c r="P714" s="6"/>
      <c r="Q714" s="6"/>
      <c r="R714" s="6"/>
      <c r="S714" s="35">
        <f>SUM(F714:R714)</f>
        <v>15</v>
      </c>
      <c r="T714" s="35">
        <f>COUNT(F714:R714)</f>
        <v>2</v>
      </c>
      <c r="U714" s="36">
        <f>IF(T714&gt;=2,ROUND((IF(T714=2,0.55,IF(T714&lt;=4,0.7,IF(T714&lt;=6,0.8,IF(T714&lt;=9,0.9,1))))*(S714/T714)+(1-(IF(T714=2,0.55,IF(T714&lt;=4,0.7,IF(T714&lt;=6,0.8,IF(T714&lt;=9,0.9,1))))))*$Y$1),1),"")</f>
        <v>7.8</v>
      </c>
      <c r="V714" s="37">
        <v>7.3</v>
      </c>
      <c r="W714" s="38"/>
    </row>
    <row r="715" ht="47.25" customHeight="1" spans="1:23" x14ac:dyDescent="0.25">
      <c r="A715" s="40">
        <v>2443</v>
      </c>
      <c r="B715" s="32" t="s">
        <v>791</v>
      </c>
      <c r="C715" s="33" t="s">
        <v>24</v>
      </c>
      <c r="D715" s="34">
        <v>2025</v>
      </c>
      <c r="E715" s="41"/>
      <c r="F715" s="6"/>
      <c r="G715" s="6"/>
      <c r="H715" s="6"/>
      <c r="I715" s="6"/>
      <c r="J715" s="6"/>
      <c r="K715" s="6"/>
      <c r="L715" s="6"/>
      <c r="M715" s="6">
        <v>8</v>
      </c>
      <c r="N715" s="6"/>
      <c r="O715" s="6"/>
      <c r="P715" s="6"/>
      <c r="Q715" s="6"/>
      <c r="R715" s="6"/>
      <c r="S715" s="35">
        <f>SUM(F715:R715)</f>
        <v>8</v>
      </c>
      <c r="T715" s="35">
        <f>COUNT(F715:R715)</f>
        <v>1</v>
      </c>
      <c r="U715" s="36">
        <f>IF(T715&gt;=2,ROUND((IF(T715=2,0.55,IF(T715&lt;=4,0.7,IF(T715&lt;=6,0.8,IF(T715&lt;=9,0.9,1))))*(S715/T715)+(1-(IF(T715=2,0.55,IF(T715&lt;=4,0.7,IF(T715&lt;=6,0.8,IF(T715&lt;=9,0.9,1))))))*$Y$1),1),"")</f>
      </c>
      <c r="V715" s="37">
        <v>6.8</v>
      </c>
      <c r="W715" s="38"/>
    </row>
    <row r="716" ht="24" customHeight="1" spans="1:23" x14ac:dyDescent="0.25">
      <c r="A716" s="31">
        <v>1702</v>
      </c>
      <c r="B716" s="32" t="s">
        <v>792</v>
      </c>
      <c r="C716" s="33" t="s">
        <v>24</v>
      </c>
      <c r="D716" s="34">
        <v>2023</v>
      </c>
      <c r="E716" s="34" t="s">
        <v>30</v>
      </c>
      <c r="F716" s="6">
        <v>7</v>
      </c>
      <c r="G716" s="6"/>
      <c r="H716" s="6"/>
      <c r="I716" s="6"/>
      <c r="J716" s="6">
        <v>8</v>
      </c>
      <c r="K716" s="6"/>
      <c r="L716" s="6"/>
      <c r="M716" s="6"/>
      <c r="N716" s="6"/>
      <c r="O716" s="6"/>
      <c r="P716" s="6"/>
      <c r="Q716" s="6"/>
      <c r="R716" s="6">
        <v>10</v>
      </c>
      <c r="S716" s="35">
        <f>SUM(F716:R716)</f>
        <v>25</v>
      </c>
      <c r="T716" s="35">
        <f>COUNT(F716:R716)</f>
        <v>3</v>
      </c>
      <c r="U716" s="36">
        <f>IF(T716&gt;=2,ROUND((IF(T716=2,0.55,IF(T716&lt;=4,0.7,IF(T716&lt;=6,0.8,IF(T716&lt;=9,0.9,1))))*(S716/T716)+(1-(IF(T716=2,0.55,IF(T716&lt;=4,0.7,IF(T716&lt;=6,0.8,IF(T716&lt;=9,0.9,1))))))*$Y$1),1),"")</f>
        <v>8.3</v>
      </c>
      <c r="V716" s="37">
        <v>6.4</v>
      </c>
      <c r="W716" s="38"/>
    </row>
    <row r="717" ht="24" customHeight="1" spans="1:23" x14ac:dyDescent="0.25">
      <c r="A717" s="40">
        <v>2436</v>
      </c>
      <c r="B717" s="32" t="s">
        <v>793</v>
      </c>
      <c r="C717" s="33" t="s">
        <v>24</v>
      </c>
      <c r="D717" s="34">
        <v>2026</v>
      </c>
      <c r="E717" s="41"/>
      <c r="F717" s="6"/>
      <c r="G717" s="6"/>
      <c r="H717" s="6"/>
      <c r="I717" s="6"/>
      <c r="J717" s="6"/>
      <c r="K717" s="6"/>
      <c r="L717" s="6">
        <v>8</v>
      </c>
      <c r="M717" s="6"/>
      <c r="N717" s="6"/>
      <c r="O717" s="6"/>
      <c r="P717" s="6"/>
      <c r="Q717" s="6"/>
      <c r="R717" s="6"/>
      <c r="S717" s="35">
        <f>SUM(F717:R717)</f>
        <v>8</v>
      </c>
      <c r="T717" s="35">
        <f>COUNT(F717:R717)</f>
        <v>1</v>
      </c>
      <c r="U717" s="36">
        <f>IF(T717&gt;=2,ROUND((IF(T717=2,0.55,IF(T717&lt;=4,0.7,IF(T717&lt;=6,0.8,IF(T717&lt;=9,0.9,1))))*(S717/T717)+(1-(IF(T717=2,0.55,IF(T717&lt;=4,0.7,IF(T717&lt;=6,0.8,IF(T717&lt;=9,0.9,1))))))*$Y$1),1),"")</f>
      </c>
      <c r="V717" s="37">
        <v>6.1</v>
      </c>
      <c r="W717" s="38"/>
    </row>
    <row r="718" ht="24" customHeight="1" spans="1:23" x14ac:dyDescent="0.25">
      <c r="A718" s="42">
        <v>617</v>
      </c>
      <c r="B718" s="32" t="s">
        <v>794</v>
      </c>
      <c r="C718" s="43" t="s">
        <v>24</v>
      </c>
      <c r="D718" s="44">
        <v>2013</v>
      </c>
      <c r="E718" s="44" t="s">
        <v>27</v>
      </c>
      <c r="F718" s="6">
        <v>8</v>
      </c>
      <c r="G718" s="6">
        <v>8</v>
      </c>
      <c r="H718" s="6">
        <v>10</v>
      </c>
      <c r="I718" s="6">
        <v>10</v>
      </c>
      <c r="J718" s="6">
        <v>10</v>
      </c>
      <c r="K718" s="6">
        <v>10</v>
      </c>
      <c r="L718" s="6">
        <v>8</v>
      </c>
      <c r="M718" s="6">
        <v>8</v>
      </c>
      <c r="N718" s="6">
        <v>8</v>
      </c>
      <c r="O718" s="6"/>
      <c r="P718" s="6">
        <v>8</v>
      </c>
      <c r="Q718" s="6">
        <v>10</v>
      </c>
      <c r="R718" s="6">
        <v>10</v>
      </c>
      <c r="S718" s="45">
        <f>SUM(F718:R718)</f>
        <v>108</v>
      </c>
      <c r="T718" s="45">
        <f>COUNT(F718:R718)</f>
        <v>12</v>
      </c>
      <c r="U718" s="36">
        <f>IF(T718&gt;=2,ROUND((IF(T718=2,0.55,IF(T718&lt;=4,0.7,IF(T718&lt;=6,0.8,IF(T718&lt;=9,0.9,1))))*(S718/T718)+(1-(IF(T718=2,0.55,IF(T718&lt;=4,0.7,IF(T718&lt;=6,0.8,IF(T718&lt;=9,0.9,1))))))*$Y$1),1),"")</f>
        <v>9</v>
      </c>
      <c r="V718" s="37">
        <v>7.2</v>
      </c>
      <c r="W718" s="38" t="s">
        <v>44</v>
      </c>
    </row>
    <row r="719" ht="24" customHeight="1" spans="1:23" x14ac:dyDescent="0.25">
      <c r="A719" s="40">
        <v>2388</v>
      </c>
      <c r="B719" s="32" t="s">
        <v>795</v>
      </c>
      <c r="C719" s="33" t="s">
        <v>29</v>
      </c>
      <c r="D719" s="34">
        <v>2025</v>
      </c>
      <c r="E719" s="41"/>
      <c r="F719" s="6">
        <v>8</v>
      </c>
      <c r="G719" s="6"/>
      <c r="H719" s="6">
        <v>8</v>
      </c>
      <c r="I719" s="6"/>
      <c r="J719" s="6"/>
      <c r="K719" s="6"/>
      <c r="L719" s="6"/>
      <c r="M719" s="6">
        <v>8</v>
      </c>
      <c r="N719" s="6"/>
      <c r="O719" s="6">
        <v>8</v>
      </c>
      <c r="P719" s="6"/>
      <c r="Q719" s="6"/>
      <c r="R719" s="6"/>
      <c r="S719" s="35">
        <f>SUM(F719:R719)</f>
        <v>32</v>
      </c>
      <c r="T719" s="35">
        <f>COUNT(F719:R719)</f>
        <v>4</v>
      </c>
      <c r="U719" s="36">
        <f>IF(T719&gt;=2,ROUND((IF(T719=2,0.55,IF(T719&lt;=4,0.7,IF(T719&lt;=6,0.8,IF(T719&lt;=9,0.9,1))))*(S719/T719)+(1-(IF(T719=2,0.55,IF(T719&lt;=4,0.7,IF(T719&lt;=6,0.8,IF(T719&lt;=9,0.9,1))))))*$Y$1),1),"")</f>
        <v>8</v>
      </c>
      <c r="V719" s="37">
        <v>7.4</v>
      </c>
      <c r="W719" s="38"/>
    </row>
    <row r="720" ht="24" customHeight="1" spans="1:23" x14ac:dyDescent="0.25">
      <c r="A720" s="31">
        <v>1641</v>
      </c>
      <c r="B720" s="32" t="s">
        <v>796</v>
      </c>
      <c r="C720" s="33" t="s">
        <v>158</v>
      </c>
      <c r="D720" s="34">
        <v>2023</v>
      </c>
      <c r="E720" s="34" t="s">
        <v>30</v>
      </c>
      <c r="F720" s="6"/>
      <c r="G720" s="6"/>
      <c r="H720" s="6"/>
      <c r="I720" s="6"/>
      <c r="J720" s="6">
        <v>8</v>
      </c>
      <c r="K720" s="6"/>
      <c r="L720" s="6"/>
      <c r="M720" s="6"/>
      <c r="N720" s="6"/>
      <c r="O720" s="6"/>
      <c r="P720" s="6"/>
      <c r="Q720" s="6"/>
      <c r="R720" s="6"/>
      <c r="S720" s="35">
        <f>SUM(F720:R720)</f>
        <v>8</v>
      </c>
      <c r="T720" s="35">
        <f>COUNT(F720:R720)</f>
        <v>1</v>
      </c>
      <c r="U720" s="36">
        <f>IF(T720&gt;=2,ROUND((IF(T720=2,0.55,IF(T720&lt;=4,0.7,IF(T720&lt;=6,0.8,IF(T720&lt;=9,0.9,1))))*(S720/T720)+(1-(IF(T720=2,0.55,IF(T720&lt;=4,0.7,IF(T720&lt;=6,0.8,IF(T720&lt;=9,0.9,1))))))*$Y$1),1),"")</f>
      </c>
      <c r="V720" s="37">
        <v>7.7</v>
      </c>
      <c r="W720" s="38"/>
    </row>
    <row r="721" ht="24" customHeight="1" spans="1:23" x14ac:dyDescent="0.25">
      <c r="A721" s="31">
        <v>1126</v>
      </c>
      <c r="B721" s="32" t="s">
        <v>797</v>
      </c>
      <c r="C721" s="33" t="s">
        <v>24</v>
      </c>
      <c r="D721" s="34">
        <v>2019</v>
      </c>
      <c r="E721" s="34" t="s">
        <v>27</v>
      </c>
      <c r="F721" s="6"/>
      <c r="G721" s="6"/>
      <c r="H721" s="6"/>
      <c r="I721" s="6"/>
      <c r="J721" s="6"/>
      <c r="K721" s="6"/>
      <c r="L721" s="6"/>
      <c r="M721" s="6"/>
      <c r="N721" s="6"/>
      <c r="O721" s="6">
        <v>8</v>
      </c>
      <c r="P721" s="6"/>
      <c r="Q721" s="6"/>
      <c r="R721" s="6"/>
      <c r="S721" s="35">
        <f>SUM(F721:R721)</f>
        <v>8</v>
      </c>
      <c r="T721" s="35">
        <f>COUNT(F721:R721)</f>
        <v>1</v>
      </c>
      <c r="U721" s="36">
        <f>IF(T721&gt;=2,ROUND((IF(T721=2,0.55,IF(T721&lt;=4,0.7,IF(T721&lt;=6,0.8,IF(T721&lt;=9,0.9,1))))*(S721/T721)+(1-(IF(T721=2,0.55,IF(T721&lt;=4,0.7,IF(T721&lt;=6,0.8,IF(T721&lt;=9,0.9,1))))))*$Y$1),1),"")</f>
      </c>
      <c r="V721" s="37">
        <v>6.7</v>
      </c>
      <c r="W721" s="38"/>
    </row>
    <row r="722" ht="47.25" customHeight="1" spans="1:23" x14ac:dyDescent="0.25">
      <c r="A722" s="31">
        <v>296</v>
      </c>
      <c r="B722" s="32" t="s">
        <v>798</v>
      </c>
      <c r="C722" s="33" t="s">
        <v>114</v>
      </c>
      <c r="D722" s="34">
        <v>2002</v>
      </c>
      <c r="E722" s="34" t="s">
        <v>137</v>
      </c>
      <c r="F722" s="6">
        <v>6</v>
      </c>
      <c r="G722" s="6"/>
      <c r="H722" s="6"/>
      <c r="I722" s="6"/>
      <c r="J722" s="6"/>
      <c r="K722" s="6">
        <v>10</v>
      </c>
      <c r="L722" s="6"/>
      <c r="M722" s="6"/>
      <c r="N722" s="6"/>
      <c r="O722" s="6"/>
      <c r="P722" s="6"/>
      <c r="Q722" s="6">
        <v>10</v>
      </c>
      <c r="R722" s="6"/>
      <c r="S722" s="35">
        <f>SUM(F722:R722)</f>
        <v>26</v>
      </c>
      <c r="T722" s="35">
        <f>COUNT(F722:R722)</f>
        <v>3</v>
      </c>
      <c r="U722" s="36">
        <f>IF(T722&gt;=2,ROUND((IF(T722=2,0.55,IF(T722&lt;=4,0.7,IF(T722&lt;=6,0.8,IF(T722&lt;=9,0.9,1))))*(S722/T722)+(1-(IF(T722=2,0.55,IF(T722&lt;=4,0.7,IF(T722&lt;=6,0.8,IF(T722&lt;=9,0.9,1))))))*$Y$1),1),"")</f>
        <v>8.5</v>
      </c>
      <c r="V722" s="37">
        <v>6.1</v>
      </c>
      <c r="W722" s="38"/>
    </row>
    <row r="723" ht="24" customHeight="1" spans="1:23" x14ac:dyDescent="0.25">
      <c r="A723" s="31">
        <v>589</v>
      </c>
      <c r="B723" s="32" t="s">
        <v>799</v>
      </c>
      <c r="C723" s="33" t="s">
        <v>24</v>
      </c>
      <c r="D723" s="34">
        <v>2017</v>
      </c>
      <c r="E723" s="34" t="s">
        <v>30</v>
      </c>
      <c r="F723" s="6">
        <v>6</v>
      </c>
      <c r="G723" s="6"/>
      <c r="H723" s="6"/>
      <c r="I723" s="6"/>
      <c r="J723" s="6"/>
      <c r="K723" s="6">
        <v>6</v>
      </c>
      <c r="L723" s="6"/>
      <c r="M723" s="6"/>
      <c r="N723" s="6"/>
      <c r="O723" s="6"/>
      <c r="P723" s="6"/>
      <c r="Q723" s="6">
        <v>6</v>
      </c>
      <c r="R723" s="6"/>
      <c r="S723" s="35">
        <f>SUM(F723:R723)</f>
        <v>18</v>
      </c>
      <c r="T723" s="35">
        <f>COUNT(F723:R723)</f>
        <v>3</v>
      </c>
      <c r="U723" s="36">
        <f>IF(T723&gt;=2,ROUND((IF(T723=2,0.55,IF(T723&lt;=4,0.7,IF(T723&lt;=6,0.8,IF(T723&lt;=9,0.9,1))))*(S723/T723)+(1-(IF(T723=2,0.55,IF(T723&lt;=4,0.7,IF(T723&lt;=6,0.8,IF(T723&lt;=9,0.9,1))))))*$Y$1),1),"")</f>
        <v>6.6</v>
      </c>
      <c r="V723" s="37">
        <v>6.7</v>
      </c>
      <c r="W723" s="38"/>
    </row>
    <row r="724" ht="24" customHeight="1" spans="1:23" x14ac:dyDescent="0.25">
      <c r="A724" s="31">
        <v>1686</v>
      </c>
      <c r="B724" s="32" t="s">
        <v>800</v>
      </c>
      <c r="C724" s="33" t="s">
        <v>24</v>
      </c>
      <c r="D724" s="34">
        <v>2022</v>
      </c>
      <c r="E724" s="34" t="s">
        <v>30</v>
      </c>
      <c r="F724" s="6"/>
      <c r="G724" s="6"/>
      <c r="H724" s="6"/>
      <c r="I724" s="6"/>
      <c r="J724" s="6"/>
      <c r="K724" s="6"/>
      <c r="L724" s="6"/>
      <c r="M724" s="6"/>
      <c r="N724" s="6"/>
      <c r="O724" s="6">
        <v>9</v>
      </c>
      <c r="P724" s="6"/>
      <c r="Q724" s="6"/>
      <c r="R724" s="6"/>
      <c r="S724" s="35">
        <f>SUM(F724:R724)</f>
        <v>9</v>
      </c>
      <c r="T724" s="35">
        <f>COUNT(F724:R724)</f>
        <v>1</v>
      </c>
      <c r="U724" s="36">
        <f>IF(T724&gt;=2,ROUND((IF(T724=2,0.55,IF(T724&lt;=4,0.7,IF(T724&lt;=6,0.8,IF(T724&lt;=9,0.9,1))))*(S724/T724)+(1-(IF(T724=2,0.55,IF(T724&lt;=4,0.7,IF(T724&lt;=6,0.8,IF(T724&lt;=9,0.9,1))))))*$Y$1),1),"")</f>
      </c>
      <c r="V724" s="37">
        <v>6.2</v>
      </c>
      <c r="W724" s="38"/>
    </row>
    <row r="725" ht="24" customHeight="1" spans="1:23" x14ac:dyDescent="0.25">
      <c r="A725" s="31">
        <v>1439</v>
      </c>
      <c r="B725" s="32" t="s">
        <v>801</v>
      </c>
      <c r="C725" s="33" t="s">
        <v>24</v>
      </c>
      <c r="D725" s="34">
        <v>2022</v>
      </c>
      <c r="E725" s="34" t="s">
        <v>30</v>
      </c>
      <c r="F725" s="6"/>
      <c r="G725" s="6"/>
      <c r="H725" s="6"/>
      <c r="I725" s="6">
        <v>7</v>
      </c>
      <c r="J725" s="6">
        <v>7</v>
      </c>
      <c r="K725" s="6"/>
      <c r="L725" s="6"/>
      <c r="M725" s="6"/>
      <c r="N725" s="6"/>
      <c r="O725" s="6">
        <v>8</v>
      </c>
      <c r="P725" s="6"/>
      <c r="Q725" s="6"/>
      <c r="R725" s="6"/>
      <c r="S725" s="35">
        <f>SUM(F725:R725)</f>
        <v>22</v>
      </c>
      <c r="T725" s="35">
        <f>COUNT(F725:R725)</f>
        <v>3</v>
      </c>
      <c r="U725" s="36">
        <f>IF(T725&gt;=2,ROUND((IF(T725=2,0.55,IF(T725&lt;=4,0.7,IF(T725&lt;=6,0.8,IF(T725&lt;=9,0.9,1))))*(S725/T725)+(1-(IF(T725=2,0.55,IF(T725&lt;=4,0.7,IF(T725&lt;=6,0.8,IF(T725&lt;=9,0.9,1))))))*$Y$1),1),"")</f>
        <v>7.6</v>
      </c>
      <c r="V725" s="37">
        <v>6.6</v>
      </c>
      <c r="W725" s="38"/>
    </row>
    <row r="726" ht="24" customHeight="1" spans="1:23" x14ac:dyDescent="0.25">
      <c r="A726" s="31">
        <v>857</v>
      </c>
      <c r="B726" s="32" t="s">
        <v>802</v>
      </c>
      <c r="C726" s="33" t="s">
        <v>24</v>
      </c>
      <c r="D726" s="34">
        <v>2015</v>
      </c>
      <c r="E726" s="34" t="s">
        <v>27</v>
      </c>
      <c r="F726" s="6">
        <v>7</v>
      </c>
      <c r="G726" s="6"/>
      <c r="H726" s="6"/>
      <c r="I726" s="6"/>
      <c r="J726" s="6"/>
      <c r="K726" s="6">
        <v>6</v>
      </c>
      <c r="L726" s="6"/>
      <c r="M726" s="6"/>
      <c r="N726" s="6"/>
      <c r="O726" s="6"/>
      <c r="P726" s="6"/>
      <c r="Q726" s="6">
        <v>6</v>
      </c>
      <c r="R726" s="6"/>
      <c r="S726" s="35">
        <f>SUM(F726:R726)</f>
        <v>19</v>
      </c>
      <c r="T726" s="35">
        <f>COUNT(F726:R726)</f>
        <v>3</v>
      </c>
      <c r="U726" s="36">
        <f>IF(T726&gt;=2,ROUND((IF(T726=2,0.55,IF(T726&lt;=4,0.7,IF(T726&lt;=6,0.8,IF(T726&lt;=9,0.9,1))))*(S726/T726)+(1-(IF(T726=2,0.55,IF(T726&lt;=4,0.7,IF(T726&lt;=6,0.8,IF(T726&lt;=9,0.9,1))))))*$Y$1),1),"")</f>
        <v>6.9</v>
      </c>
      <c r="V726" s="37">
        <v>7.6</v>
      </c>
      <c r="W726" s="38"/>
    </row>
    <row r="727" ht="24" customHeight="1" spans="1:23" s="39" customFormat="1" x14ac:dyDescent="0.25">
      <c r="A727" s="31">
        <v>1036</v>
      </c>
      <c r="B727" s="32" t="s">
        <v>803</v>
      </c>
      <c r="C727" s="33" t="s">
        <v>29</v>
      </c>
      <c r="D727" s="34">
        <v>2018</v>
      </c>
      <c r="E727" s="34" t="s">
        <v>30</v>
      </c>
      <c r="F727" s="6"/>
      <c r="G727" s="6">
        <v>8</v>
      </c>
      <c r="H727" s="6">
        <v>10</v>
      </c>
      <c r="I727" s="6">
        <v>10</v>
      </c>
      <c r="J727" s="6">
        <v>10</v>
      </c>
      <c r="K727" s="6">
        <v>10</v>
      </c>
      <c r="L727" s="6"/>
      <c r="M727" s="6">
        <v>10</v>
      </c>
      <c r="N727" s="6">
        <v>10</v>
      </c>
      <c r="O727" s="6">
        <v>10</v>
      </c>
      <c r="P727" s="6">
        <v>8</v>
      </c>
      <c r="Q727" s="6">
        <v>10</v>
      </c>
      <c r="R727" s="6"/>
      <c r="S727" s="35">
        <f>SUM(F727:R727)</f>
        <v>96</v>
      </c>
      <c r="T727" s="35">
        <f>COUNT(F727:R727)</f>
        <v>10</v>
      </c>
      <c r="U727" s="36">
        <f>IF(T727&gt;=2,ROUND((IF(T727=2,0.55,IF(T727&lt;=4,0.7,IF(T727&lt;=6,0.8,IF(T727&lt;=9,0.9,1))))*(S727/T727)+(1-(IF(T727=2,0.55,IF(T727&lt;=4,0.7,IF(T727&lt;=6,0.8,IF(T727&lt;=9,0.9,1))))))*$Y$1),1),"")</f>
        <v>9.6</v>
      </c>
      <c r="V727" s="37">
        <v>8.2</v>
      </c>
      <c r="W727" s="38"/>
    </row>
    <row r="728" ht="24" customHeight="1" spans="1:23" x14ac:dyDescent="0.25">
      <c r="A728" s="31">
        <v>1512</v>
      </c>
      <c r="B728" s="32" t="s">
        <v>804</v>
      </c>
      <c r="C728" s="33" t="s">
        <v>24</v>
      </c>
      <c r="D728" s="34">
        <v>2022</v>
      </c>
      <c r="E728" s="34" t="s">
        <v>25</v>
      </c>
      <c r="F728" s="6">
        <v>6</v>
      </c>
      <c r="G728" s="6">
        <v>7</v>
      </c>
      <c r="H728" s="6"/>
      <c r="I728" s="6"/>
      <c r="J728" s="6"/>
      <c r="K728" s="6"/>
      <c r="L728" s="6"/>
      <c r="M728" s="6"/>
      <c r="N728" s="6"/>
      <c r="O728" s="6"/>
      <c r="P728" s="6">
        <v>7</v>
      </c>
      <c r="Q728" s="6"/>
      <c r="R728" s="6"/>
      <c r="S728" s="35">
        <f>SUM(F728:R728)</f>
        <v>20</v>
      </c>
      <c r="T728" s="35">
        <f>COUNT(F728:R728)</f>
        <v>3</v>
      </c>
      <c r="U728" s="36">
        <f>IF(T728&gt;=2,ROUND((IF(T728=2,0.55,IF(T728&lt;=4,0.7,IF(T728&lt;=6,0.8,IF(T728&lt;=9,0.9,1))))*(S728/T728)+(1-(IF(T728=2,0.55,IF(T728&lt;=4,0.7,IF(T728&lt;=6,0.8,IF(T728&lt;=9,0.9,1))))))*$Y$1),1),"")</f>
        <v>7.1</v>
      </c>
      <c r="V728" s="37">
        <v>7.1</v>
      </c>
      <c r="W728" s="38"/>
    </row>
    <row r="729" ht="24" customHeight="1" spans="1:23" x14ac:dyDescent="0.25">
      <c r="A729" s="31">
        <v>528</v>
      </c>
      <c r="B729" s="32" t="s">
        <v>805</v>
      </c>
      <c r="C729" s="33" t="s">
        <v>24</v>
      </c>
      <c r="D729" s="34">
        <v>2009</v>
      </c>
      <c r="E729" s="34" t="s">
        <v>25</v>
      </c>
      <c r="F729" s="6"/>
      <c r="G729" s="6">
        <v>8</v>
      </c>
      <c r="H729" s="6"/>
      <c r="I729" s="6"/>
      <c r="J729" s="6"/>
      <c r="K729" s="6"/>
      <c r="L729" s="6"/>
      <c r="M729" s="6"/>
      <c r="N729" s="6"/>
      <c r="O729" s="6"/>
      <c r="P729" s="6">
        <v>8</v>
      </c>
      <c r="Q729" s="6"/>
      <c r="R729" s="6"/>
      <c r="S729" s="35">
        <f>SUM(F729:R729)</f>
        <v>16</v>
      </c>
      <c r="T729" s="35">
        <f>COUNT(F729:R729)</f>
        <v>2</v>
      </c>
      <c r="U729" s="36">
        <f>IF(T729&gt;=2,ROUND((IF(T729=2,0.55,IF(T729&lt;=4,0.7,IF(T729&lt;=6,0.8,IF(T729&lt;=9,0.9,1))))*(S729/T729)+(1-(IF(T729=2,0.55,IF(T729&lt;=4,0.7,IF(T729&lt;=6,0.8,IF(T729&lt;=9,0.9,1))))))*$Y$1),1),"")</f>
        <v>8</v>
      </c>
      <c r="V729" s="37">
        <v>7.1</v>
      </c>
      <c r="W729" s="38"/>
    </row>
    <row r="730" ht="24" customHeight="1" spans="1:23" x14ac:dyDescent="0.25">
      <c r="A730" s="31">
        <v>1106</v>
      </c>
      <c r="B730" s="32" t="s">
        <v>806</v>
      </c>
      <c r="C730" s="33" t="s">
        <v>24</v>
      </c>
      <c r="D730" s="34">
        <v>2021</v>
      </c>
      <c r="E730" s="34" t="s">
        <v>27</v>
      </c>
      <c r="F730" s="6"/>
      <c r="G730" s="6"/>
      <c r="H730" s="6"/>
      <c r="I730" s="6"/>
      <c r="J730" s="6"/>
      <c r="K730" s="6"/>
      <c r="L730" s="6">
        <v>6</v>
      </c>
      <c r="M730" s="6"/>
      <c r="N730" s="6"/>
      <c r="O730" s="6"/>
      <c r="P730" s="6"/>
      <c r="Q730" s="6"/>
      <c r="R730" s="6"/>
      <c r="S730" s="35">
        <f>SUM(F730:R730)</f>
        <v>6</v>
      </c>
      <c r="T730" s="35">
        <f>COUNT(F730:R730)</f>
        <v>1</v>
      </c>
      <c r="U730" s="36">
        <f>IF(T730&gt;=2,ROUND((IF(T730=2,0.55,IF(T730&lt;=4,0.7,IF(T730&lt;=6,0.8,IF(T730&lt;=9,0.9,1))))*(S730/T730)+(1-(IF(T730=2,0.55,IF(T730&lt;=4,0.7,IF(T730&lt;=6,0.8,IF(T730&lt;=9,0.9,1))))))*$Y$1),1),"")</f>
      </c>
      <c r="V730" s="37">
        <v>6</v>
      </c>
      <c r="W730" s="38"/>
    </row>
    <row r="731" ht="24" customHeight="1" spans="1:23" x14ac:dyDescent="0.25">
      <c r="A731" s="31">
        <v>98</v>
      </c>
      <c r="B731" s="32" t="s">
        <v>807</v>
      </c>
      <c r="C731" s="33" t="s">
        <v>24</v>
      </c>
      <c r="D731" s="34">
        <v>2019</v>
      </c>
      <c r="E731" s="34" t="s">
        <v>30</v>
      </c>
      <c r="F731" s="6">
        <v>8</v>
      </c>
      <c r="G731" s="6">
        <v>8</v>
      </c>
      <c r="H731" s="6">
        <v>8</v>
      </c>
      <c r="I731" s="6">
        <v>10</v>
      </c>
      <c r="J731" s="6">
        <v>8</v>
      </c>
      <c r="K731" s="6">
        <v>10</v>
      </c>
      <c r="L731" s="6">
        <v>8</v>
      </c>
      <c r="M731" s="6">
        <v>10</v>
      </c>
      <c r="N731" s="6">
        <v>10</v>
      </c>
      <c r="O731" s="6">
        <v>10</v>
      </c>
      <c r="P731" s="6">
        <v>8</v>
      </c>
      <c r="Q731" s="6">
        <v>10</v>
      </c>
      <c r="R731" s="6">
        <v>10</v>
      </c>
      <c r="S731" s="35">
        <f>SUM(F731:R731)</f>
        <v>118</v>
      </c>
      <c r="T731" s="35">
        <f>COUNT(F731:R731)</f>
        <v>13</v>
      </c>
      <c r="U731" s="36">
        <f>IF(T731&gt;=2,ROUND((IF(T731=2,0.55,IF(T731&lt;=4,0.7,IF(T731&lt;=6,0.8,IF(T731&lt;=9,0.9,1))))*(S731/T731)+(1-(IF(T731=2,0.55,IF(T731&lt;=4,0.7,IF(T731&lt;=6,0.8,IF(T731&lt;=9,0.9,1))))))*$Y$1),1),"")</f>
        <v>9.1</v>
      </c>
      <c r="V731" s="37">
        <v>7.6</v>
      </c>
      <c r="W731" s="38"/>
    </row>
    <row r="732" ht="24" customHeight="1" spans="1:23" x14ac:dyDescent="0.25">
      <c r="A732" s="31">
        <v>256</v>
      </c>
      <c r="B732" s="32" t="s">
        <v>808</v>
      </c>
      <c r="C732" s="33" t="s">
        <v>24</v>
      </c>
      <c r="D732" s="34">
        <v>2008</v>
      </c>
      <c r="E732" s="34" t="s">
        <v>92</v>
      </c>
      <c r="F732" s="6">
        <v>10</v>
      </c>
      <c r="G732" s="6">
        <v>7</v>
      </c>
      <c r="H732" s="6">
        <v>10</v>
      </c>
      <c r="I732" s="6">
        <v>10</v>
      </c>
      <c r="J732" s="6">
        <v>10</v>
      </c>
      <c r="K732" s="6">
        <v>10</v>
      </c>
      <c r="L732" s="6">
        <v>10</v>
      </c>
      <c r="M732" s="6">
        <v>8</v>
      </c>
      <c r="N732" s="6">
        <v>10</v>
      </c>
      <c r="O732" s="6">
        <v>10</v>
      </c>
      <c r="P732" s="6">
        <v>10</v>
      </c>
      <c r="Q732" s="6">
        <v>10</v>
      </c>
      <c r="R732" s="6">
        <v>10</v>
      </c>
      <c r="S732" s="35">
        <f>SUM(F732:R732)</f>
        <v>125</v>
      </c>
      <c r="T732" s="35">
        <f>COUNT(F732:R732)</f>
        <v>13</v>
      </c>
      <c r="U732" s="36">
        <f>IF(T732&gt;=2,ROUND((IF(T732=2,0.55,IF(T732&lt;=4,0.7,IF(T732&lt;=6,0.8,IF(T732&lt;=9,0.9,1))))*(S732/T732)+(1-(IF(T732=2,0.55,IF(T732&lt;=4,0.7,IF(T732&lt;=6,0.8,IF(T732&lt;=9,0.9,1))))))*$Y$1),1),"")</f>
        <v>9.6</v>
      </c>
      <c r="V732" s="37">
        <v>7.7</v>
      </c>
      <c r="W732" s="38"/>
    </row>
    <row r="733" ht="24" customHeight="1" spans="1:23" x14ac:dyDescent="0.25">
      <c r="A733" s="31">
        <v>1799</v>
      </c>
      <c r="B733" s="32" t="s">
        <v>809</v>
      </c>
      <c r="C733" s="33" t="s">
        <v>24</v>
      </c>
      <c r="D733" s="34">
        <v>2023</v>
      </c>
      <c r="E733" s="34" t="s">
        <v>58</v>
      </c>
      <c r="F733" s="6"/>
      <c r="G733" s="6"/>
      <c r="H733" s="6"/>
      <c r="I733" s="6"/>
      <c r="J733" s="6"/>
      <c r="K733" s="6"/>
      <c r="L733" s="6"/>
      <c r="M733" s="6">
        <v>8</v>
      </c>
      <c r="N733" s="6"/>
      <c r="O733" s="6"/>
      <c r="P733" s="6"/>
      <c r="Q733" s="6"/>
      <c r="R733" s="6"/>
      <c r="S733" s="35">
        <f>SUM(F733:R733)</f>
        <v>8</v>
      </c>
      <c r="T733" s="35">
        <f>COUNT(F733:R733)</f>
        <v>1</v>
      </c>
      <c r="U733" s="36">
        <f>IF(T733&gt;=2,ROUND((IF(T733=2,0.55,IF(T733&lt;=4,0.7,IF(T733&lt;=6,0.8,IF(T733&lt;=9,0.9,1))))*(S733/T733)+(1-(IF(T733=2,0.55,IF(T733&lt;=4,0.7,IF(T733&lt;=6,0.8,IF(T733&lt;=9,0.9,1))))))*$Y$1),1),"")</f>
      </c>
      <c r="V733" s="37">
        <v>6.5</v>
      </c>
      <c r="W733" s="38"/>
    </row>
    <row r="734" ht="24" customHeight="1" spans="1:23" x14ac:dyDescent="0.25">
      <c r="A734" s="31">
        <v>1153</v>
      </c>
      <c r="B734" s="32" t="s">
        <v>810</v>
      </c>
      <c r="C734" s="33" t="s">
        <v>24</v>
      </c>
      <c r="D734" s="34">
        <v>2013</v>
      </c>
      <c r="E734" s="34" t="s">
        <v>760</v>
      </c>
      <c r="F734" s="6">
        <v>8</v>
      </c>
      <c r="G734" s="6">
        <v>8</v>
      </c>
      <c r="H734" s="6">
        <v>8</v>
      </c>
      <c r="I734" s="6">
        <v>9</v>
      </c>
      <c r="J734" s="6">
        <v>9</v>
      </c>
      <c r="K734" s="6"/>
      <c r="L734" s="6">
        <v>8</v>
      </c>
      <c r="M734" s="6">
        <v>8</v>
      </c>
      <c r="N734" s="6"/>
      <c r="O734" s="6">
        <v>8</v>
      </c>
      <c r="P734" s="6">
        <v>8</v>
      </c>
      <c r="Q734" s="6"/>
      <c r="R734" s="6"/>
      <c r="S734" s="35">
        <f>SUM(F734:R734)</f>
        <v>74</v>
      </c>
      <c r="T734" s="35">
        <f>COUNT(F734:R734)</f>
        <v>9</v>
      </c>
      <c r="U734" s="36">
        <f>IF(T734&gt;=2,ROUND((IF(T734=2,0.55,IF(T734&lt;=4,0.7,IF(T734&lt;=6,0.8,IF(T734&lt;=9,0.9,1))))*(S734/T734)+(1-(IF(T734=2,0.55,IF(T734&lt;=4,0.7,IF(T734&lt;=6,0.8,IF(T734&lt;=9,0.9,1))))))*$Y$1),1),"")</f>
        <v>8.2</v>
      </c>
      <c r="V734" s="37">
        <v>7.7</v>
      </c>
      <c r="W734" s="38"/>
    </row>
    <row r="735" ht="24" customHeight="1" spans="1:23" x14ac:dyDescent="0.25">
      <c r="A735" s="31">
        <v>574</v>
      </c>
      <c r="B735" s="32" t="s">
        <v>811</v>
      </c>
      <c r="C735" s="33" t="s">
        <v>24</v>
      </c>
      <c r="D735" s="34">
        <v>2019</v>
      </c>
      <c r="E735" s="34" t="s">
        <v>30</v>
      </c>
      <c r="F735" s="6"/>
      <c r="G735" s="6"/>
      <c r="H735" s="6"/>
      <c r="I735" s="6"/>
      <c r="J735" s="6"/>
      <c r="K735" s="6">
        <v>8</v>
      </c>
      <c r="L735" s="6"/>
      <c r="M735" s="6"/>
      <c r="N735" s="6"/>
      <c r="O735" s="6"/>
      <c r="P735" s="6"/>
      <c r="Q735" s="6">
        <v>8</v>
      </c>
      <c r="R735" s="6"/>
      <c r="S735" s="35">
        <f>SUM(F735:R735)</f>
        <v>16</v>
      </c>
      <c r="T735" s="35">
        <f>COUNT(F735:R735)</f>
        <v>2</v>
      </c>
      <c r="U735" s="36">
        <f>IF(T735&gt;=2,ROUND((IF(T735=2,0.55,IF(T735&lt;=4,0.7,IF(T735&lt;=6,0.8,IF(T735&lt;=9,0.9,1))))*(S735/T735)+(1-(IF(T735=2,0.55,IF(T735&lt;=4,0.7,IF(T735&lt;=6,0.8,IF(T735&lt;=9,0.9,1))))))*$Y$1),1),"")</f>
        <v>8</v>
      </c>
      <c r="V735" s="37">
        <v>6.7</v>
      </c>
      <c r="W735" s="38"/>
    </row>
    <row r="736" ht="24" customHeight="1" spans="1:23" x14ac:dyDescent="0.25">
      <c r="A736" s="31">
        <v>2021</v>
      </c>
      <c r="B736" s="32" t="s">
        <v>812</v>
      </c>
      <c r="C736" s="33" t="s">
        <v>24</v>
      </c>
      <c r="D736" s="34">
        <v>2025</v>
      </c>
      <c r="E736" s="34"/>
      <c r="F736" s="6"/>
      <c r="G736" s="6"/>
      <c r="H736" s="6"/>
      <c r="I736" s="6"/>
      <c r="J736" s="6"/>
      <c r="K736" s="6">
        <v>7</v>
      </c>
      <c r="L736" s="6"/>
      <c r="M736" s="6">
        <v>7</v>
      </c>
      <c r="N736" s="6"/>
      <c r="O736" s="6"/>
      <c r="P736" s="6"/>
      <c r="Q736" s="6">
        <v>7</v>
      </c>
      <c r="R736" s="6"/>
      <c r="S736" s="35">
        <f>SUM(F736:R736)</f>
        <v>21</v>
      </c>
      <c r="T736" s="35">
        <f>COUNT(F736:R736)</f>
        <v>3</v>
      </c>
      <c r="U736" s="36">
        <f>IF(T736&gt;=2,ROUND((IF(T736=2,0.55,IF(T736&lt;=4,0.7,IF(T736&lt;=6,0.8,IF(T736&lt;=9,0.9,1))))*(S736/T736)+(1-(IF(T736=2,0.55,IF(T736&lt;=4,0.7,IF(T736&lt;=6,0.8,IF(T736&lt;=9,0.9,1))))))*$Y$1),1),"")</f>
        <v>7.3</v>
      </c>
      <c r="V736" s="37">
        <v>5.5</v>
      </c>
      <c r="W736" s="38"/>
    </row>
    <row r="737" ht="24" customHeight="1" spans="1:23" x14ac:dyDescent="0.25">
      <c r="A737" s="31">
        <v>811</v>
      </c>
      <c r="B737" s="32" t="s">
        <v>813</v>
      </c>
      <c r="C737" s="33" t="s">
        <v>29</v>
      </c>
      <c r="D737" s="34">
        <v>2018</v>
      </c>
      <c r="E737" s="34" t="s">
        <v>30</v>
      </c>
      <c r="F737" s="6"/>
      <c r="G737" s="6"/>
      <c r="H737" s="6"/>
      <c r="I737" s="6"/>
      <c r="J737" s="6"/>
      <c r="K737" s="6">
        <v>10</v>
      </c>
      <c r="L737" s="6">
        <v>10</v>
      </c>
      <c r="M737" s="6"/>
      <c r="N737" s="6">
        <v>8</v>
      </c>
      <c r="O737" s="6"/>
      <c r="P737" s="6"/>
      <c r="Q737" s="6">
        <v>10</v>
      </c>
      <c r="R737" s="6"/>
      <c r="S737" s="35">
        <f>SUM(F737:R737)</f>
        <v>38</v>
      </c>
      <c r="T737" s="35">
        <f>COUNT(F737:R737)</f>
        <v>4</v>
      </c>
      <c r="U737" s="36">
        <f>IF(T737&gt;=2,ROUND((IF(T737=2,0.55,IF(T737&lt;=4,0.7,IF(T737&lt;=6,0.8,IF(T737&lt;=9,0.9,1))))*(S737/T737)+(1-(IF(T737=2,0.55,IF(T737&lt;=4,0.7,IF(T737&lt;=6,0.8,IF(T737&lt;=9,0.9,1))))))*$Y$1),1),"")</f>
        <v>9.1</v>
      </c>
      <c r="V737" s="37">
        <v>8</v>
      </c>
      <c r="W737" s="38"/>
    </row>
    <row r="738" ht="24" customHeight="1" spans="1:23" x14ac:dyDescent="0.25">
      <c r="A738" s="31">
        <v>956</v>
      </c>
      <c r="B738" s="32" t="s">
        <v>814</v>
      </c>
      <c r="C738" s="33" t="s">
        <v>114</v>
      </c>
      <c r="D738" s="34">
        <v>2013</v>
      </c>
      <c r="E738" s="34" t="s">
        <v>25</v>
      </c>
      <c r="F738" s="6"/>
      <c r="G738" s="6">
        <v>7</v>
      </c>
      <c r="H738" s="6"/>
      <c r="I738" s="6"/>
      <c r="J738" s="6"/>
      <c r="K738" s="6"/>
      <c r="L738" s="6"/>
      <c r="M738" s="6"/>
      <c r="N738" s="6"/>
      <c r="O738" s="6"/>
      <c r="P738" s="6">
        <v>6</v>
      </c>
      <c r="Q738" s="6"/>
      <c r="R738" s="6"/>
      <c r="S738" s="35">
        <f>SUM(F738:R738)</f>
        <v>13</v>
      </c>
      <c r="T738" s="35">
        <f>COUNT(F738:R738)</f>
        <v>2</v>
      </c>
      <c r="U738" s="36">
        <f>IF(T738&gt;=2,ROUND((IF(T738=2,0.55,IF(T738&lt;=4,0.7,IF(T738&lt;=6,0.8,IF(T738&lt;=9,0.9,1))))*(S738/T738)+(1-(IF(T738=2,0.55,IF(T738&lt;=4,0.7,IF(T738&lt;=6,0.8,IF(T738&lt;=9,0.9,1))))))*$Y$1),1),"")</f>
        <v>7.2</v>
      </c>
      <c r="V738" s="37">
        <v>7</v>
      </c>
      <c r="W738" s="38"/>
    </row>
    <row r="739" ht="24" customHeight="1" spans="1:23" x14ac:dyDescent="0.25">
      <c r="A739" s="31">
        <v>1737</v>
      </c>
      <c r="B739" s="32" t="s">
        <v>815</v>
      </c>
      <c r="C739" s="33" t="s">
        <v>24</v>
      </c>
      <c r="D739" s="34">
        <v>2016</v>
      </c>
      <c r="E739" s="34" t="s">
        <v>30</v>
      </c>
      <c r="F739" s="6"/>
      <c r="G739" s="6"/>
      <c r="H739" s="6"/>
      <c r="I739" s="6"/>
      <c r="J739" s="6"/>
      <c r="K739" s="6"/>
      <c r="L739" s="6"/>
      <c r="M739" s="6"/>
      <c r="N739" s="6"/>
      <c r="O739" s="6">
        <v>7</v>
      </c>
      <c r="P739" s="6"/>
      <c r="Q739" s="6"/>
      <c r="R739" s="6"/>
      <c r="S739" s="35">
        <f>SUM(F739:R739)</f>
        <v>7</v>
      </c>
      <c r="T739" s="35">
        <f>COUNT(F739:R739)</f>
        <v>1</v>
      </c>
      <c r="U739" s="36">
        <f>IF(T739&gt;=2,ROUND((IF(T739=2,0.55,IF(T739&lt;=4,0.7,IF(T739&lt;=6,0.8,IF(T739&lt;=9,0.9,1))))*(S739/T739)+(1-(IF(T739=2,0.55,IF(T739&lt;=4,0.7,IF(T739&lt;=6,0.8,IF(T739&lt;=9,0.9,1))))))*$Y$1),1),"")</f>
      </c>
      <c r="V739" s="37">
        <v>5.7</v>
      </c>
      <c r="W739" s="38"/>
    </row>
    <row r="740" ht="24" customHeight="1" spans="1:23" x14ac:dyDescent="0.25">
      <c r="A740" s="31">
        <v>527</v>
      </c>
      <c r="B740" s="32" t="s">
        <v>816</v>
      </c>
      <c r="C740" s="33" t="s">
        <v>24</v>
      </c>
      <c r="D740" s="34">
        <v>2008</v>
      </c>
      <c r="E740" s="34" t="s">
        <v>27</v>
      </c>
      <c r="F740" s="6"/>
      <c r="G740" s="6">
        <v>8</v>
      </c>
      <c r="H740" s="6"/>
      <c r="I740" s="6"/>
      <c r="J740" s="6"/>
      <c r="K740" s="6"/>
      <c r="L740" s="6"/>
      <c r="M740" s="6"/>
      <c r="N740" s="6"/>
      <c r="O740" s="6"/>
      <c r="P740" s="6">
        <v>8</v>
      </c>
      <c r="Q740" s="6"/>
      <c r="R740" s="6"/>
      <c r="S740" s="35">
        <f>SUM(F740:R740)</f>
        <v>16</v>
      </c>
      <c r="T740" s="35">
        <f>COUNT(F740:R740)</f>
        <v>2</v>
      </c>
      <c r="U740" s="36">
        <f>IF(T740&gt;=2,ROUND((IF(T740=2,0.55,IF(T740&lt;=4,0.7,IF(T740&lt;=6,0.8,IF(T740&lt;=9,0.9,1))))*(S740/T740)+(1-(IF(T740=2,0.55,IF(T740&lt;=4,0.7,IF(T740&lt;=6,0.8,IF(T740&lt;=9,0.9,1))))))*$Y$1),1),"")</f>
        <v>8</v>
      </c>
      <c r="V740" s="37">
        <v>7.9</v>
      </c>
      <c r="W740" s="38"/>
    </row>
    <row r="741" ht="24" customHeight="1" spans="1:23" s="39" customFormat="1" x14ac:dyDescent="0.25">
      <c r="A741" s="31">
        <v>1681</v>
      </c>
      <c r="B741" s="32" t="s">
        <v>817</v>
      </c>
      <c r="C741" s="33" t="s">
        <v>24</v>
      </c>
      <c r="D741" s="34">
        <v>2020</v>
      </c>
      <c r="E741" s="34" t="s">
        <v>30</v>
      </c>
      <c r="F741" s="6">
        <v>6</v>
      </c>
      <c r="G741" s="6"/>
      <c r="H741" s="6"/>
      <c r="I741" s="6">
        <v>6</v>
      </c>
      <c r="J741" s="6">
        <v>8</v>
      </c>
      <c r="K741" s="6"/>
      <c r="L741" s="6">
        <v>8</v>
      </c>
      <c r="M741" s="6"/>
      <c r="N741" s="6"/>
      <c r="O741" s="6">
        <v>8</v>
      </c>
      <c r="P741" s="6"/>
      <c r="Q741" s="6"/>
      <c r="R741" s="6"/>
      <c r="S741" s="35">
        <f>SUM(F741:R741)</f>
        <v>36</v>
      </c>
      <c r="T741" s="35">
        <f>COUNT(F741:R741)</f>
        <v>5</v>
      </c>
      <c r="U741" s="36">
        <f>IF(T741&gt;=2,ROUND((IF(T741=2,0.55,IF(T741&lt;=4,0.7,IF(T741&lt;=6,0.8,IF(T741&lt;=9,0.9,1))))*(S741/T741)+(1-(IF(T741=2,0.55,IF(T741&lt;=4,0.7,IF(T741&lt;=6,0.8,IF(T741&lt;=9,0.9,1))))))*$Y$1),1),"")</f>
        <v>7.4</v>
      </c>
      <c r="V741" s="37">
        <v>7</v>
      </c>
      <c r="W741" s="38"/>
    </row>
    <row r="742" ht="24" customHeight="1" spans="1:23" x14ac:dyDescent="0.25">
      <c r="A742" s="31">
        <v>526</v>
      </c>
      <c r="B742" s="32" t="s">
        <v>818</v>
      </c>
      <c r="C742" s="33" t="s">
        <v>24</v>
      </c>
      <c r="D742" s="34">
        <v>2013</v>
      </c>
      <c r="E742" s="34" t="s">
        <v>27</v>
      </c>
      <c r="F742" s="6"/>
      <c r="G742" s="6">
        <v>8</v>
      </c>
      <c r="H742" s="6"/>
      <c r="I742" s="6"/>
      <c r="J742" s="6"/>
      <c r="K742" s="6">
        <v>6</v>
      </c>
      <c r="L742" s="6">
        <v>7</v>
      </c>
      <c r="M742" s="6"/>
      <c r="N742" s="6"/>
      <c r="O742" s="6"/>
      <c r="P742" s="6">
        <v>8</v>
      </c>
      <c r="Q742" s="6">
        <v>6</v>
      </c>
      <c r="R742" s="6"/>
      <c r="S742" s="35">
        <f>SUM(F742:R742)</f>
        <v>35</v>
      </c>
      <c r="T742" s="35">
        <f>COUNT(F742:R742)</f>
        <v>5</v>
      </c>
      <c r="U742" s="36">
        <f>IF(T742&gt;=2,ROUND((IF(T742=2,0.55,IF(T742&lt;=4,0.7,IF(T742&lt;=6,0.8,IF(T742&lt;=9,0.9,1))))*(S742/T742)+(1-(IF(T742=2,0.55,IF(T742&lt;=4,0.7,IF(T742&lt;=6,0.8,IF(T742&lt;=9,0.9,1))))))*$Y$1),1),"")</f>
        <v>7.2</v>
      </c>
      <c r="V742" s="37">
        <v>8.2</v>
      </c>
      <c r="W742" s="38"/>
    </row>
    <row r="743" ht="24" customHeight="1" spans="1:23" x14ac:dyDescent="0.25">
      <c r="A743" s="42">
        <v>1125</v>
      </c>
      <c r="B743" s="32" t="s">
        <v>819</v>
      </c>
      <c r="C743" s="43" t="s">
        <v>24</v>
      </c>
      <c r="D743" s="44">
        <v>2013</v>
      </c>
      <c r="E743" s="44" t="s">
        <v>30</v>
      </c>
      <c r="F743" s="6">
        <v>8</v>
      </c>
      <c r="G743" s="6">
        <v>7</v>
      </c>
      <c r="H743" s="6">
        <v>8</v>
      </c>
      <c r="I743" s="6">
        <v>8</v>
      </c>
      <c r="J743" s="6">
        <v>8</v>
      </c>
      <c r="K743" s="6">
        <v>7</v>
      </c>
      <c r="L743" s="6">
        <v>6</v>
      </c>
      <c r="M743" s="6">
        <v>8</v>
      </c>
      <c r="N743" s="6">
        <v>8</v>
      </c>
      <c r="O743" s="6">
        <v>7</v>
      </c>
      <c r="P743" s="6"/>
      <c r="Q743" s="6">
        <v>7</v>
      </c>
      <c r="R743" s="6">
        <v>8</v>
      </c>
      <c r="S743" s="45">
        <f>SUM(F743:R743)</f>
        <v>90</v>
      </c>
      <c r="T743" s="45">
        <f>COUNT(F743:R743)</f>
        <v>12</v>
      </c>
      <c r="U743" s="36">
        <f>IF(T743&gt;=2,ROUND((IF(T743=2,0.55,IF(T743&lt;=4,0.7,IF(T743&lt;=6,0.8,IF(T743&lt;=9,0.9,1))))*(S743/T743)+(1-(IF(T743=2,0.55,IF(T743&lt;=4,0.7,IF(T743&lt;=6,0.8,IF(T743&lt;=9,0.9,1))))))*$Y$1),1),"")</f>
        <v>7.5</v>
      </c>
      <c r="V743" s="37">
        <v>7.4</v>
      </c>
      <c r="W743" s="38" t="s">
        <v>44</v>
      </c>
    </row>
    <row r="744" ht="47.25" customHeight="1" spans="1:23" x14ac:dyDescent="0.25">
      <c r="A744" s="31">
        <v>2496</v>
      </c>
      <c r="B744" s="32" t="s">
        <v>820</v>
      </c>
      <c r="C744" s="33" t="s">
        <v>24</v>
      </c>
      <c r="D744" s="34">
        <v>2023</v>
      </c>
      <c r="E744" s="34" t="s">
        <v>27</v>
      </c>
      <c r="F744" s="6"/>
      <c r="G744" s="6"/>
      <c r="H744" s="6"/>
      <c r="I744" s="6"/>
      <c r="J744" s="6"/>
      <c r="K744" s="6"/>
      <c r="L744" s="6"/>
      <c r="M744" s="6"/>
      <c r="N744" s="6"/>
      <c r="O744" s="6">
        <v>8</v>
      </c>
      <c r="P744" s="6"/>
      <c r="Q744" s="6"/>
      <c r="R744" s="6"/>
      <c r="S744" s="35">
        <f>SUM(F744:R744)</f>
        <v>8</v>
      </c>
      <c r="T744" s="35">
        <f>COUNT(F744:R744)</f>
        <v>1</v>
      </c>
      <c r="U744" s="36">
        <f>IF(T744&gt;=2,ROUND((IF(T744=2,0.55,IF(T744&lt;=4,0.7,IF(T744&lt;=6,0.8,IF(T744&lt;=9,0.9,1))))*(S744/T744)+(1-(IF(T744=2,0.55,IF(T744&lt;=4,0.7,IF(T744&lt;=6,0.8,IF(T744&lt;=9,0.9,1))))))*$Y$1),1),"")</f>
      </c>
      <c r="V744" s="37">
        <v>6.5</v>
      </c>
      <c r="W744" s="38"/>
    </row>
    <row r="745" ht="24" customHeight="1" spans="1:23" x14ac:dyDescent="0.25">
      <c r="A745" s="31">
        <v>97</v>
      </c>
      <c r="B745" s="32" t="s">
        <v>821</v>
      </c>
      <c r="C745" s="33" t="s">
        <v>24</v>
      </c>
      <c r="D745" s="34">
        <v>2020</v>
      </c>
      <c r="E745" s="34" t="s">
        <v>30</v>
      </c>
      <c r="F745" s="6">
        <v>6</v>
      </c>
      <c r="G745" s="6">
        <v>7</v>
      </c>
      <c r="H745" s="6">
        <v>6</v>
      </c>
      <c r="I745" s="6">
        <v>8</v>
      </c>
      <c r="J745" s="6"/>
      <c r="K745" s="6">
        <v>4</v>
      </c>
      <c r="L745" s="6">
        <v>6</v>
      </c>
      <c r="M745" s="6"/>
      <c r="N745" s="6"/>
      <c r="O745" s="6"/>
      <c r="P745" s="6"/>
      <c r="Q745" s="6">
        <v>4</v>
      </c>
      <c r="R745" s="6">
        <v>10</v>
      </c>
      <c r="S745" s="35">
        <f>SUM(F745:R745)</f>
        <v>51</v>
      </c>
      <c r="T745" s="35">
        <f>COUNT(F745:R745)</f>
        <v>8</v>
      </c>
      <c r="U745" s="36">
        <f>IF(T745&gt;=2,ROUND((IF(T745=2,0.55,IF(T745&lt;=4,0.7,IF(T745&lt;=6,0.8,IF(T745&lt;=9,0.9,1))))*(S745/T745)+(1-(IF(T745=2,0.55,IF(T745&lt;=4,0.7,IF(T745&lt;=6,0.8,IF(T745&lt;=9,0.9,1))))))*$Y$1),1),"")</f>
        <v>6.5</v>
      </c>
      <c r="V745" s="37">
        <v>5.9</v>
      </c>
      <c r="W745" s="38"/>
    </row>
    <row r="746" ht="24" customHeight="1" spans="1:23" x14ac:dyDescent="0.25">
      <c r="A746" s="31">
        <v>1998</v>
      </c>
      <c r="B746" s="32" t="s">
        <v>822</v>
      </c>
      <c r="C746" s="33" t="s">
        <v>29</v>
      </c>
      <c r="D746" s="34">
        <v>2025</v>
      </c>
      <c r="E746" s="34" t="s">
        <v>30</v>
      </c>
      <c r="F746" s="6">
        <v>8</v>
      </c>
      <c r="G746" s="6"/>
      <c r="H746" s="6">
        <v>8</v>
      </c>
      <c r="I746" s="6"/>
      <c r="J746" s="6"/>
      <c r="K746" s="6">
        <v>8</v>
      </c>
      <c r="L746" s="6"/>
      <c r="M746" s="6">
        <v>8</v>
      </c>
      <c r="N746" s="6"/>
      <c r="O746" s="6"/>
      <c r="P746" s="6"/>
      <c r="Q746" s="6">
        <v>8</v>
      </c>
      <c r="R746" s="6"/>
      <c r="S746" s="35">
        <f>SUM(F746:R746)</f>
        <v>40</v>
      </c>
      <c r="T746" s="35">
        <f>COUNT(F746:R746)</f>
        <v>5</v>
      </c>
      <c r="U746" s="36">
        <f>IF(T746&gt;=2,ROUND((IF(T746=2,0.55,IF(T746&lt;=4,0.7,IF(T746&lt;=6,0.8,IF(T746&lt;=9,0.9,1))))*(S746/T746)+(1-(IF(T746=2,0.55,IF(T746&lt;=4,0.7,IF(T746&lt;=6,0.8,IF(T746&lt;=9,0.9,1))))))*$Y$1),1),"")</f>
        <v>8</v>
      </c>
      <c r="V746" s="37">
        <v>7.5</v>
      </c>
      <c r="W746" s="38"/>
    </row>
    <row r="747" ht="24" customHeight="1" spans="1:23" x14ac:dyDescent="0.25">
      <c r="A747" s="47">
        <v>96</v>
      </c>
      <c r="B747" s="32" t="s">
        <v>823</v>
      </c>
      <c r="C747" s="48" t="s">
        <v>24</v>
      </c>
      <c r="D747" s="49">
        <v>2008</v>
      </c>
      <c r="E747" s="49" t="s">
        <v>25</v>
      </c>
      <c r="F747" s="6">
        <v>8</v>
      </c>
      <c r="G747" s="6">
        <v>8</v>
      </c>
      <c r="H747" s="6">
        <v>8</v>
      </c>
      <c r="I747" s="6">
        <v>10</v>
      </c>
      <c r="J747" s="6">
        <v>8</v>
      </c>
      <c r="K747" s="6">
        <v>10</v>
      </c>
      <c r="L747" s="6">
        <v>8</v>
      </c>
      <c r="M747" s="6">
        <v>9</v>
      </c>
      <c r="N747" s="6">
        <v>9</v>
      </c>
      <c r="O747" s="6">
        <v>9</v>
      </c>
      <c r="P747" s="6">
        <v>10</v>
      </c>
      <c r="Q747" s="6">
        <v>10</v>
      </c>
      <c r="R747" s="6">
        <v>10</v>
      </c>
      <c r="S747" s="50">
        <f>SUM(F747:R747)</f>
        <v>117</v>
      </c>
      <c r="T747" s="50">
        <f>COUNT(F747:R747)</f>
        <v>13</v>
      </c>
      <c r="U747" s="36">
        <f>IF(T747&gt;=2,ROUND((IF(T747=2,0.55,IF(T747&lt;=4,0.7,IF(T747&lt;=6,0.8,IF(T747&lt;=9,0.9,1))))*(S747/T747)+(1-(IF(T747=2,0.55,IF(T747&lt;=4,0.7,IF(T747&lt;=6,0.8,IF(T747&lt;=9,0.9,1))))))*$Y$1),1),"")</f>
        <v>9</v>
      </c>
      <c r="V747" s="37">
        <v>7.6</v>
      </c>
      <c r="W747" s="38" t="s">
        <v>44</v>
      </c>
    </row>
    <row r="748" ht="24" customHeight="1" spans="1:23" x14ac:dyDescent="0.25">
      <c r="A748" s="31">
        <v>525</v>
      </c>
      <c r="B748" s="32" t="s">
        <v>824</v>
      </c>
      <c r="C748" s="33" t="s">
        <v>24</v>
      </c>
      <c r="D748" s="34">
        <v>2015</v>
      </c>
      <c r="E748" s="34" t="s">
        <v>43</v>
      </c>
      <c r="F748" s="6"/>
      <c r="G748" s="6">
        <v>8</v>
      </c>
      <c r="H748" s="6"/>
      <c r="I748" s="6"/>
      <c r="J748" s="6"/>
      <c r="K748" s="6"/>
      <c r="L748" s="6"/>
      <c r="M748" s="6"/>
      <c r="N748" s="6"/>
      <c r="O748" s="6"/>
      <c r="P748" s="6">
        <v>8</v>
      </c>
      <c r="Q748" s="6"/>
      <c r="R748" s="6"/>
      <c r="S748" s="35">
        <f>SUM(F748:R748)</f>
        <v>16</v>
      </c>
      <c r="T748" s="35">
        <f>COUNT(F748:R748)</f>
        <v>2</v>
      </c>
      <c r="U748" s="36">
        <f>IF(T748&gt;=2,ROUND((IF(T748=2,0.55,IF(T748&lt;=4,0.7,IF(T748&lt;=6,0.8,IF(T748&lt;=9,0.9,1))))*(S748/T748)+(1-(IF(T748=2,0.55,IF(T748&lt;=4,0.7,IF(T748&lt;=6,0.8,IF(T748&lt;=9,0.9,1))))))*$Y$1),1),"")</f>
        <v>8</v>
      </c>
      <c r="V748" s="37">
        <v>7.1</v>
      </c>
      <c r="W748" s="38"/>
    </row>
    <row r="749" ht="24" customHeight="1" spans="1:23" x14ac:dyDescent="0.25">
      <c r="A749" s="31">
        <v>349</v>
      </c>
      <c r="B749" s="32" t="s">
        <v>825</v>
      </c>
      <c r="C749" s="33" t="s">
        <v>24</v>
      </c>
      <c r="D749" s="34">
        <v>2012</v>
      </c>
      <c r="E749" s="34" t="s">
        <v>629</v>
      </c>
      <c r="F749" s="6">
        <v>8</v>
      </c>
      <c r="G749" s="6">
        <v>8</v>
      </c>
      <c r="H749" s="6"/>
      <c r="I749" s="6"/>
      <c r="J749" s="6">
        <v>8</v>
      </c>
      <c r="K749" s="6">
        <v>6</v>
      </c>
      <c r="L749" s="6">
        <v>8</v>
      </c>
      <c r="M749" s="6"/>
      <c r="N749" s="6"/>
      <c r="O749" s="6">
        <v>8</v>
      </c>
      <c r="P749" s="6">
        <v>8</v>
      </c>
      <c r="Q749" s="6">
        <v>6</v>
      </c>
      <c r="R749" s="6"/>
      <c r="S749" s="35">
        <f>SUM(F749:R749)</f>
        <v>60</v>
      </c>
      <c r="T749" s="35">
        <f>COUNT(F749:R749)</f>
        <v>8</v>
      </c>
      <c r="U749" s="36">
        <f>IF(T749&gt;=2,ROUND((IF(T749=2,0.55,IF(T749&lt;=4,0.7,IF(T749&lt;=6,0.8,IF(T749&lt;=9,0.9,1))))*(S749/T749)+(1-(IF(T749=2,0.55,IF(T749&lt;=4,0.7,IF(T749&lt;=6,0.8,IF(T749&lt;=9,0.9,1))))))*$Y$1),1),"")</f>
        <v>7.6</v>
      </c>
      <c r="V749" s="37">
        <v>7.7</v>
      </c>
      <c r="W749" s="38"/>
    </row>
    <row r="750" ht="24" customHeight="1" spans="1:23" x14ac:dyDescent="0.25">
      <c r="A750" s="40">
        <v>2184</v>
      </c>
      <c r="B750" s="32" t="s">
        <v>826</v>
      </c>
      <c r="C750" s="33" t="s">
        <v>24</v>
      </c>
      <c r="D750" s="34">
        <v>2006</v>
      </c>
      <c r="E750" s="41"/>
      <c r="F750" s="6"/>
      <c r="G750" s="6">
        <v>7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35">
        <f>SUM(F750:R750)</f>
        <v>7</v>
      </c>
      <c r="T750" s="35">
        <f>COUNT(F750:R750)</f>
        <v>1</v>
      </c>
      <c r="U750" s="36">
        <f>IF(T750&gt;=2,ROUND((IF(T750=2,0.55,IF(T750&lt;=4,0.7,IF(T750&lt;=6,0.8,IF(T750&lt;=9,0.9,1))))*(S750/T750)+(1-(IF(T750=2,0.55,IF(T750&lt;=4,0.7,IF(T750&lt;=6,0.8,IF(T750&lt;=9,0.9,1))))))*$Y$1),1),"")</f>
      </c>
      <c r="V750" s="37">
        <v>8.2</v>
      </c>
      <c r="W750" s="38"/>
    </row>
    <row r="751" ht="24" customHeight="1" spans="1:23" x14ac:dyDescent="0.25">
      <c r="A751" s="42">
        <v>849</v>
      </c>
      <c r="B751" s="32" t="s">
        <v>827</v>
      </c>
      <c r="C751" s="43" t="s">
        <v>24</v>
      </c>
      <c r="D751" s="44">
        <v>2014</v>
      </c>
      <c r="E751" s="44" t="s">
        <v>30</v>
      </c>
      <c r="F751" s="6">
        <v>10</v>
      </c>
      <c r="G751" s="6">
        <v>8</v>
      </c>
      <c r="H751" s="6">
        <v>8</v>
      </c>
      <c r="I751" s="6">
        <v>10</v>
      </c>
      <c r="J751" s="6">
        <v>10</v>
      </c>
      <c r="K751" s="6">
        <v>10</v>
      </c>
      <c r="L751" s="6">
        <v>8</v>
      </c>
      <c r="M751" s="6">
        <v>8</v>
      </c>
      <c r="N751" s="6">
        <v>8</v>
      </c>
      <c r="O751" s="6"/>
      <c r="P751" s="6">
        <v>8</v>
      </c>
      <c r="Q751" s="6">
        <v>10</v>
      </c>
      <c r="R751" s="6">
        <v>10</v>
      </c>
      <c r="S751" s="45">
        <f>SUM(F751:R751)</f>
        <v>108</v>
      </c>
      <c r="T751" s="45">
        <f>COUNT(F751:R751)</f>
        <v>12</v>
      </c>
      <c r="U751" s="36">
        <f>IF(T751&gt;=2,ROUND((IF(T751=2,0.55,IF(T751&lt;=4,0.7,IF(T751&lt;=6,0.8,IF(T751&lt;=9,0.9,1))))*(S751/T751)+(1-(IF(T751=2,0.55,IF(T751&lt;=4,0.7,IF(T751&lt;=6,0.8,IF(T751&lt;=9,0.9,1))))))*$Y$1),1),"")</f>
        <v>9</v>
      </c>
      <c r="V751" s="37">
        <v>7.4</v>
      </c>
      <c r="W751" s="38" t="s">
        <v>44</v>
      </c>
    </row>
    <row r="752" ht="24" customHeight="1" spans="1:23" x14ac:dyDescent="0.25">
      <c r="A752" s="31">
        <v>1975</v>
      </c>
      <c r="B752" s="32" t="s">
        <v>828</v>
      </c>
      <c r="C752" s="33" t="s">
        <v>24</v>
      </c>
      <c r="D752" s="34">
        <v>2023</v>
      </c>
      <c r="E752" s="34" t="s">
        <v>27</v>
      </c>
      <c r="F752" s="6">
        <v>6</v>
      </c>
      <c r="G752" s="6"/>
      <c r="H752" s="6"/>
      <c r="I752" s="6"/>
      <c r="J752" s="6"/>
      <c r="K752" s="6">
        <v>7</v>
      </c>
      <c r="L752" s="6"/>
      <c r="M752" s="6"/>
      <c r="N752" s="6"/>
      <c r="O752" s="6"/>
      <c r="P752" s="6"/>
      <c r="Q752" s="6">
        <v>7</v>
      </c>
      <c r="R752" s="6"/>
      <c r="S752" s="35">
        <f>SUM(F752:R752)</f>
        <v>20</v>
      </c>
      <c r="T752" s="35">
        <f>COUNT(F752:R752)</f>
        <v>3</v>
      </c>
      <c r="U752" s="36">
        <f>IF(T752&gt;=2,ROUND((IF(T752=2,0.55,IF(T752&lt;=4,0.7,IF(T752&lt;=6,0.8,IF(T752&lt;=9,0.9,1))))*(S752/T752)+(1-(IF(T752=2,0.55,IF(T752&lt;=4,0.7,IF(T752&lt;=6,0.8,IF(T752&lt;=9,0.9,1))))))*$Y$1),1),"")</f>
        <v>7.1</v>
      </c>
      <c r="V752" s="37">
        <v>6.3</v>
      </c>
      <c r="W752" s="38"/>
    </row>
    <row r="753" ht="24" customHeight="1" spans="1:23" x14ac:dyDescent="0.25">
      <c r="A753" s="47">
        <v>524</v>
      </c>
      <c r="B753" s="32" t="s">
        <v>829</v>
      </c>
      <c r="C753" s="48" t="s">
        <v>24</v>
      </c>
      <c r="D753" s="49">
        <v>2014</v>
      </c>
      <c r="E753" s="49" t="s">
        <v>27</v>
      </c>
      <c r="F753" s="6">
        <v>8</v>
      </c>
      <c r="G753" s="6">
        <v>8</v>
      </c>
      <c r="H753" s="6"/>
      <c r="I753" s="6"/>
      <c r="J753" s="6">
        <v>9</v>
      </c>
      <c r="K753" s="6">
        <v>10</v>
      </c>
      <c r="L753" s="6">
        <v>8</v>
      </c>
      <c r="M753" s="6"/>
      <c r="N753" s="6"/>
      <c r="O753" s="6"/>
      <c r="P753" s="6">
        <v>8</v>
      </c>
      <c r="Q753" s="6">
        <v>10</v>
      </c>
      <c r="R753" s="6"/>
      <c r="S753" s="50">
        <f>SUM(F753:R753)</f>
        <v>61</v>
      </c>
      <c r="T753" s="50">
        <f>COUNT(F753:R753)</f>
        <v>7</v>
      </c>
      <c r="U753" s="36">
        <f>IF(T753&gt;=2,ROUND((IF(T753=2,0.55,IF(T753&lt;=4,0.7,IF(T753&lt;=6,0.8,IF(T753&lt;=9,0.9,1))))*(S753/T753)+(1-(IF(T753=2,0.55,IF(T753&lt;=4,0.7,IF(T753&lt;=6,0.8,IF(T753&lt;=9,0.9,1))))))*$Y$1),1),"")</f>
        <v>8.7</v>
      </c>
      <c r="V753" s="37">
        <v>8</v>
      </c>
      <c r="W753" s="38" t="s">
        <v>44</v>
      </c>
    </row>
    <row r="754" ht="24" customHeight="1" spans="1:23" x14ac:dyDescent="0.25">
      <c r="A754" s="31">
        <v>185</v>
      </c>
      <c r="B754" s="32" t="s">
        <v>830</v>
      </c>
      <c r="C754" s="33" t="s">
        <v>24</v>
      </c>
      <c r="D754" s="34">
        <v>2005</v>
      </c>
      <c r="E754" s="34" t="s">
        <v>92</v>
      </c>
      <c r="F754" s="6">
        <v>10</v>
      </c>
      <c r="G754" s="6">
        <v>9</v>
      </c>
      <c r="H754" s="6">
        <v>8</v>
      </c>
      <c r="I754" s="6"/>
      <c r="J754" s="6">
        <v>10</v>
      </c>
      <c r="K754" s="6">
        <v>10</v>
      </c>
      <c r="L754" s="6">
        <v>10</v>
      </c>
      <c r="M754" s="6">
        <v>8</v>
      </c>
      <c r="N754" s="6"/>
      <c r="O754" s="6"/>
      <c r="P754" s="6">
        <v>10</v>
      </c>
      <c r="Q754" s="6">
        <v>10</v>
      </c>
      <c r="R754" s="6"/>
      <c r="S754" s="35">
        <f>SUM(F754:R754)</f>
        <v>85</v>
      </c>
      <c r="T754" s="35">
        <f>COUNT(F754:R754)</f>
        <v>9</v>
      </c>
      <c r="U754" s="36">
        <f>IF(T754&gt;=2,ROUND((IF(T754=2,0.55,IF(T754&lt;=4,0.7,IF(T754&lt;=6,0.8,IF(T754&lt;=9,0.9,1))))*(S754/T754)+(1-(IF(T754=2,0.55,IF(T754&lt;=4,0.7,IF(T754&lt;=6,0.8,IF(T754&lt;=9,0.9,1))))))*$Y$1),1),"")</f>
        <v>9.3</v>
      </c>
      <c r="V754" s="37">
        <v>7.3</v>
      </c>
      <c r="W754" s="38"/>
    </row>
    <row r="755" ht="24" customHeight="1" spans="1:23" x14ac:dyDescent="0.25">
      <c r="A755" s="31">
        <v>2028</v>
      </c>
      <c r="B755" s="32" t="s">
        <v>831</v>
      </c>
      <c r="C755" s="33" t="s">
        <v>29</v>
      </c>
      <c r="D755" s="34">
        <v>2025</v>
      </c>
      <c r="E755" s="41"/>
      <c r="F755" s="6"/>
      <c r="G755" s="6"/>
      <c r="H755" s="6"/>
      <c r="I755" s="6"/>
      <c r="J755" s="6"/>
      <c r="K755" s="6"/>
      <c r="L755" s="6"/>
      <c r="M755" s="6">
        <v>7</v>
      </c>
      <c r="N755" s="6"/>
      <c r="O755" s="6"/>
      <c r="P755" s="6"/>
      <c r="Q755" s="6"/>
      <c r="R755" s="6"/>
      <c r="S755" s="35">
        <f>SUM(F755:R755)</f>
        <v>7</v>
      </c>
      <c r="T755" s="35">
        <f>COUNT(F755:R755)</f>
        <v>1</v>
      </c>
      <c r="U755" s="36">
        <f>IF(T755&gt;=2,ROUND((IF(T755=2,0.55,IF(T755&lt;=4,0.7,IF(T755&lt;=6,0.8,IF(T755&lt;=9,0.9,1))))*(S755/T755)+(1-(IF(T755=2,0.55,IF(T755&lt;=4,0.7,IF(T755&lt;=6,0.8,IF(T755&lt;=9,0.9,1))))))*$Y$1),1),"")</f>
      </c>
      <c r="V755" s="37">
        <v>6.3</v>
      </c>
      <c r="W755" s="38"/>
    </row>
    <row r="756" ht="24" customHeight="1" spans="1:23" x14ac:dyDescent="0.25">
      <c r="A756" s="31">
        <v>1022</v>
      </c>
      <c r="B756" s="32" t="s">
        <v>832</v>
      </c>
      <c r="C756" s="33" t="s">
        <v>24</v>
      </c>
      <c r="D756" s="34">
        <v>1993</v>
      </c>
      <c r="E756" s="34" t="s">
        <v>52</v>
      </c>
      <c r="F756" s="6"/>
      <c r="G756" s="6"/>
      <c r="H756" s="6"/>
      <c r="I756" s="6"/>
      <c r="J756" s="6"/>
      <c r="K756" s="6">
        <v>6</v>
      </c>
      <c r="L756" s="6"/>
      <c r="M756" s="6"/>
      <c r="N756" s="6"/>
      <c r="O756" s="6"/>
      <c r="P756" s="6"/>
      <c r="Q756" s="6">
        <v>6</v>
      </c>
      <c r="R756" s="6"/>
      <c r="S756" s="35">
        <f>SUM(F756:R756)</f>
        <v>12</v>
      </c>
      <c r="T756" s="35">
        <f>COUNT(F756:R756)</f>
        <v>2</v>
      </c>
      <c r="U756" s="36">
        <f>IF(T756&gt;=2,ROUND((IF(T756=2,0.55,IF(T756&lt;=4,0.7,IF(T756&lt;=6,0.8,IF(T756&lt;=9,0.9,1))))*(S756/T756)+(1-(IF(T756=2,0.55,IF(T756&lt;=4,0.7,IF(T756&lt;=6,0.8,IF(T756&lt;=9,0.9,1))))))*$Y$1),1),"")</f>
        <v>6.9</v>
      </c>
      <c r="V756" s="37">
        <v>7.3</v>
      </c>
      <c r="W756" s="38"/>
    </row>
    <row r="757" ht="24" customHeight="1" spans="1:23" x14ac:dyDescent="0.25">
      <c r="A757" s="31">
        <v>1134</v>
      </c>
      <c r="B757" s="32" t="s">
        <v>833</v>
      </c>
      <c r="C757" s="33" t="s">
        <v>24</v>
      </c>
      <c r="D757" s="34">
        <v>2017</v>
      </c>
      <c r="E757" s="34" t="s">
        <v>27</v>
      </c>
      <c r="F757" s="6"/>
      <c r="G757" s="6"/>
      <c r="H757" s="6"/>
      <c r="I757" s="6"/>
      <c r="J757" s="6">
        <v>6</v>
      </c>
      <c r="K757" s="6"/>
      <c r="L757" s="6"/>
      <c r="M757" s="6"/>
      <c r="N757" s="6"/>
      <c r="O757" s="6"/>
      <c r="P757" s="6"/>
      <c r="Q757" s="6"/>
      <c r="R757" s="6"/>
      <c r="S757" s="35">
        <f>SUM(F757:R757)</f>
        <v>6</v>
      </c>
      <c r="T757" s="35">
        <f>COUNT(F757:R757)</f>
        <v>1</v>
      </c>
      <c r="U757" s="36">
        <f>IF(T757&gt;=2,ROUND((IF(T757=2,0.55,IF(T757&lt;=4,0.7,IF(T757&lt;=6,0.8,IF(T757&lt;=9,0.9,1))))*(S757/T757)+(1-(IF(T757=2,0.55,IF(T757&lt;=4,0.7,IF(T757&lt;=6,0.8,IF(T757&lt;=9,0.9,1))))))*$Y$1),1),"")</f>
      </c>
      <c r="V757" s="37">
        <v>4.5</v>
      </c>
      <c r="W757" s="38"/>
    </row>
    <row r="758" ht="24" customHeight="1" spans="1:23" x14ac:dyDescent="0.25">
      <c r="A758" s="31">
        <v>227</v>
      </c>
      <c r="B758" s="32" t="s">
        <v>834</v>
      </c>
      <c r="C758" s="33" t="s">
        <v>24</v>
      </c>
      <c r="D758" s="34">
        <v>2019</v>
      </c>
      <c r="E758" s="34" t="s">
        <v>30</v>
      </c>
      <c r="F758" s="6">
        <v>8</v>
      </c>
      <c r="G758" s="6">
        <v>8</v>
      </c>
      <c r="H758" s="6">
        <v>8</v>
      </c>
      <c r="I758" s="6">
        <v>10</v>
      </c>
      <c r="J758" s="6">
        <v>10</v>
      </c>
      <c r="K758" s="6">
        <v>10</v>
      </c>
      <c r="L758" s="6">
        <v>6</v>
      </c>
      <c r="M758" s="6"/>
      <c r="N758" s="6">
        <v>8</v>
      </c>
      <c r="O758" s="6">
        <v>6</v>
      </c>
      <c r="P758" s="6">
        <v>6</v>
      </c>
      <c r="Q758" s="6">
        <v>10</v>
      </c>
      <c r="R758" s="6"/>
      <c r="S758" s="35">
        <f>SUM(F758:R758)</f>
        <v>90</v>
      </c>
      <c r="T758" s="35">
        <f>COUNT(F758:R758)</f>
        <v>11</v>
      </c>
      <c r="U758" s="36">
        <f>IF(T758&gt;=2,ROUND((IF(T758=2,0.55,IF(T758&lt;=4,0.7,IF(T758&lt;=6,0.8,IF(T758&lt;=9,0.9,1))))*(S758/T758)+(1-(IF(T758=2,0.55,IF(T758&lt;=4,0.7,IF(T758&lt;=6,0.8,IF(T758&lt;=9,0.9,1))))))*$Y$1),1),"")</f>
        <v>8.2</v>
      </c>
      <c r="V758" s="37">
        <v>7.8</v>
      </c>
      <c r="W758" s="38"/>
    </row>
    <row r="759" ht="24" customHeight="1" spans="1:23" x14ac:dyDescent="0.25">
      <c r="A759" s="40">
        <v>2120</v>
      </c>
      <c r="B759" s="32" t="s">
        <v>835</v>
      </c>
      <c r="C759" s="33" t="s">
        <v>24</v>
      </c>
      <c r="D759" s="34">
        <v>2001</v>
      </c>
      <c r="E759" s="41"/>
      <c r="F759" s="6"/>
      <c r="G759" s="6">
        <v>7</v>
      </c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35">
        <f>SUM(F759:R759)</f>
        <v>7</v>
      </c>
      <c r="T759" s="35">
        <f>COUNT(F759:R759)</f>
        <v>1</v>
      </c>
      <c r="U759" s="36">
        <f>IF(T759&gt;=2,ROUND((IF(T759=2,0.55,IF(T759&lt;=4,0.7,IF(T759&lt;=6,0.8,IF(T759&lt;=9,0.9,1))))*(S759/T759)+(1-(IF(T759=2,0.55,IF(T759&lt;=4,0.7,IF(T759&lt;=6,0.8,IF(T759&lt;=9,0.9,1))))))*$Y$1),1),"")</f>
      </c>
      <c r="V759" s="37">
        <v>7.1</v>
      </c>
      <c r="W759" s="38"/>
    </row>
    <row r="760" ht="24" customHeight="1" spans="1:23" x14ac:dyDescent="0.25">
      <c r="A760" s="31">
        <v>2499</v>
      </c>
      <c r="B760" s="32" t="s">
        <v>836</v>
      </c>
      <c r="C760" s="33" t="s">
        <v>24</v>
      </c>
      <c r="D760" s="34">
        <v>2014</v>
      </c>
      <c r="E760" s="34"/>
      <c r="F760" s="6"/>
      <c r="G760" s="6"/>
      <c r="H760" s="6"/>
      <c r="I760" s="6"/>
      <c r="J760" s="6"/>
      <c r="K760" s="6"/>
      <c r="L760" s="6"/>
      <c r="M760" s="6"/>
      <c r="N760" s="6"/>
      <c r="O760" s="6">
        <v>8</v>
      </c>
      <c r="P760" s="6"/>
      <c r="Q760" s="6"/>
      <c r="R760" s="6"/>
      <c r="S760" s="35">
        <f>SUM(F760:R760)</f>
        <v>8</v>
      </c>
      <c r="T760" s="35">
        <f>COUNT(F760:R760)</f>
        <v>1</v>
      </c>
      <c r="U760" s="36">
        <f>IF(T760&gt;=2,ROUND((IF(T760=2,0.55,IF(T760&lt;=4,0.7,IF(T760&lt;=6,0.8,IF(T760&lt;=9,0.9,1))))*(S760/T760)+(1-(IF(T760=2,0.55,IF(T760&lt;=4,0.7,IF(T760&lt;=6,0.8,IF(T760&lt;=9,0.9,1))))))*$Y$1),1),"")</f>
      </c>
      <c r="V760" s="37">
        <v>5.6</v>
      </c>
      <c r="W760" s="38"/>
    </row>
    <row r="761" ht="47.25" customHeight="1" spans="1:23" x14ac:dyDescent="0.25">
      <c r="A761" s="31">
        <v>1938</v>
      </c>
      <c r="B761" s="32" t="s">
        <v>837</v>
      </c>
      <c r="C761" s="33" t="s">
        <v>24</v>
      </c>
      <c r="D761" s="34">
        <v>2017</v>
      </c>
      <c r="E761" s="34" t="s">
        <v>48</v>
      </c>
      <c r="F761" s="6">
        <v>8</v>
      </c>
      <c r="G761" s="6">
        <v>9</v>
      </c>
      <c r="H761" s="6"/>
      <c r="I761" s="6"/>
      <c r="J761" s="6">
        <v>9</v>
      </c>
      <c r="K761" s="6"/>
      <c r="L761" s="6"/>
      <c r="M761" s="6"/>
      <c r="N761" s="6">
        <v>8</v>
      </c>
      <c r="O761" s="6"/>
      <c r="P761" s="6">
        <v>9</v>
      </c>
      <c r="Q761" s="6"/>
      <c r="R761" s="6"/>
      <c r="S761" s="35">
        <f>SUM(F761:R761)</f>
        <v>43</v>
      </c>
      <c r="T761" s="35">
        <f>COUNT(F761:R761)</f>
        <v>5</v>
      </c>
      <c r="U761" s="36">
        <f>IF(T761&gt;=2,ROUND((IF(T761=2,0.55,IF(T761&lt;=4,0.7,IF(T761&lt;=6,0.8,IF(T761&lt;=9,0.9,1))))*(S761/T761)+(1-(IF(T761=2,0.55,IF(T761&lt;=4,0.7,IF(T761&lt;=6,0.8,IF(T761&lt;=9,0.9,1))))))*$Y$1),1),"")</f>
        <v>8.5</v>
      </c>
      <c r="V761" s="37">
        <v>7.6</v>
      </c>
      <c r="W761" s="38"/>
    </row>
    <row r="762" ht="24" customHeight="1" spans="1:23" x14ac:dyDescent="0.25">
      <c r="A762" s="31">
        <v>1024</v>
      </c>
      <c r="B762" s="32" t="s">
        <v>838</v>
      </c>
      <c r="C762" s="33" t="s">
        <v>260</v>
      </c>
      <c r="D762" s="34">
        <v>2021</v>
      </c>
      <c r="E762" s="34" t="s">
        <v>30</v>
      </c>
      <c r="F762" s="6">
        <v>8</v>
      </c>
      <c r="G762" s="6"/>
      <c r="H762" s="6">
        <v>8</v>
      </c>
      <c r="I762" s="6"/>
      <c r="J762" s="6">
        <v>8</v>
      </c>
      <c r="K762" s="6"/>
      <c r="L762" s="6">
        <v>10</v>
      </c>
      <c r="M762" s="6"/>
      <c r="N762" s="6"/>
      <c r="O762" s="6"/>
      <c r="P762" s="6"/>
      <c r="Q762" s="6"/>
      <c r="R762" s="6"/>
      <c r="S762" s="35">
        <f>SUM(F762:R762)</f>
        <v>34</v>
      </c>
      <c r="T762" s="35">
        <f>COUNT(F762:R762)</f>
        <v>4</v>
      </c>
      <c r="U762" s="36">
        <f>IF(T762&gt;=2,ROUND((IF(T762=2,0.55,IF(T762&lt;=4,0.7,IF(T762&lt;=6,0.8,IF(T762&lt;=9,0.9,1))))*(S762/T762)+(1-(IF(T762=2,0.55,IF(T762&lt;=4,0.7,IF(T762&lt;=6,0.8,IF(T762&lt;=9,0.9,1))))))*$Y$1),1),"")</f>
        <v>8.4</v>
      </c>
      <c r="V762" s="37">
        <v>7.8</v>
      </c>
      <c r="W762" s="38"/>
    </row>
    <row r="763" ht="24" customHeight="1" spans="1:23" x14ac:dyDescent="0.25">
      <c r="A763" s="31">
        <v>634</v>
      </c>
      <c r="B763" s="32" t="s">
        <v>839</v>
      </c>
      <c r="C763" s="33" t="s">
        <v>24</v>
      </c>
      <c r="D763" s="34">
        <v>1995</v>
      </c>
      <c r="E763" s="34" t="s">
        <v>27</v>
      </c>
      <c r="F763" s="6"/>
      <c r="G763" s="6"/>
      <c r="H763" s="6"/>
      <c r="I763" s="6"/>
      <c r="J763" s="6">
        <v>6</v>
      </c>
      <c r="K763" s="6"/>
      <c r="L763" s="6"/>
      <c r="M763" s="6"/>
      <c r="N763" s="6"/>
      <c r="O763" s="6"/>
      <c r="P763" s="6"/>
      <c r="Q763" s="6"/>
      <c r="R763" s="6"/>
      <c r="S763" s="35">
        <f>SUM(F763:R763)</f>
        <v>6</v>
      </c>
      <c r="T763" s="35">
        <f>COUNT(F763:R763)</f>
        <v>1</v>
      </c>
      <c r="U763" s="36">
        <f>IF(T763&gt;=2,ROUND((IF(T763=2,0.55,IF(T763&lt;=4,0.7,IF(T763&lt;=6,0.8,IF(T763&lt;=9,0.9,1))))*(S763/T763)+(1-(IF(T763=2,0.55,IF(T763&lt;=4,0.7,IF(T763&lt;=6,0.8,IF(T763&lt;=9,0.9,1))))))*$Y$1),1),"")</f>
      </c>
      <c r="V763" s="37">
        <v>6.6</v>
      </c>
      <c r="W763" s="38"/>
    </row>
    <row r="764" ht="47.25" customHeight="1" spans="1:23" x14ac:dyDescent="0.25">
      <c r="A764" s="31">
        <v>1230</v>
      </c>
      <c r="B764" s="32" t="s">
        <v>840</v>
      </c>
      <c r="C764" s="33" t="s">
        <v>24</v>
      </c>
      <c r="D764" s="34">
        <v>2019</v>
      </c>
      <c r="E764" s="34" t="s">
        <v>841</v>
      </c>
      <c r="F764" s="6"/>
      <c r="G764" s="6"/>
      <c r="H764" s="6"/>
      <c r="I764" s="6"/>
      <c r="J764" s="6">
        <v>6</v>
      </c>
      <c r="K764" s="6"/>
      <c r="L764" s="6"/>
      <c r="M764" s="6"/>
      <c r="N764" s="6">
        <v>8</v>
      </c>
      <c r="O764" s="6"/>
      <c r="P764" s="6"/>
      <c r="Q764" s="6"/>
      <c r="R764" s="6"/>
      <c r="S764" s="35">
        <f>SUM(F764:R764)</f>
        <v>14</v>
      </c>
      <c r="T764" s="35">
        <f>COUNT(F764:R764)</f>
        <v>2</v>
      </c>
      <c r="U764" s="36">
        <f>IF(T764&gt;=2,ROUND((IF(T764=2,0.55,IF(T764&lt;=4,0.7,IF(T764&lt;=6,0.8,IF(T764&lt;=9,0.9,1))))*(S764/T764)+(1-(IF(T764=2,0.55,IF(T764&lt;=4,0.7,IF(T764&lt;=6,0.8,IF(T764&lt;=9,0.9,1))))))*$Y$1),1),"")</f>
        <v>7.5</v>
      </c>
      <c r="V764" s="37">
        <v>6.6</v>
      </c>
      <c r="W764" s="38"/>
    </row>
    <row r="765" ht="24" customHeight="1" spans="1:23" x14ac:dyDescent="0.25">
      <c r="A765" s="47">
        <v>95</v>
      </c>
      <c r="B765" s="32" t="s">
        <v>840</v>
      </c>
      <c r="C765" s="48" t="s">
        <v>24</v>
      </c>
      <c r="D765" s="49">
        <v>1999</v>
      </c>
      <c r="E765" s="34" t="s">
        <v>27</v>
      </c>
      <c r="F765" s="6">
        <v>10</v>
      </c>
      <c r="G765" s="6">
        <v>9</v>
      </c>
      <c r="H765" s="6">
        <v>8</v>
      </c>
      <c r="I765" s="6">
        <v>10</v>
      </c>
      <c r="J765" s="6">
        <v>10</v>
      </c>
      <c r="K765" s="6">
        <v>10</v>
      </c>
      <c r="L765" s="6">
        <v>8</v>
      </c>
      <c r="M765" s="6">
        <v>10</v>
      </c>
      <c r="N765" s="6">
        <v>10</v>
      </c>
      <c r="O765" s="6">
        <v>9</v>
      </c>
      <c r="P765" s="6">
        <v>10</v>
      </c>
      <c r="Q765" s="6">
        <v>10</v>
      </c>
      <c r="R765" s="6">
        <v>10</v>
      </c>
      <c r="S765" s="50">
        <f>SUM(F765:R765)</f>
        <v>124</v>
      </c>
      <c r="T765" s="50">
        <f>COUNT(F765:R765)</f>
        <v>13</v>
      </c>
      <c r="U765" s="36">
        <f>IF(T765&gt;=2,ROUND((IF(T765=2,0.55,IF(T765&lt;=4,0.7,IF(T765&lt;=6,0.8,IF(T765&lt;=9,0.9,1))))*(S765/T765)+(1-(IF(T765=2,0.55,IF(T765&lt;=4,0.7,IF(T765&lt;=6,0.8,IF(T765&lt;=9,0.9,1))))))*$Y$1),1),"")</f>
        <v>9.5</v>
      </c>
      <c r="V765" s="37">
        <v>7.8</v>
      </c>
      <c r="W765" s="38" t="s">
        <v>44</v>
      </c>
    </row>
    <row r="766" ht="24" customHeight="1" spans="1:23" x14ac:dyDescent="0.25">
      <c r="A766" s="31">
        <v>523</v>
      </c>
      <c r="B766" s="32" t="s">
        <v>842</v>
      </c>
      <c r="C766" s="33" t="s">
        <v>24</v>
      </c>
      <c r="D766" s="34">
        <v>2012</v>
      </c>
      <c r="E766" s="34" t="s">
        <v>244</v>
      </c>
      <c r="F766" s="6">
        <v>8</v>
      </c>
      <c r="G766" s="6">
        <v>8</v>
      </c>
      <c r="H766" s="6">
        <v>8</v>
      </c>
      <c r="I766" s="6">
        <v>8</v>
      </c>
      <c r="J766" s="6">
        <v>8</v>
      </c>
      <c r="K766" s="6">
        <v>8</v>
      </c>
      <c r="L766" s="6">
        <v>8</v>
      </c>
      <c r="M766" s="6"/>
      <c r="N766" s="6"/>
      <c r="O766" s="6"/>
      <c r="P766" s="6">
        <v>8</v>
      </c>
      <c r="Q766" s="6">
        <v>8</v>
      </c>
      <c r="R766" s="6">
        <v>8</v>
      </c>
      <c r="S766" s="35">
        <f>SUM(F766:R766)</f>
        <v>80</v>
      </c>
      <c r="T766" s="35">
        <f>COUNT(F766:R766)</f>
        <v>10</v>
      </c>
      <c r="U766" s="36">
        <f>IF(T766&gt;=2,ROUND((IF(T766=2,0.55,IF(T766&lt;=4,0.7,IF(T766&lt;=6,0.8,IF(T766&lt;=9,0.9,1))))*(S766/T766)+(1-(IF(T766=2,0.55,IF(T766&lt;=4,0.7,IF(T766&lt;=6,0.8,IF(T766&lt;=9,0.9,1))))))*$Y$1),1),"")</f>
        <v>8</v>
      </c>
      <c r="V766" s="37">
        <v>7.5</v>
      </c>
      <c r="W766" s="38"/>
    </row>
    <row r="767" ht="24" customHeight="1" spans="1:23" x14ac:dyDescent="0.25">
      <c r="A767" s="31">
        <v>659</v>
      </c>
      <c r="B767" s="32" t="s">
        <v>843</v>
      </c>
      <c r="C767" s="33" t="s">
        <v>24</v>
      </c>
      <c r="D767" s="34">
        <v>2006</v>
      </c>
      <c r="E767" s="34" t="s">
        <v>27</v>
      </c>
      <c r="F767" s="6"/>
      <c r="G767" s="6">
        <v>7</v>
      </c>
      <c r="H767" s="6"/>
      <c r="I767" s="6">
        <v>6</v>
      </c>
      <c r="J767" s="6"/>
      <c r="K767" s="6"/>
      <c r="L767" s="6">
        <v>6</v>
      </c>
      <c r="M767" s="6"/>
      <c r="N767" s="6"/>
      <c r="O767" s="6">
        <v>8</v>
      </c>
      <c r="P767" s="6">
        <v>6</v>
      </c>
      <c r="Q767" s="6"/>
      <c r="R767" s="6"/>
      <c r="S767" s="35">
        <f>SUM(F767:R767)</f>
        <v>33</v>
      </c>
      <c r="T767" s="35">
        <f>COUNT(F767:R767)</f>
        <v>5</v>
      </c>
      <c r="U767" s="36">
        <f>IF(T767&gt;=2,ROUND((IF(T767=2,0.55,IF(T767&lt;=4,0.7,IF(T767&lt;=6,0.8,IF(T767&lt;=9,0.9,1))))*(S767/T767)+(1-(IF(T767=2,0.55,IF(T767&lt;=4,0.7,IF(T767&lt;=6,0.8,IF(T767&lt;=9,0.9,1))))))*$Y$1),1),"")</f>
        <v>6.9</v>
      </c>
      <c r="V767" s="37">
        <v>7.5</v>
      </c>
      <c r="W767" s="38"/>
    </row>
    <row r="768" ht="24" customHeight="1" spans="1:23" x14ac:dyDescent="0.25">
      <c r="A768" s="31">
        <v>955</v>
      </c>
      <c r="B768" s="32" t="s">
        <v>844</v>
      </c>
      <c r="C768" s="33" t="s">
        <v>114</v>
      </c>
      <c r="D768" s="34">
        <v>1980</v>
      </c>
      <c r="E768" s="34" t="s">
        <v>52</v>
      </c>
      <c r="F768" s="6"/>
      <c r="G768" s="6">
        <v>7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35">
        <f>SUM(F768:R768)</f>
        <v>7</v>
      </c>
      <c r="T768" s="35">
        <f>COUNT(F768:R768)</f>
        <v>1</v>
      </c>
      <c r="U768" s="36">
        <f>IF(T768&gt;=2,ROUND((IF(T768=2,0.55,IF(T768&lt;=4,0.7,IF(T768&lt;=6,0.8,IF(T768&lt;=9,0.9,1))))*(S768/T768)+(1-(IF(T768=2,0.55,IF(T768&lt;=4,0.7,IF(T768&lt;=6,0.8,IF(T768&lt;=9,0.9,1))))))*$Y$1),1),"")</f>
      </c>
      <c r="V768" s="37">
        <v>8.4</v>
      </c>
      <c r="W768" s="38"/>
    </row>
    <row r="769" ht="24" customHeight="1" spans="1:23" x14ac:dyDescent="0.25">
      <c r="A769" s="31">
        <v>172</v>
      </c>
      <c r="B769" s="32" t="s">
        <v>845</v>
      </c>
      <c r="C769" s="33" t="s">
        <v>24</v>
      </c>
      <c r="D769" s="34">
        <v>2015</v>
      </c>
      <c r="E769" s="34" t="s">
        <v>92</v>
      </c>
      <c r="F769" s="6">
        <v>9</v>
      </c>
      <c r="G769" s="6">
        <v>8</v>
      </c>
      <c r="H769" s="6"/>
      <c r="I769" s="6">
        <v>10</v>
      </c>
      <c r="J769" s="6">
        <v>10</v>
      </c>
      <c r="K769" s="6">
        <v>10</v>
      </c>
      <c r="L769" s="6">
        <v>10</v>
      </c>
      <c r="M769" s="6">
        <v>8</v>
      </c>
      <c r="N769" s="6"/>
      <c r="O769" s="6"/>
      <c r="P769" s="6">
        <v>10</v>
      </c>
      <c r="Q769" s="6">
        <v>10</v>
      </c>
      <c r="R769" s="6"/>
      <c r="S769" s="35">
        <f>SUM(F769:R769)</f>
        <v>85</v>
      </c>
      <c r="T769" s="35">
        <f>COUNT(F769:R769)</f>
        <v>9</v>
      </c>
      <c r="U769" s="36">
        <f>IF(T769&gt;=2,ROUND((IF(T769=2,0.55,IF(T769&lt;=4,0.7,IF(T769&lt;=6,0.8,IF(T769&lt;=9,0.9,1))))*(S769/T769)+(1-(IF(T769=2,0.55,IF(T769&lt;=4,0.7,IF(T769&lt;=6,0.8,IF(T769&lt;=9,0.9,1))))))*$Y$1),1),"")</f>
        <v>9.3</v>
      </c>
      <c r="V769" s="37">
        <v>7.2</v>
      </c>
      <c r="W769" s="38"/>
    </row>
    <row r="770" ht="24" customHeight="1" spans="1:23" x14ac:dyDescent="0.25">
      <c r="A770" s="31">
        <v>790</v>
      </c>
      <c r="B770" s="32" t="s">
        <v>846</v>
      </c>
      <c r="C770" s="33" t="s">
        <v>24</v>
      </c>
      <c r="D770" s="34">
        <v>2011</v>
      </c>
      <c r="E770" s="34" t="s">
        <v>30</v>
      </c>
      <c r="F770" s="6"/>
      <c r="G770" s="6">
        <v>7</v>
      </c>
      <c r="H770" s="6"/>
      <c r="I770" s="6"/>
      <c r="J770" s="6">
        <v>8</v>
      </c>
      <c r="K770" s="6"/>
      <c r="L770" s="6">
        <v>8</v>
      </c>
      <c r="M770" s="6"/>
      <c r="N770" s="6"/>
      <c r="O770" s="6"/>
      <c r="P770" s="6"/>
      <c r="Q770" s="6"/>
      <c r="R770" s="6"/>
      <c r="S770" s="35">
        <f>SUM(F770:R770)</f>
        <v>23</v>
      </c>
      <c r="T770" s="35">
        <f>COUNT(F770:R770)</f>
        <v>3</v>
      </c>
      <c r="U770" s="36">
        <f>IF(T770&gt;=2,ROUND((IF(T770=2,0.55,IF(T770&lt;=4,0.7,IF(T770&lt;=6,0.8,IF(T770&lt;=9,0.9,1))))*(S770/T770)+(1-(IF(T770=2,0.55,IF(T770&lt;=4,0.7,IF(T770&lt;=6,0.8,IF(T770&lt;=9,0.9,1))))))*$Y$1),1),"")</f>
        <v>7.8</v>
      </c>
      <c r="V770" s="37">
        <v>7.6</v>
      </c>
      <c r="W770" s="38"/>
    </row>
    <row r="771" ht="47.25" customHeight="1" spans="1:23" x14ac:dyDescent="0.25">
      <c r="A771" s="40">
        <v>2067</v>
      </c>
      <c r="B771" s="32" t="s">
        <v>847</v>
      </c>
      <c r="C771" s="33" t="s">
        <v>24</v>
      </c>
      <c r="D771" s="34">
        <v>1962</v>
      </c>
      <c r="E771" s="41"/>
      <c r="F771" s="6"/>
      <c r="G771" s="6">
        <v>7</v>
      </c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35">
        <f>SUM(F771:R771)</f>
        <v>7</v>
      </c>
      <c r="T771" s="35">
        <f>COUNT(F771:R771)</f>
        <v>1</v>
      </c>
      <c r="U771" s="36">
        <f>IF(T771&gt;=2,ROUND((IF(T771=2,0.55,IF(T771&lt;=4,0.7,IF(T771&lt;=6,0.8,IF(T771&lt;=9,0.9,1))))*(S771/T771)+(1-(IF(T771=2,0.55,IF(T771&lt;=4,0.7,IF(T771&lt;=6,0.8,IF(T771&lt;=9,0.9,1))))))*$Y$1),1),"")</f>
      </c>
      <c r="V771" s="37">
        <v>8.1</v>
      </c>
      <c r="W771" s="38"/>
    </row>
    <row r="772" ht="24" customHeight="1" spans="1:23" x14ac:dyDescent="0.25">
      <c r="A772" s="31">
        <v>1408</v>
      </c>
      <c r="B772" s="32" t="s">
        <v>848</v>
      </c>
      <c r="C772" s="33" t="s">
        <v>24</v>
      </c>
      <c r="D772" s="34">
        <v>2022</v>
      </c>
      <c r="E772" s="34" t="s">
        <v>30</v>
      </c>
      <c r="F772" s="6"/>
      <c r="G772" s="6"/>
      <c r="H772" s="6"/>
      <c r="I772" s="6"/>
      <c r="J772" s="6"/>
      <c r="K772" s="6">
        <v>8</v>
      </c>
      <c r="L772" s="6"/>
      <c r="M772" s="6"/>
      <c r="N772" s="6"/>
      <c r="O772" s="6"/>
      <c r="P772" s="6"/>
      <c r="Q772" s="6">
        <v>8</v>
      </c>
      <c r="R772" s="6"/>
      <c r="S772" s="35">
        <f>SUM(F772:R772)</f>
        <v>16</v>
      </c>
      <c r="T772" s="35">
        <f>COUNT(F772:R772)</f>
        <v>2</v>
      </c>
      <c r="U772" s="36">
        <f>IF(T772&gt;=2,ROUND((IF(T772=2,0.55,IF(T772&lt;=4,0.7,IF(T772&lt;=6,0.8,IF(T772&lt;=9,0.9,1))))*(S772/T772)+(1-(IF(T772=2,0.55,IF(T772&lt;=4,0.7,IF(T772&lt;=6,0.8,IF(T772&lt;=9,0.9,1))))))*$Y$1),1),"")</f>
        <v>8</v>
      </c>
      <c r="V772" s="37">
        <v>6.8</v>
      </c>
      <c r="W772" s="38"/>
    </row>
    <row r="773" ht="24" customHeight="1" spans="1:23" x14ac:dyDescent="0.25">
      <c r="A773" s="31">
        <v>1112</v>
      </c>
      <c r="B773" s="32" t="s">
        <v>849</v>
      </c>
      <c r="C773" s="33" t="s">
        <v>29</v>
      </c>
      <c r="D773" s="34">
        <v>2021</v>
      </c>
      <c r="E773" s="34" t="s">
        <v>30</v>
      </c>
      <c r="F773" s="6">
        <v>8</v>
      </c>
      <c r="G773" s="6"/>
      <c r="H773" s="6">
        <v>8</v>
      </c>
      <c r="I773" s="6"/>
      <c r="J773" s="6">
        <v>8</v>
      </c>
      <c r="K773" s="6"/>
      <c r="L773" s="6">
        <v>7</v>
      </c>
      <c r="M773" s="6">
        <v>8</v>
      </c>
      <c r="N773" s="6"/>
      <c r="O773" s="6">
        <v>8</v>
      </c>
      <c r="P773" s="6"/>
      <c r="Q773" s="6"/>
      <c r="R773" s="6">
        <v>8</v>
      </c>
      <c r="S773" s="35">
        <f>SUM(F773:R773)</f>
        <v>55</v>
      </c>
      <c r="T773" s="35">
        <f>COUNT(F773:R773)</f>
        <v>7</v>
      </c>
      <c r="U773" s="36">
        <f>IF(T773&gt;=2,ROUND((IF(T773=2,0.55,IF(T773&lt;=4,0.7,IF(T773&lt;=6,0.8,IF(T773&lt;=9,0.9,1))))*(S773/T773)+(1-(IF(T773=2,0.55,IF(T773&lt;=4,0.7,IF(T773&lt;=6,0.8,IF(T773&lt;=9,0.9,1))))))*$Y$1),1),"")</f>
        <v>7.9</v>
      </c>
      <c r="V773" s="37">
        <v>7.6</v>
      </c>
      <c r="W773" s="38"/>
    </row>
    <row r="774" ht="24" customHeight="1" spans="1:23" x14ac:dyDescent="0.25">
      <c r="A774" s="40">
        <v>2219</v>
      </c>
      <c r="B774" s="32" t="s">
        <v>850</v>
      </c>
      <c r="C774" s="33" t="s">
        <v>24</v>
      </c>
      <c r="D774" s="34">
        <v>2008</v>
      </c>
      <c r="E774" s="41"/>
      <c r="F774" s="6"/>
      <c r="G774" s="6">
        <v>7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35">
        <f>SUM(F774:R774)</f>
        <v>7</v>
      </c>
      <c r="T774" s="35">
        <f>COUNT(F774:R774)</f>
        <v>1</v>
      </c>
      <c r="U774" s="36">
        <f>IF(T774&gt;=2,ROUND((IF(T774=2,0.55,IF(T774&lt;=4,0.7,IF(T774&lt;=6,0.8,IF(T774&lt;=9,0.9,1))))*(S774/T774)+(1-(IF(T774=2,0.55,IF(T774&lt;=4,0.7,IF(T774&lt;=6,0.8,IF(T774&lt;=9,0.9,1))))))*$Y$1),1),"")</f>
      </c>
      <c r="V774" s="37">
        <v>7.3</v>
      </c>
      <c r="W774" s="38"/>
    </row>
    <row r="775" ht="47.25" customHeight="1" spans="1:23" x14ac:dyDescent="0.25">
      <c r="A775" s="31">
        <v>203</v>
      </c>
      <c r="B775" s="32" t="s">
        <v>851</v>
      </c>
      <c r="C775" s="33" t="s">
        <v>24</v>
      </c>
      <c r="D775" s="34">
        <v>2006</v>
      </c>
      <c r="E775" s="34" t="s">
        <v>92</v>
      </c>
      <c r="F775" s="6">
        <v>8</v>
      </c>
      <c r="G775" s="6">
        <v>9</v>
      </c>
      <c r="H775" s="6">
        <v>8</v>
      </c>
      <c r="I775" s="6">
        <v>7</v>
      </c>
      <c r="J775" s="6"/>
      <c r="K775" s="6">
        <v>7</v>
      </c>
      <c r="L775" s="6">
        <v>9</v>
      </c>
      <c r="M775" s="6">
        <v>4.5</v>
      </c>
      <c r="N775" s="6">
        <v>9</v>
      </c>
      <c r="O775" s="6">
        <v>9</v>
      </c>
      <c r="P775" s="6">
        <v>8</v>
      </c>
      <c r="Q775" s="6">
        <v>7</v>
      </c>
      <c r="R775" s="6">
        <v>9</v>
      </c>
      <c r="S775" s="35">
        <f>SUM(F775:R775)</f>
        <v>94.5</v>
      </c>
      <c r="T775" s="35">
        <f>COUNT(F775:R775)</f>
        <v>12</v>
      </c>
      <c r="U775" s="36">
        <f>IF(T775&gt;=2,ROUND((IF(T775=2,0.55,IF(T775&lt;=4,0.7,IF(T775&lt;=6,0.8,IF(T775&lt;=9,0.9,1))))*(S775/T775)+(1-(IF(T775=2,0.55,IF(T775&lt;=4,0.7,IF(T775&lt;=6,0.8,IF(T775&lt;=9,0.9,1))))))*$Y$1),1),"")</f>
        <v>7.9</v>
      </c>
      <c r="V775" s="37">
        <v>8.5</v>
      </c>
      <c r="W775" s="38" t="s">
        <v>44</v>
      </c>
    </row>
    <row r="776" ht="24" customHeight="1" spans="1:23" x14ac:dyDescent="0.25">
      <c r="A776" s="31">
        <v>522</v>
      </c>
      <c r="B776" s="32" t="s">
        <v>852</v>
      </c>
      <c r="C776" s="33" t="s">
        <v>24</v>
      </c>
      <c r="D776" s="34">
        <v>2008</v>
      </c>
      <c r="E776" s="34" t="s">
        <v>25</v>
      </c>
      <c r="F776" s="6"/>
      <c r="G776" s="6">
        <v>8</v>
      </c>
      <c r="H776" s="6"/>
      <c r="I776" s="6"/>
      <c r="J776" s="6"/>
      <c r="K776" s="6"/>
      <c r="L776" s="6"/>
      <c r="M776" s="6"/>
      <c r="N776" s="6"/>
      <c r="O776" s="6"/>
      <c r="P776" s="6">
        <v>8</v>
      </c>
      <c r="Q776" s="6"/>
      <c r="R776" s="6"/>
      <c r="S776" s="35">
        <f>SUM(F776:R776)</f>
        <v>16</v>
      </c>
      <c r="T776" s="35">
        <f>COUNT(F776:R776)</f>
        <v>2</v>
      </c>
      <c r="U776" s="36">
        <f>IF(T776&gt;=2,ROUND((IF(T776=2,0.55,IF(T776&lt;=4,0.7,IF(T776&lt;=6,0.8,IF(T776&lt;=9,0.9,1))))*(S776/T776)+(1-(IF(T776=2,0.55,IF(T776&lt;=4,0.7,IF(T776&lt;=6,0.8,IF(T776&lt;=9,0.9,1))))))*$Y$1),1),"")</f>
        <v>8</v>
      </c>
      <c r="V776" s="37">
        <v>8</v>
      </c>
      <c r="W776" s="38"/>
    </row>
    <row r="777" ht="24" customHeight="1" spans="1:23" x14ac:dyDescent="0.25">
      <c r="A777" s="31">
        <v>664</v>
      </c>
      <c r="B777" s="32" t="s">
        <v>853</v>
      </c>
      <c r="C777" s="33" t="s">
        <v>24</v>
      </c>
      <c r="D777" s="34">
        <v>2014</v>
      </c>
      <c r="E777" s="34" t="s">
        <v>179</v>
      </c>
      <c r="F777" s="6"/>
      <c r="G777" s="6">
        <v>7</v>
      </c>
      <c r="H777" s="6"/>
      <c r="I777" s="6"/>
      <c r="J777" s="6">
        <v>8</v>
      </c>
      <c r="K777" s="6"/>
      <c r="L777" s="6">
        <v>7.5</v>
      </c>
      <c r="M777" s="6"/>
      <c r="N777" s="6"/>
      <c r="O777" s="6"/>
      <c r="P777" s="6">
        <v>6</v>
      </c>
      <c r="Q777" s="6"/>
      <c r="R777" s="6"/>
      <c r="S777" s="35">
        <f>SUM(F777:R777)</f>
        <v>28.5</v>
      </c>
      <c r="T777" s="35">
        <f>COUNT(F777:R777)</f>
        <v>4</v>
      </c>
      <c r="U777" s="36">
        <f>IF(T777&gt;=2,ROUND((IF(T777=2,0.55,IF(T777&lt;=4,0.7,IF(T777&lt;=6,0.8,IF(T777&lt;=9,0.9,1))))*(S777/T777)+(1-(IF(T777=2,0.55,IF(T777&lt;=4,0.7,IF(T777&lt;=6,0.8,IF(T777&lt;=9,0.9,1))))))*$Y$1),1),"")</f>
        <v>7.4</v>
      </c>
      <c r="V777" s="37">
        <v>8.1</v>
      </c>
      <c r="W777" s="38"/>
    </row>
    <row r="778" ht="24" customHeight="1" spans="1:23" x14ac:dyDescent="0.25">
      <c r="A778" s="31">
        <v>862</v>
      </c>
      <c r="B778" s="32" t="s">
        <v>854</v>
      </c>
      <c r="C778" s="33" t="s">
        <v>24</v>
      </c>
      <c r="D778" s="34">
        <v>2013</v>
      </c>
      <c r="E778" s="34" t="s">
        <v>27</v>
      </c>
      <c r="F778" s="6"/>
      <c r="G778" s="6"/>
      <c r="H778" s="6"/>
      <c r="I778" s="6"/>
      <c r="J778" s="6"/>
      <c r="K778" s="6"/>
      <c r="L778" s="6">
        <v>8</v>
      </c>
      <c r="M778" s="6"/>
      <c r="N778" s="6"/>
      <c r="O778" s="6"/>
      <c r="P778" s="6"/>
      <c r="Q778" s="6"/>
      <c r="R778" s="6"/>
      <c r="S778" s="35">
        <f>SUM(F778:R778)</f>
        <v>8</v>
      </c>
      <c r="T778" s="35">
        <f>COUNT(F778:R778)</f>
        <v>1</v>
      </c>
      <c r="U778" s="36">
        <f>IF(T778&gt;=2,ROUND((IF(T778=2,0.55,IF(T778&lt;=4,0.7,IF(T778&lt;=6,0.8,IF(T778&lt;=9,0.9,1))))*(S778/T778)+(1-(IF(T778=2,0.55,IF(T778&lt;=4,0.7,IF(T778&lt;=6,0.8,IF(T778&lt;=9,0.9,1))))))*$Y$1),1),"")</f>
      </c>
      <c r="V778" s="37">
        <v>7.5</v>
      </c>
      <c r="W778" s="38"/>
    </row>
    <row r="779" ht="24" customHeight="1" spans="1:23" x14ac:dyDescent="0.25">
      <c r="A779" s="31">
        <v>385</v>
      </c>
      <c r="B779" s="32" t="s">
        <v>855</v>
      </c>
      <c r="C779" s="33" t="s">
        <v>24</v>
      </c>
      <c r="D779" s="34">
        <v>2013</v>
      </c>
      <c r="E779" s="34" t="s">
        <v>595</v>
      </c>
      <c r="F779" s="6">
        <v>8</v>
      </c>
      <c r="G779" s="6">
        <v>8</v>
      </c>
      <c r="H779" s="6">
        <v>8</v>
      </c>
      <c r="I779" s="6"/>
      <c r="J779" s="6">
        <v>10</v>
      </c>
      <c r="K779" s="6">
        <v>6</v>
      </c>
      <c r="L779" s="6">
        <v>10</v>
      </c>
      <c r="M779" s="6">
        <v>10</v>
      </c>
      <c r="N779" s="6"/>
      <c r="O779" s="6"/>
      <c r="P779" s="6">
        <v>8</v>
      </c>
      <c r="Q779" s="6">
        <v>6</v>
      </c>
      <c r="R779" s="6"/>
      <c r="S779" s="35">
        <f>SUM(F779:R779)</f>
        <v>74</v>
      </c>
      <c r="T779" s="35">
        <f>COUNT(F779:R779)</f>
        <v>9</v>
      </c>
      <c r="U779" s="36">
        <f>IF(T779&gt;=2,ROUND((IF(T779=2,0.55,IF(T779&lt;=4,0.7,IF(T779&lt;=6,0.8,IF(T779&lt;=9,0.9,1))))*(S779/T779)+(1-(IF(T779=2,0.55,IF(T779&lt;=4,0.7,IF(T779&lt;=6,0.8,IF(T779&lt;=9,0.9,1))))))*$Y$1),1),"")</f>
        <v>8.2</v>
      </c>
      <c r="V779" s="37">
        <v>7.2</v>
      </c>
      <c r="W779" s="38"/>
    </row>
    <row r="780" ht="24" customHeight="1" spans="1:23" x14ac:dyDescent="0.25">
      <c r="A780" s="31">
        <v>360</v>
      </c>
      <c r="B780" s="32" t="s">
        <v>856</v>
      </c>
      <c r="C780" s="33" t="s">
        <v>24</v>
      </c>
      <c r="D780" s="34">
        <v>1940</v>
      </c>
      <c r="E780" s="34" t="s">
        <v>52</v>
      </c>
      <c r="F780" s="6"/>
      <c r="G780" s="6"/>
      <c r="H780" s="6"/>
      <c r="I780" s="6"/>
      <c r="J780" s="6"/>
      <c r="K780" s="6">
        <v>8</v>
      </c>
      <c r="L780" s="6"/>
      <c r="M780" s="6"/>
      <c r="N780" s="6"/>
      <c r="O780" s="6"/>
      <c r="P780" s="6"/>
      <c r="Q780" s="6">
        <v>8</v>
      </c>
      <c r="R780" s="6"/>
      <c r="S780" s="35">
        <f>SUM(F780:R780)</f>
        <v>16</v>
      </c>
      <c r="T780" s="35">
        <f>COUNT(F780:R780)</f>
        <v>2</v>
      </c>
      <c r="U780" s="36">
        <f>IF(T780&gt;=2,ROUND((IF(T780=2,0.55,IF(T780&lt;=4,0.7,IF(T780&lt;=6,0.8,IF(T780&lt;=9,0.9,1))))*(S780/T780)+(1-(IF(T780=2,0.55,IF(T780&lt;=4,0.7,IF(T780&lt;=6,0.8,IF(T780&lt;=9,0.9,1))))))*$Y$1),1),"")</f>
        <v>8</v>
      </c>
      <c r="V780" s="37">
        <v>8.4</v>
      </c>
      <c r="W780" s="38"/>
    </row>
    <row r="781" ht="24" customHeight="1" spans="1:23" x14ac:dyDescent="0.25">
      <c r="A781" s="40">
        <v>2207</v>
      </c>
      <c r="B781" s="32" t="s">
        <v>857</v>
      </c>
      <c r="C781" s="33" t="s">
        <v>24</v>
      </c>
      <c r="D781" s="34">
        <v>2007</v>
      </c>
      <c r="E781" s="41"/>
      <c r="F781" s="6"/>
      <c r="G781" s="6">
        <v>7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35">
        <f>SUM(F781:R781)</f>
        <v>7</v>
      </c>
      <c r="T781" s="35">
        <f>COUNT(F781:R781)</f>
        <v>1</v>
      </c>
      <c r="U781" s="36">
        <f>IF(T781&gt;=2,ROUND((IF(T781=2,0.55,IF(T781&lt;=4,0.7,IF(T781&lt;=6,0.8,IF(T781&lt;=9,0.9,1))))*(S781/T781)+(1-(IF(T781=2,0.55,IF(T781&lt;=4,0.7,IF(T781&lt;=6,0.8,IF(T781&lt;=9,0.9,1))))))*$Y$1),1),"")</f>
      </c>
      <c r="V781" s="37">
        <v>7.5</v>
      </c>
      <c r="W781" s="38"/>
    </row>
    <row r="782" ht="24" customHeight="1" spans="1:23" x14ac:dyDescent="0.25">
      <c r="A782" s="31">
        <v>521</v>
      </c>
      <c r="B782" s="32" t="s">
        <v>858</v>
      </c>
      <c r="C782" s="33" t="s">
        <v>24</v>
      </c>
      <c r="D782" s="34">
        <v>2000</v>
      </c>
      <c r="E782" s="34" t="s">
        <v>25</v>
      </c>
      <c r="F782" s="6"/>
      <c r="G782" s="6">
        <v>8</v>
      </c>
      <c r="H782" s="6"/>
      <c r="I782" s="6"/>
      <c r="J782" s="6"/>
      <c r="K782" s="6"/>
      <c r="L782" s="6"/>
      <c r="M782" s="6"/>
      <c r="N782" s="6"/>
      <c r="O782" s="6"/>
      <c r="P782" s="6">
        <v>8</v>
      </c>
      <c r="Q782" s="6"/>
      <c r="R782" s="6"/>
      <c r="S782" s="35">
        <f>SUM(F782:R782)</f>
        <v>16</v>
      </c>
      <c r="T782" s="35">
        <f>COUNT(F782:R782)</f>
        <v>2</v>
      </c>
      <c r="U782" s="36">
        <f>IF(T782&gt;=2,ROUND((IF(T782=2,0.55,IF(T782&lt;=4,0.7,IF(T782&lt;=6,0.8,IF(T782&lt;=9,0.9,1))))*(S782/T782)+(1-(IF(T782=2,0.55,IF(T782&lt;=4,0.7,IF(T782&lt;=6,0.8,IF(T782&lt;=9,0.9,1))))))*$Y$1),1),"")</f>
        <v>8</v>
      </c>
      <c r="V782" s="37">
        <v>7.2</v>
      </c>
      <c r="W782" s="38"/>
    </row>
    <row r="783" ht="24" customHeight="1" spans="1:23" x14ac:dyDescent="0.25">
      <c r="A783" s="31">
        <v>1240</v>
      </c>
      <c r="B783" s="32" t="s">
        <v>859</v>
      </c>
      <c r="C783" s="33" t="s">
        <v>24</v>
      </c>
      <c r="D783" s="34">
        <v>2022</v>
      </c>
      <c r="E783" s="34" t="s">
        <v>30</v>
      </c>
      <c r="F783" s="6"/>
      <c r="G783" s="6"/>
      <c r="H783" s="6">
        <v>8</v>
      </c>
      <c r="I783" s="6"/>
      <c r="J783" s="6"/>
      <c r="K783" s="6">
        <v>6</v>
      </c>
      <c r="L783" s="6">
        <v>8</v>
      </c>
      <c r="M783" s="6"/>
      <c r="N783" s="6">
        <v>8</v>
      </c>
      <c r="O783" s="6">
        <v>8</v>
      </c>
      <c r="P783" s="6"/>
      <c r="Q783" s="6">
        <v>6</v>
      </c>
      <c r="R783" s="6"/>
      <c r="S783" s="35">
        <f>SUM(F783:R783)</f>
        <v>44</v>
      </c>
      <c r="T783" s="35">
        <f>COUNT(F783:R783)</f>
        <v>6</v>
      </c>
      <c r="U783" s="36">
        <f>IF(T783&gt;=2,ROUND((IF(T783=2,0.55,IF(T783&lt;=4,0.7,IF(T783&lt;=6,0.8,IF(T783&lt;=9,0.9,1))))*(S783/T783)+(1-(IF(T783=2,0.55,IF(T783&lt;=4,0.7,IF(T783&lt;=6,0.8,IF(T783&lt;=9,0.9,1))))))*$Y$1),1),"")</f>
        <v>7.5</v>
      </c>
      <c r="V783" s="37">
        <v>7.1</v>
      </c>
      <c r="W783" s="38"/>
    </row>
    <row r="784" ht="24" customHeight="1" spans="1:23" x14ac:dyDescent="0.25">
      <c r="A784" s="31">
        <v>1257</v>
      </c>
      <c r="B784" s="32" t="s">
        <v>860</v>
      </c>
      <c r="C784" s="33" t="s">
        <v>29</v>
      </c>
      <c r="D784" s="34">
        <v>2019</v>
      </c>
      <c r="E784" s="34" t="s">
        <v>30</v>
      </c>
      <c r="F784" s="6"/>
      <c r="G784" s="6"/>
      <c r="H784" s="6"/>
      <c r="I784" s="6"/>
      <c r="J784" s="6"/>
      <c r="K784" s="6">
        <v>6</v>
      </c>
      <c r="L784" s="6">
        <v>6</v>
      </c>
      <c r="M784" s="6"/>
      <c r="N784" s="6"/>
      <c r="O784" s="6"/>
      <c r="P784" s="6"/>
      <c r="Q784" s="6">
        <v>6</v>
      </c>
      <c r="R784" s="6"/>
      <c r="S784" s="35">
        <f>SUM(F784:R784)</f>
        <v>18</v>
      </c>
      <c r="T784" s="35">
        <f>COUNT(F784:R784)</f>
        <v>3</v>
      </c>
      <c r="U784" s="36">
        <f>IF(T784&gt;=2,ROUND((IF(T784=2,0.55,IF(T784&lt;=4,0.7,IF(T784&lt;=6,0.8,IF(T784&lt;=9,0.9,1))))*(S784/T784)+(1-(IF(T784=2,0.55,IF(T784&lt;=4,0.7,IF(T784&lt;=6,0.8,IF(T784&lt;=9,0.9,1))))))*$Y$1),1),"")</f>
        <v>6.6</v>
      </c>
      <c r="V784" s="37">
        <v>6.7</v>
      </c>
      <c r="W784" s="38"/>
    </row>
    <row r="785" ht="24" customHeight="1" spans="1:23" x14ac:dyDescent="0.25">
      <c r="A785" s="31">
        <v>1346</v>
      </c>
      <c r="B785" s="32" t="s">
        <v>861</v>
      </c>
      <c r="C785" s="33" t="s">
        <v>29</v>
      </c>
      <c r="D785" s="34">
        <v>2016</v>
      </c>
      <c r="E785" s="34" t="s">
        <v>27</v>
      </c>
      <c r="F785" s="6">
        <v>7</v>
      </c>
      <c r="G785" s="6"/>
      <c r="H785" s="6"/>
      <c r="I785" s="6"/>
      <c r="J785" s="6">
        <v>8</v>
      </c>
      <c r="K785" s="6"/>
      <c r="L785" s="6"/>
      <c r="M785" s="6"/>
      <c r="N785" s="6"/>
      <c r="O785" s="6"/>
      <c r="P785" s="6"/>
      <c r="Q785" s="6"/>
      <c r="R785" s="6"/>
      <c r="S785" s="35">
        <f>SUM(F785:R785)</f>
        <v>15</v>
      </c>
      <c r="T785" s="35">
        <f>COUNT(F785:R785)</f>
        <v>2</v>
      </c>
      <c r="U785" s="36">
        <f>IF(T785&gt;=2,ROUND((IF(T785=2,0.55,IF(T785&lt;=4,0.7,IF(T785&lt;=6,0.8,IF(T785&lt;=9,0.9,1))))*(S785/T785)+(1-(IF(T785=2,0.55,IF(T785&lt;=4,0.7,IF(T785&lt;=6,0.8,IF(T785&lt;=9,0.9,1))))))*$Y$1),1),"")</f>
        <v>7.8</v>
      </c>
      <c r="V785" s="37">
        <v>8</v>
      </c>
      <c r="W785" s="38"/>
    </row>
    <row r="786" ht="24" customHeight="1" spans="1:23" x14ac:dyDescent="0.25">
      <c r="A786" s="31">
        <v>94</v>
      </c>
      <c r="B786" s="32" t="s">
        <v>862</v>
      </c>
      <c r="C786" s="33" t="s">
        <v>24</v>
      </c>
      <c r="D786" s="34">
        <v>2019</v>
      </c>
      <c r="E786" s="34" t="s">
        <v>179</v>
      </c>
      <c r="F786" s="6"/>
      <c r="G786" s="6">
        <v>7</v>
      </c>
      <c r="H786" s="6"/>
      <c r="I786" s="6"/>
      <c r="J786" s="6"/>
      <c r="K786" s="6">
        <v>10</v>
      </c>
      <c r="L786" s="6">
        <v>8</v>
      </c>
      <c r="M786" s="6"/>
      <c r="N786" s="6"/>
      <c r="O786" s="6"/>
      <c r="P786" s="6"/>
      <c r="Q786" s="6">
        <v>10</v>
      </c>
      <c r="R786" s="6"/>
      <c r="S786" s="35">
        <f>SUM(F786:R786)</f>
        <v>35</v>
      </c>
      <c r="T786" s="35">
        <f>COUNT(F786:R786)</f>
        <v>4</v>
      </c>
      <c r="U786" s="36">
        <f>IF(T786&gt;=2,ROUND((IF(T786=2,0.55,IF(T786&lt;=4,0.7,IF(T786&lt;=6,0.8,IF(T786&lt;=9,0.9,1))))*(S786/T786)+(1-(IF(T786=2,0.55,IF(T786&lt;=4,0.7,IF(T786&lt;=6,0.8,IF(T786&lt;=9,0.9,1))))))*$Y$1),1),"")</f>
        <v>8.6</v>
      </c>
      <c r="V786" s="37">
        <v>7.2</v>
      </c>
      <c r="W786" s="38"/>
    </row>
    <row r="787" ht="24" customHeight="1" spans="1:23" x14ac:dyDescent="0.25">
      <c r="A787" s="31">
        <v>1919</v>
      </c>
      <c r="B787" s="32" t="s">
        <v>863</v>
      </c>
      <c r="C787" s="33" t="s">
        <v>24</v>
      </c>
      <c r="D787" s="34">
        <v>2007</v>
      </c>
      <c r="E787" s="34" t="s">
        <v>48</v>
      </c>
      <c r="F787" s="6">
        <v>8</v>
      </c>
      <c r="G787" s="6"/>
      <c r="H787" s="6"/>
      <c r="I787" s="6"/>
      <c r="J787" s="6">
        <v>9</v>
      </c>
      <c r="K787" s="6"/>
      <c r="L787" s="6"/>
      <c r="M787" s="6"/>
      <c r="N787" s="6">
        <v>8</v>
      </c>
      <c r="O787" s="6"/>
      <c r="P787" s="6"/>
      <c r="Q787" s="6"/>
      <c r="R787" s="6">
        <v>9</v>
      </c>
      <c r="S787" s="35">
        <f>SUM(F787:R787)</f>
        <v>34</v>
      </c>
      <c r="T787" s="35">
        <f>COUNT(F787:R787)</f>
        <v>4</v>
      </c>
      <c r="U787" s="36">
        <f>IF(T787&gt;=2,ROUND((IF(T787=2,0.55,IF(T787&lt;=4,0.7,IF(T787&lt;=6,0.8,IF(T787&lt;=9,0.9,1))))*(S787/T787)+(1-(IF(T787=2,0.55,IF(T787&lt;=4,0.7,IF(T787&lt;=6,0.8,IF(T787&lt;=9,0.9,1))))))*$Y$1),1),"")</f>
        <v>8.4</v>
      </c>
      <c r="V787" s="37">
        <v>7.8</v>
      </c>
      <c r="W787" s="38"/>
    </row>
    <row r="788" ht="24" customHeight="1" spans="1:23" x14ac:dyDescent="0.25">
      <c r="A788" s="31">
        <v>784</v>
      </c>
      <c r="B788" s="32" t="s">
        <v>864</v>
      </c>
      <c r="C788" s="33" t="s">
        <v>29</v>
      </c>
      <c r="D788" s="34">
        <v>2020</v>
      </c>
      <c r="E788" s="34" t="s">
        <v>30</v>
      </c>
      <c r="F788" s="6">
        <v>8</v>
      </c>
      <c r="G788" s="6"/>
      <c r="H788" s="6">
        <v>10</v>
      </c>
      <c r="I788" s="6"/>
      <c r="J788" s="6">
        <v>10</v>
      </c>
      <c r="K788" s="6">
        <v>6</v>
      </c>
      <c r="L788" s="6">
        <v>6</v>
      </c>
      <c r="M788" s="6"/>
      <c r="N788" s="6">
        <v>10</v>
      </c>
      <c r="O788" s="6">
        <v>10</v>
      </c>
      <c r="P788" s="6"/>
      <c r="Q788" s="6">
        <v>6</v>
      </c>
      <c r="R788" s="6"/>
      <c r="S788" s="35">
        <f>SUM(F788:R788)</f>
        <v>66</v>
      </c>
      <c r="T788" s="35">
        <f>COUNT(F788:R788)</f>
        <v>8</v>
      </c>
      <c r="U788" s="36">
        <f>IF(T788&gt;=2,ROUND((IF(T788=2,0.55,IF(T788&lt;=4,0.7,IF(T788&lt;=6,0.8,IF(T788&lt;=9,0.9,1))))*(S788/T788)+(1-(IF(T788=2,0.55,IF(T788&lt;=4,0.7,IF(T788&lt;=6,0.8,IF(T788&lt;=9,0.9,1))))))*$Y$1),1),"")</f>
        <v>8.2</v>
      </c>
      <c r="V788" s="37">
        <v>8.5</v>
      </c>
      <c r="W788" s="38"/>
    </row>
    <row r="789" ht="24" customHeight="1" spans="1:23" x14ac:dyDescent="0.25">
      <c r="A789" s="40">
        <v>2080</v>
      </c>
      <c r="B789" s="32" t="s">
        <v>865</v>
      </c>
      <c r="C789" s="33" t="s">
        <v>24</v>
      </c>
      <c r="D789" s="34">
        <v>1978</v>
      </c>
      <c r="E789" s="41"/>
      <c r="F789" s="6"/>
      <c r="G789" s="6">
        <v>7</v>
      </c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35">
        <f>SUM(F789:R789)</f>
        <v>7</v>
      </c>
      <c r="T789" s="35">
        <f>COUNT(F789:R789)</f>
        <v>1</v>
      </c>
      <c r="U789" s="36">
        <f>IF(T789&gt;=2,ROUND((IF(T789=2,0.55,IF(T789&lt;=4,0.7,IF(T789&lt;=6,0.8,IF(T789&lt;=9,0.9,1))))*(S789/T789)+(1-(IF(T789=2,0.55,IF(T789&lt;=4,0.7,IF(T789&lt;=6,0.8,IF(T789&lt;=9,0.9,1))))))*$Y$1),1),"")</f>
      </c>
      <c r="V789" s="37">
        <v>8.1</v>
      </c>
      <c r="W789" s="38"/>
    </row>
    <row r="790" ht="24" customHeight="1" spans="1:23" x14ac:dyDescent="0.25">
      <c r="A790" s="31">
        <v>250</v>
      </c>
      <c r="B790" s="32" t="s">
        <v>866</v>
      </c>
      <c r="C790" s="33" t="s">
        <v>24</v>
      </c>
      <c r="D790" s="34">
        <v>2018</v>
      </c>
      <c r="E790" s="34" t="s">
        <v>30</v>
      </c>
      <c r="F790" s="6">
        <v>7</v>
      </c>
      <c r="G790" s="6"/>
      <c r="H790" s="6"/>
      <c r="I790" s="6"/>
      <c r="J790" s="6"/>
      <c r="K790" s="6">
        <v>8</v>
      </c>
      <c r="L790" s="6"/>
      <c r="M790" s="6"/>
      <c r="N790" s="6"/>
      <c r="O790" s="6"/>
      <c r="P790" s="6"/>
      <c r="Q790" s="6">
        <v>8</v>
      </c>
      <c r="R790" s="6"/>
      <c r="S790" s="35">
        <f>SUM(F790:R790)</f>
        <v>23</v>
      </c>
      <c r="T790" s="35">
        <f>COUNT(F790:R790)</f>
        <v>3</v>
      </c>
      <c r="U790" s="36">
        <f>IF(T790&gt;=2,ROUND((IF(T790=2,0.55,IF(T790&lt;=4,0.7,IF(T790&lt;=6,0.8,IF(T790&lt;=9,0.9,1))))*(S790/T790)+(1-(IF(T790=2,0.55,IF(T790&lt;=4,0.7,IF(T790&lt;=6,0.8,IF(T790&lt;=9,0.9,1))))))*$Y$1),1),"")</f>
        <v>7.8</v>
      </c>
      <c r="V790" s="37">
        <v>6.8</v>
      </c>
      <c r="W790" s="38"/>
    </row>
    <row r="791" ht="24" customHeight="1" spans="1:23" x14ac:dyDescent="0.25">
      <c r="A791" s="31">
        <v>1443</v>
      </c>
      <c r="B791" s="32" t="s">
        <v>867</v>
      </c>
      <c r="C791" s="33" t="s">
        <v>24</v>
      </c>
      <c r="D791" s="34">
        <v>2018</v>
      </c>
      <c r="E791" s="34" t="s">
        <v>30</v>
      </c>
      <c r="F791" s="6">
        <v>8</v>
      </c>
      <c r="G791" s="6"/>
      <c r="H791" s="6"/>
      <c r="I791" s="6"/>
      <c r="J791" s="6"/>
      <c r="K791" s="6"/>
      <c r="L791" s="6">
        <v>8</v>
      </c>
      <c r="M791" s="6"/>
      <c r="N791" s="6"/>
      <c r="O791" s="6"/>
      <c r="P791" s="6"/>
      <c r="Q791" s="6"/>
      <c r="R791" s="6"/>
      <c r="S791" s="35">
        <f>SUM(F791:R791)</f>
        <v>16</v>
      </c>
      <c r="T791" s="35">
        <f>COUNT(F791:R791)</f>
        <v>2</v>
      </c>
      <c r="U791" s="36">
        <f>IF(T791&gt;=2,ROUND((IF(T791=2,0.55,IF(T791&lt;=4,0.7,IF(T791&lt;=6,0.8,IF(T791&lt;=9,0.9,1))))*(S791/T791)+(1-(IF(T791=2,0.55,IF(T791&lt;=4,0.7,IF(T791&lt;=6,0.8,IF(T791&lt;=9,0.9,1))))))*$Y$1),1),"")</f>
        <v>8</v>
      </c>
      <c r="V791" s="37">
        <v>7.2</v>
      </c>
      <c r="W791" s="38"/>
    </row>
    <row r="792" ht="24" customHeight="1" spans="1:23" x14ac:dyDescent="0.25">
      <c r="A792" s="31">
        <v>374</v>
      </c>
      <c r="B792" s="32" t="s">
        <v>868</v>
      </c>
      <c r="C792" s="33" t="s">
        <v>24</v>
      </c>
      <c r="D792" s="34">
        <v>2017</v>
      </c>
      <c r="E792" s="34" t="s">
        <v>179</v>
      </c>
      <c r="F792" s="6"/>
      <c r="G792" s="6"/>
      <c r="H792" s="6">
        <v>8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35">
        <f>SUM(F792:R792)</f>
        <v>8</v>
      </c>
      <c r="T792" s="35">
        <f>COUNT(F792:R792)</f>
        <v>1</v>
      </c>
      <c r="U792" s="36">
        <f>IF(T792&gt;=2,ROUND((IF(T792=2,0.55,IF(T792&lt;=4,0.7,IF(T792&lt;=6,0.8,IF(T792&lt;=9,0.9,1))))*(S792/T792)+(1-(IF(T792=2,0.55,IF(T792&lt;=4,0.7,IF(T792&lt;=6,0.8,IF(T792&lt;=9,0.9,1))))))*$Y$1),1),"")</f>
      </c>
      <c r="V792" s="37">
        <v>6.8</v>
      </c>
      <c r="W792" s="38"/>
    </row>
    <row r="793" ht="24" customHeight="1" spans="1:23" x14ac:dyDescent="0.25">
      <c r="A793" s="31">
        <v>1849</v>
      </c>
      <c r="B793" s="32" t="s">
        <v>869</v>
      </c>
      <c r="C793" s="33" t="s">
        <v>24</v>
      </c>
      <c r="D793" s="34">
        <v>2015</v>
      </c>
      <c r="E793" s="34" t="s">
        <v>25</v>
      </c>
      <c r="F793" s="6"/>
      <c r="G793" s="6">
        <v>7</v>
      </c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35">
        <f>SUM(F793:R793)</f>
        <v>7</v>
      </c>
      <c r="T793" s="35">
        <f>COUNT(F793:R793)</f>
        <v>1</v>
      </c>
      <c r="U793" s="36">
        <f>IF(T793&gt;=2,ROUND((IF(T793=2,0.55,IF(T793&lt;=4,0.7,IF(T793&lt;=6,0.8,IF(T793&lt;=9,0.9,1))))*(S793/T793)+(1-(IF(T793=2,0.55,IF(T793&lt;=4,0.7,IF(T793&lt;=6,0.8,IF(T793&lt;=9,0.9,1))))))*$Y$1),1),"")</f>
      </c>
      <c r="V793" s="37">
        <v>7.4</v>
      </c>
      <c r="W793" s="38"/>
    </row>
    <row r="794" ht="24" customHeight="1" spans="1:23" x14ac:dyDescent="0.25">
      <c r="A794" s="47">
        <v>2387</v>
      </c>
      <c r="B794" s="32" t="s">
        <v>870</v>
      </c>
      <c r="C794" s="48" t="s">
        <v>24</v>
      </c>
      <c r="D794" s="49">
        <v>2025</v>
      </c>
      <c r="E794" s="49"/>
      <c r="F794" s="6">
        <v>8</v>
      </c>
      <c r="G794" s="6"/>
      <c r="H794" s="6">
        <v>8</v>
      </c>
      <c r="I794" s="6">
        <v>8</v>
      </c>
      <c r="J794" s="6">
        <v>7</v>
      </c>
      <c r="K794" s="6">
        <v>8</v>
      </c>
      <c r="L794" s="6">
        <v>8</v>
      </c>
      <c r="M794" s="6"/>
      <c r="N794" s="6">
        <v>7</v>
      </c>
      <c r="O794" s="6">
        <v>8</v>
      </c>
      <c r="P794" s="6">
        <v>7</v>
      </c>
      <c r="Q794" s="6">
        <v>8</v>
      </c>
      <c r="R794" s="6">
        <v>10</v>
      </c>
      <c r="S794" s="50">
        <f>SUM(F794:R794)</f>
        <v>87</v>
      </c>
      <c r="T794" s="50">
        <f>COUNT(F794:R794)</f>
        <v>11</v>
      </c>
      <c r="U794" s="36">
        <f>IF(T794&gt;=2,ROUND((IF(T794=2,0.55,IF(T794&lt;=4,0.7,IF(T794&lt;=6,0.8,IF(T794&lt;=9,0.9,1))))*(S794/T794)+(1-(IF(T794=2,0.55,IF(T794&lt;=4,0.7,IF(T794&lt;=6,0.8,IF(T794&lt;=9,0.9,1))))))*$Y$1),1),"")</f>
        <v>7.9</v>
      </c>
      <c r="V794" s="37">
        <v>7.3</v>
      </c>
      <c r="W794" s="38" t="s">
        <v>44</v>
      </c>
    </row>
    <row r="795" ht="24" customHeight="1" spans="1:23" x14ac:dyDescent="0.25">
      <c r="A795" s="47">
        <v>1128</v>
      </c>
      <c r="B795" s="32" t="s">
        <v>871</v>
      </c>
      <c r="C795" s="48" t="s">
        <v>114</v>
      </c>
      <c r="D795" s="49">
        <v>2016</v>
      </c>
      <c r="E795" s="49" t="s">
        <v>27</v>
      </c>
      <c r="F795" s="6">
        <v>8</v>
      </c>
      <c r="G795" s="6">
        <v>8</v>
      </c>
      <c r="H795" s="6">
        <v>8</v>
      </c>
      <c r="I795" s="6">
        <v>8</v>
      </c>
      <c r="J795" s="6">
        <v>8</v>
      </c>
      <c r="K795" s="6">
        <v>8</v>
      </c>
      <c r="L795" s="6">
        <v>8</v>
      </c>
      <c r="M795" s="6">
        <v>8</v>
      </c>
      <c r="N795" s="6">
        <v>8</v>
      </c>
      <c r="O795" s="6">
        <v>8</v>
      </c>
      <c r="P795" s="6">
        <v>8</v>
      </c>
      <c r="Q795" s="6">
        <v>8</v>
      </c>
      <c r="R795" s="6">
        <v>8</v>
      </c>
      <c r="S795" s="50">
        <f>SUM(F795:R795)</f>
        <v>104</v>
      </c>
      <c r="T795" s="50">
        <f>COUNT(F795:R795)</f>
        <v>13</v>
      </c>
      <c r="U795" s="36">
        <f>IF(T795&gt;=2,ROUND((IF(T795=2,0.55,IF(T795&lt;=4,0.7,IF(T795&lt;=6,0.8,IF(T795&lt;=9,0.9,1))))*(S795/T795)+(1-(IF(T795=2,0.55,IF(T795&lt;=4,0.7,IF(T795&lt;=6,0.8,IF(T795&lt;=9,0.9,1))))))*$Y$1),1),"")</f>
        <v>8</v>
      </c>
      <c r="V795" s="37">
        <v>7.3</v>
      </c>
      <c r="W795" s="38" t="s">
        <v>44</v>
      </c>
    </row>
    <row r="796" ht="24" customHeight="1" spans="1:23" x14ac:dyDescent="0.25">
      <c r="A796" s="47">
        <v>93</v>
      </c>
      <c r="B796" s="32" t="s">
        <v>872</v>
      </c>
      <c r="C796" s="48" t="s">
        <v>24</v>
      </c>
      <c r="D796" s="49">
        <v>2001</v>
      </c>
      <c r="E796" s="49" t="s">
        <v>137</v>
      </c>
      <c r="F796" s="6">
        <v>8</v>
      </c>
      <c r="G796" s="6">
        <v>7</v>
      </c>
      <c r="H796" s="6">
        <v>8</v>
      </c>
      <c r="I796" s="6">
        <v>8</v>
      </c>
      <c r="J796" s="6">
        <v>8</v>
      </c>
      <c r="K796" s="6">
        <v>10</v>
      </c>
      <c r="L796" s="6">
        <v>8</v>
      </c>
      <c r="M796" s="6">
        <v>10</v>
      </c>
      <c r="N796" s="6">
        <v>10</v>
      </c>
      <c r="O796" s="6"/>
      <c r="P796" s="6">
        <v>8</v>
      </c>
      <c r="Q796" s="6">
        <v>10</v>
      </c>
      <c r="R796" s="6">
        <v>8</v>
      </c>
      <c r="S796" s="50">
        <f>SUM(F796:R796)</f>
        <v>103</v>
      </c>
      <c r="T796" s="50">
        <f>COUNT(F796:R796)</f>
        <v>12</v>
      </c>
      <c r="U796" s="36">
        <f>IF(T796&gt;=2,ROUND((IF(T796=2,0.55,IF(T796&lt;=4,0.7,IF(T796&lt;=6,0.8,IF(T796&lt;=9,0.9,1))))*(S796/T796)+(1-(IF(T796=2,0.55,IF(T796&lt;=4,0.7,IF(T796&lt;=6,0.8,IF(T796&lt;=9,0.9,1))))))*$Y$1),1),"")</f>
        <v>8.6</v>
      </c>
      <c r="V796" s="37">
        <v>7.8</v>
      </c>
      <c r="W796" s="38" t="s">
        <v>44</v>
      </c>
    </row>
    <row r="797" ht="24" customHeight="1" spans="1:23" x14ac:dyDescent="0.25">
      <c r="A797" s="47">
        <v>1732</v>
      </c>
      <c r="B797" s="32" t="s">
        <v>873</v>
      </c>
      <c r="C797" s="48" t="s">
        <v>29</v>
      </c>
      <c r="D797" s="49">
        <v>2023</v>
      </c>
      <c r="E797" s="49" t="s">
        <v>25</v>
      </c>
      <c r="F797" s="6">
        <v>8</v>
      </c>
      <c r="G797" s="6">
        <v>8</v>
      </c>
      <c r="H797" s="6">
        <v>7</v>
      </c>
      <c r="I797" s="6">
        <v>7</v>
      </c>
      <c r="J797" s="6">
        <v>8</v>
      </c>
      <c r="K797" s="6">
        <v>8</v>
      </c>
      <c r="L797" s="6">
        <v>8</v>
      </c>
      <c r="M797" s="6">
        <v>8</v>
      </c>
      <c r="N797" s="6">
        <v>8</v>
      </c>
      <c r="O797" s="6">
        <v>9</v>
      </c>
      <c r="P797" s="6">
        <v>7</v>
      </c>
      <c r="Q797" s="6">
        <v>8</v>
      </c>
      <c r="R797" s="6">
        <v>7</v>
      </c>
      <c r="S797" s="50">
        <f>SUM(F797:R797)</f>
        <v>101</v>
      </c>
      <c r="T797" s="50">
        <f>COUNT(F797:R797)</f>
        <v>13</v>
      </c>
      <c r="U797" s="36">
        <f>IF(T797&gt;=2,ROUND((IF(T797=2,0.55,IF(T797&lt;=4,0.7,IF(T797&lt;=6,0.8,IF(T797&lt;=9,0.9,1))))*(S797/T797)+(1-(IF(T797=2,0.55,IF(T797&lt;=4,0.7,IF(T797&lt;=6,0.8,IF(T797&lt;=9,0.9,1))))))*$Y$1),1),"")</f>
        <v>7.8</v>
      </c>
      <c r="V797" s="37">
        <v>7.8</v>
      </c>
      <c r="W797" s="38" t="s">
        <v>44</v>
      </c>
    </row>
    <row r="798" ht="24" customHeight="1" spans="1:23" x14ac:dyDescent="0.25">
      <c r="A798" s="40">
        <v>2321</v>
      </c>
      <c r="B798" s="32" t="s">
        <v>874</v>
      </c>
      <c r="C798" s="33" t="s">
        <v>24</v>
      </c>
      <c r="D798" s="34">
        <v>2019</v>
      </c>
      <c r="E798" s="41"/>
      <c r="F798" s="6"/>
      <c r="G798" s="6">
        <v>6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35">
        <f>SUM(F798:R798)</f>
        <v>6</v>
      </c>
      <c r="T798" s="35">
        <f>COUNT(F798:R798)</f>
        <v>1</v>
      </c>
      <c r="U798" s="36">
        <f>IF(T798&gt;=2,ROUND((IF(T798=2,0.55,IF(T798&lt;=4,0.7,IF(T798&lt;=6,0.8,IF(T798&lt;=9,0.9,1))))*(S798/T798)+(1-(IF(T798=2,0.55,IF(T798&lt;=4,0.7,IF(T798&lt;=6,0.8,IF(T798&lt;=9,0.9,1))))))*$Y$1),1),"")</f>
      </c>
      <c r="V798" s="37">
        <v>7.4</v>
      </c>
      <c r="W798" s="38"/>
    </row>
    <row r="799" ht="24" customHeight="1" spans="1:23" x14ac:dyDescent="0.25">
      <c r="A799" s="31">
        <v>207</v>
      </c>
      <c r="B799" s="32" t="s">
        <v>875</v>
      </c>
      <c r="C799" s="33" t="s">
        <v>24</v>
      </c>
      <c r="D799" s="34">
        <v>2004</v>
      </c>
      <c r="E799" s="34" t="s">
        <v>92</v>
      </c>
      <c r="F799" s="6">
        <v>10</v>
      </c>
      <c r="G799" s="6">
        <v>9</v>
      </c>
      <c r="H799" s="6">
        <v>10</v>
      </c>
      <c r="I799" s="6"/>
      <c r="J799" s="6">
        <v>10</v>
      </c>
      <c r="K799" s="6">
        <v>10</v>
      </c>
      <c r="L799" s="6"/>
      <c r="M799" s="6">
        <v>8</v>
      </c>
      <c r="N799" s="6"/>
      <c r="O799" s="6">
        <v>8</v>
      </c>
      <c r="P799" s="6">
        <v>10</v>
      </c>
      <c r="Q799" s="6">
        <v>10</v>
      </c>
      <c r="R799" s="6"/>
      <c r="S799" s="35">
        <f>SUM(F799:R799)</f>
        <v>85</v>
      </c>
      <c r="T799" s="35">
        <f>COUNT(F799:R799)</f>
        <v>9</v>
      </c>
      <c r="U799" s="36">
        <f>IF(T799&gt;=2,ROUND((IF(T799=2,0.55,IF(T799&lt;=4,0.7,IF(T799&lt;=6,0.8,IF(T799&lt;=9,0.9,1))))*(S799/T799)+(1-(IF(T799=2,0.55,IF(T799&lt;=4,0.7,IF(T799&lt;=6,0.8,IF(T799&lt;=9,0.9,1))))))*$Y$1),1),"")</f>
        <v>9.3</v>
      </c>
      <c r="V799" s="37">
        <v>7.2</v>
      </c>
      <c r="W799" s="38"/>
    </row>
    <row r="800" ht="24" customHeight="1" spans="1:23" x14ac:dyDescent="0.25">
      <c r="A800" s="31">
        <v>1634</v>
      </c>
      <c r="B800" s="32" t="s">
        <v>876</v>
      </c>
      <c r="C800" s="33" t="s">
        <v>29</v>
      </c>
      <c r="D800" s="34">
        <v>2023</v>
      </c>
      <c r="E800" s="34" t="s">
        <v>30</v>
      </c>
      <c r="F800" s="6"/>
      <c r="G800" s="6"/>
      <c r="H800" s="6">
        <v>7</v>
      </c>
      <c r="I800" s="6"/>
      <c r="J800" s="6"/>
      <c r="K800" s="6"/>
      <c r="L800" s="6"/>
      <c r="M800" s="6"/>
      <c r="N800" s="6"/>
      <c r="O800" s="6">
        <v>8</v>
      </c>
      <c r="P800" s="6"/>
      <c r="Q800" s="6"/>
      <c r="R800" s="6"/>
      <c r="S800" s="35">
        <f>SUM(F800:R800)</f>
        <v>15</v>
      </c>
      <c r="T800" s="35">
        <f>COUNT(F800:R800)</f>
        <v>2</v>
      </c>
      <c r="U800" s="36">
        <f>IF(T800&gt;=2,ROUND((IF(T800=2,0.55,IF(T800&lt;=4,0.7,IF(T800&lt;=6,0.8,IF(T800&lt;=9,0.9,1))))*(S800/T800)+(1-(IF(T800=2,0.55,IF(T800&lt;=4,0.7,IF(T800&lt;=6,0.8,IF(T800&lt;=9,0.9,1))))))*$Y$1),1),"")</f>
        <v>7.8</v>
      </c>
      <c r="V800" s="37">
        <v>6.2</v>
      </c>
      <c r="W800" s="38"/>
    </row>
    <row r="801" ht="24" customHeight="1" spans="1:23" x14ac:dyDescent="0.25">
      <c r="A801" s="47">
        <v>208</v>
      </c>
      <c r="B801" s="32" t="s">
        <v>877</v>
      </c>
      <c r="C801" s="48" t="s">
        <v>24</v>
      </c>
      <c r="D801" s="49">
        <v>2001</v>
      </c>
      <c r="E801" s="34" t="s">
        <v>878</v>
      </c>
      <c r="F801" s="6">
        <v>10</v>
      </c>
      <c r="G801" s="6">
        <v>9</v>
      </c>
      <c r="H801" s="6">
        <v>8</v>
      </c>
      <c r="I801" s="6">
        <v>8</v>
      </c>
      <c r="J801" s="6">
        <v>8</v>
      </c>
      <c r="K801" s="6">
        <v>8</v>
      </c>
      <c r="L801" s="6">
        <v>10</v>
      </c>
      <c r="M801" s="6">
        <v>8</v>
      </c>
      <c r="N801" s="6"/>
      <c r="O801" s="6">
        <v>8</v>
      </c>
      <c r="P801" s="6">
        <v>10</v>
      </c>
      <c r="Q801" s="6">
        <v>8</v>
      </c>
      <c r="R801" s="6"/>
      <c r="S801" s="50">
        <f>SUM(F801:R801)</f>
        <v>95</v>
      </c>
      <c r="T801" s="50">
        <f>COUNT(F801:R801)</f>
        <v>11</v>
      </c>
      <c r="U801" s="36">
        <f>IF(T801&gt;=2,ROUND((IF(T801=2,0.55,IF(T801&lt;=4,0.7,IF(T801&lt;=6,0.8,IF(T801&lt;=9,0.9,1))))*(S801/T801)+(1-(IF(T801=2,0.55,IF(T801&lt;=4,0.7,IF(T801&lt;=6,0.8,IF(T801&lt;=9,0.9,1))))))*$Y$1),1),"")</f>
        <v>8.6</v>
      </c>
      <c r="V801" s="37">
        <v>8.2</v>
      </c>
      <c r="W801" s="38" t="s">
        <v>44</v>
      </c>
    </row>
    <row r="802" ht="24" customHeight="1" spans="1:23" x14ac:dyDescent="0.25">
      <c r="A802" s="31">
        <v>1836</v>
      </c>
      <c r="B802" s="32" t="s">
        <v>879</v>
      </c>
      <c r="C802" s="33" t="s">
        <v>24</v>
      </c>
      <c r="D802" s="34">
        <v>2024</v>
      </c>
      <c r="E802" s="34" t="s">
        <v>30</v>
      </c>
      <c r="F802" s="6"/>
      <c r="G802" s="6"/>
      <c r="H802" s="6"/>
      <c r="I802" s="6"/>
      <c r="J802" s="6"/>
      <c r="K802" s="6"/>
      <c r="L802" s="6"/>
      <c r="M802" s="6"/>
      <c r="N802" s="6"/>
      <c r="O802" s="6">
        <v>8</v>
      </c>
      <c r="P802" s="6"/>
      <c r="Q802" s="6"/>
      <c r="R802" s="6"/>
      <c r="S802" s="35">
        <f>SUM(F802:R802)</f>
        <v>8</v>
      </c>
      <c r="T802" s="35">
        <f>COUNT(F802:R802)</f>
        <v>1</v>
      </c>
      <c r="U802" s="36">
        <f>IF(T802&gt;=2,ROUND((IF(T802=2,0.55,IF(T802&lt;=4,0.7,IF(T802&lt;=6,0.8,IF(T802&lt;=9,0.9,1))))*(S802/T802)+(1-(IF(T802=2,0.55,IF(T802&lt;=4,0.7,IF(T802&lt;=6,0.8,IF(T802&lt;=9,0.9,1))))))*$Y$1),1),"")</f>
      </c>
      <c r="V802" s="37">
        <v>5.2</v>
      </c>
      <c r="W802" s="38"/>
    </row>
    <row r="803" ht="24" customHeight="1" spans="1:23" x14ac:dyDescent="0.25">
      <c r="A803" s="31">
        <v>425</v>
      </c>
      <c r="B803" s="32" t="s">
        <v>880</v>
      </c>
      <c r="C803" s="33" t="s">
        <v>24</v>
      </c>
      <c r="D803" s="34">
        <v>1978</v>
      </c>
      <c r="E803" s="34" t="s">
        <v>92</v>
      </c>
      <c r="F803" s="6">
        <v>8</v>
      </c>
      <c r="G803" s="6"/>
      <c r="H803" s="6">
        <v>10</v>
      </c>
      <c r="I803" s="6"/>
      <c r="J803" s="6">
        <v>9</v>
      </c>
      <c r="K803" s="6">
        <v>9</v>
      </c>
      <c r="L803" s="6">
        <v>8</v>
      </c>
      <c r="M803" s="6">
        <v>10</v>
      </c>
      <c r="N803" s="6">
        <v>10</v>
      </c>
      <c r="O803" s="6"/>
      <c r="P803" s="6"/>
      <c r="Q803" s="6">
        <v>9</v>
      </c>
      <c r="R803" s="6"/>
      <c r="S803" s="35">
        <f>SUM(F803:R803)</f>
        <v>73</v>
      </c>
      <c r="T803" s="35">
        <f>COUNT(F803:R803)</f>
        <v>8</v>
      </c>
      <c r="U803" s="36">
        <f>IF(T803&gt;=2,ROUND((IF(T803=2,0.55,IF(T803&lt;=4,0.7,IF(T803&lt;=6,0.8,IF(T803&lt;=9,0.9,1))))*(S803/T803)+(1-(IF(T803=2,0.55,IF(T803&lt;=4,0.7,IF(T803&lt;=6,0.8,IF(T803&lt;=9,0.9,1))))))*$Y$1),1),"")</f>
        <v>9</v>
      </c>
      <c r="V803" s="37">
        <v>7.5</v>
      </c>
      <c r="W803" s="38"/>
    </row>
    <row r="804" ht="24" customHeight="1" spans="1:23" x14ac:dyDescent="0.25">
      <c r="A804" s="40">
        <v>2074</v>
      </c>
      <c r="B804" s="32" t="s">
        <v>881</v>
      </c>
      <c r="C804" s="33" t="s">
        <v>24</v>
      </c>
      <c r="D804" s="34">
        <v>1973</v>
      </c>
      <c r="E804" s="41"/>
      <c r="F804" s="6"/>
      <c r="G804" s="6">
        <v>7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35">
        <f>SUM(F804:R804)</f>
        <v>7</v>
      </c>
      <c r="T804" s="35">
        <f>COUNT(F804:R804)</f>
        <v>1</v>
      </c>
      <c r="U804" s="36">
        <f>IF(T804&gt;=2,ROUND((IF(T804=2,0.55,IF(T804&lt;=4,0.7,IF(T804&lt;=6,0.8,IF(T804&lt;=9,0.9,1))))*(S804/T804)+(1-(IF(T804=2,0.55,IF(T804&lt;=4,0.7,IF(T804&lt;=6,0.8,IF(T804&lt;=9,0.9,1))))))*$Y$1),1),"")</f>
      </c>
      <c r="V804" s="37">
        <v>8.1</v>
      </c>
      <c r="W804" s="38"/>
    </row>
    <row r="805" ht="24" customHeight="1" spans="1:23" x14ac:dyDescent="0.25">
      <c r="A805" s="31">
        <v>92</v>
      </c>
      <c r="B805" s="32" t="s">
        <v>882</v>
      </c>
      <c r="C805" s="33" t="s">
        <v>24</v>
      </c>
      <c r="D805" s="34">
        <v>2017</v>
      </c>
      <c r="E805" s="34" t="s">
        <v>30</v>
      </c>
      <c r="F805" s="6">
        <v>8</v>
      </c>
      <c r="G805" s="6">
        <v>6</v>
      </c>
      <c r="H805" s="6">
        <v>8</v>
      </c>
      <c r="I805" s="6"/>
      <c r="J805" s="6">
        <v>6</v>
      </c>
      <c r="K805" s="6">
        <v>8</v>
      </c>
      <c r="L805" s="6">
        <v>6</v>
      </c>
      <c r="M805" s="6">
        <v>8</v>
      </c>
      <c r="N805" s="6">
        <v>6</v>
      </c>
      <c r="O805" s="6"/>
      <c r="P805" s="6">
        <v>6</v>
      </c>
      <c r="Q805" s="6">
        <v>8</v>
      </c>
      <c r="R805" s="6"/>
      <c r="S805" s="35">
        <f>SUM(F805:R805)</f>
        <v>70</v>
      </c>
      <c r="T805" s="35">
        <f>COUNT(F805:R805)</f>
        <v>10</v>
      </c>
      <c r="U805" s="36">
        <f>IF(T805&gt;=2,ROUND((IF(T805=2,0.55,IF(T805&lt;=4,0.7,IF(T805&lt;=6,0.8,IF(T805&lt;=9,0.9,1))))*(S805/T805)+(1-(IF(T805=2,0.55,IF(T805&lt;=4,0.7,IF(T805&lt;=6,0.8,IF(T805&lt;=9,0.9,1))))))*$Y$1),1),"")</f>
        <v>7</v>
      </c>
      <c r="V805" s="37">
        <v>6.3</v>
      </c>
      <c r="W805" s="38"/>
    </row>
    <row r="806" ht="24" customHeight="1" spans="1:23" x14ac:dyDescent="0.25">
      <c r="A806" s="31">
        <v>478</v>
      </c>
      <c r="B806" s="32" t="s">
        <v>883</v>
      </c>
      <c r="C806" s="33" t="s">
        <v>29</v>
      </c>
      <c r="D806" s="34">
        <v>2019</v>
      </c>
      <c r="E806" s="34" t="s">
        <v>30</v>
      </c>
      <c r="F806" s="6">
        <v>9</v>
      </c>
      <c r="G806" s="6">
        <v>8</v>
      </c>
      <c r="H806" s="6"/>
      <c r="I806" s="6"/>
      <c r="J806" s="6"/>
      <c r="K806" s="6"/>
      <c r="L806" s="6">
        <v>10</v>
      </c>
      <c r="M806" s="6"/>
      <c r="N806" s="6"/>
      <c r="O806" s="6"/>
      <c r="P806" s="6"/>
      <c r="Q806" s="6"/>
      <c r="R806" s="6"/>
      <c r="S806" s="35">
        <f>SUM(F806:R806)</f>
        <v>27</v>
      </c>
      <c r="T806" s="35">
        <f>COUNT(F806:R806)</f>
        <v>3</v>
      </c>
      <c r="U806" s="36">
        <f>IF(T806&gt;=2,ROUND((IF(T806=2,0.55,IF(T806&lt;=4,0.7,IF(T806&lt;=6,0.8,IF(T806&lt;=9,0.9,1))))*(S806/T806)+(1-(IF(T806=2,0.55,IF(T806&lt;=4,0.7,IF(T806&lt;=6,0.8,IF(T806&lt;=9,0.9,1))))))*$Y$1),1),"")</f>
        <v>8.7</v>
      </c>
      <c r="V806" s="37">
        <v>7.9</v>
      </c>
      <c r="W806" s="38"/>
    </row>
    <row r="807" ht="24" customHeight="1" spans="1:23" x14ac:dyDescent="0.25">
      <c r="A807" s="31">
        <v>919</v>
      </c>
      <c r="B807" s="32" t="s">
        <v>884</v>
      </c>
      <c r="C807" s="33" t="s">
        <v>24</v>
      </c>
      <c r="D807" s="34">
        <v>1996</v>
      </c>
      <c r="E807" s="34" t="s">
        <v>841</v>
      </c>
      <c r="F807" s="6">
        <v>8</v>
      </c>
      <c r="G807" s="6">
        <v>7</v>
      </c>
      <c r="H807" s="6">
        <v>8</v>
      </c>
      <c r="I807" s="6"/>
      <c r="J807" s="6">
        <v>6</v>
      </c>
      <c r="K807" s="6">
        <v>8</v>
      </c>
      <c r="L807" s="6">
        <v>6</v>
      </c>
      <c r="M807" s="6"/>
      <c r="N807" s="6"/>
      <c r="O807" s="6"/>
      <c r="P807" s="6">
        <v>6</v>
      </c>
      <c r="Q807" s="6">
        <v>8</v>
      </c>
      <c r="R807" s="6"/>
      <c r="S807" s="35">
        <f>SUM(F807:R807)</f>
        <v>57</v>
      </c>
      <c r="T807" s="35">
        <f>COUNT(F807:R807)</f>
        <v>8</v>
      </c>
      <c r="U807" s="36">
        <f>IF(T807&gt;=2,ROUND((IF(T807=2,0.55,IF(T807&lt;=4,0.7,IF(T807&lt;=6,0.8,IF(T807&lt;=9,0.9,1))))*(S807/T807)+(1-(IF(T807=2,0.55,IF(T807&lt;=4,0.7,IF(T807&lt;=6,0.8,IF(T807&lt;=9,0.9,1))))))*$Y$1),1),"")</f>
        <v>7.2</v>
      </c>
      <c r="V807" s="37">
        <v>6.7</v>
      </c>
      <c r="W807" s="38"/>
    </row>
    <row r="808" ht="24" customHeight="1" spans="1:23" x14ac:dyDescent="0.25">
      <c r="A808" s="31">
        <v>673</v>
      </c>
      <c r="B808" s="32" t="s">
        <v>885</v>
      </c>
      <c r="C808" s="33" t="s">
        <v>24</v>
      </c>
      <c r="D808" s="34">
        <v>2019</v>
      </c>
      <c r="E808" s="34" t="s">
        <v>244</v>
      </c>
      <c r="F808" s="6">
        <v>8</v>
      </c>
      <c r="G808" s="6"/>
      <c r="H808" s="6"/>
      <c r="I808" s="6"/>
      <c r="J808" s="6"/>
      <c r="K808" s="6"/>
      <c r="L808" s="6">
        <v>8</v>
      </c>
      <c r="M808" s="6"/>
      <c r="N808" s="6"/>
      <c r="O808" s="6"/>
      <c r="P808" s="6"/>
      <c r="Q808" s="6"/>
      <c r="R808" s="6">
        <v>8</v>
      </c>
      <c r="S808" s="35">
        <f>SUM(F808:R808)</f>
        <v>24</v>
      </c>
      <c r="T808" s="35">
        <f>COUNT(F808:R808)</f>
        <v>3</v>
      </c>
      <c r="U808" s="36">
        <f>IF(T808&gt;=2,ROUND((IF(T808=2,0.55,IF(T808&lt;=4,0.7,IF(T808&lt;=6,0.8,IF(T808&lt;=9,0.9,1))))*(S808/T808)+(1-(IF(T808=2,0.55,IF(T808&lt;=4,0.7,IF(T808&lt;=6,0.8,IF(T808&lt;=9,0.9,1))))))*$Y$1),1),"")</f>
        <v>8</v>
      </c>
      <c r="V808" s="37">
        <v>6.8</v>
      </c>
      <c r="W808" s="38"/>
    </row>
    <row r="809" ht="24" customHeight="1" spans="1:23" x14ac:dyDescent="0.25">
      <c r="A809" s="47">
        <v>865</v>
      </c>
      <c r="B809" s="32" t="s">
        <v>886</v>
      </c>
      <c r="C809" s="48" t="s">
        <v>24</v>
      </c>
      <c r="D809" s="49">
        <v>2007</v>
      </c>
      <c r="E809" s="34" t="s">
        <v>27</v>
      </c>
      <c r="F809" s="6">
        <v>8</v>
      </c>
      <c r="G809" s="6">
        <v>8</v>
      </c>
      <c r="H809" s="6">
        <v>8</v>
      </c>
      <c r="I809" s="6">
        <v>10</v>
      </c>
      <c r="J809" s="6">
        <v>10</v>
      </c>
      <c r="K809" s="6">
        <v>10</v>
      </c>
      <c r="L809" s="6">
        <v>10</v>
      </c>
      <c r="M809" s="6"/>
      <c r="N809" s="6">
        <v>10</v>
      </c>
      <c r="O809" s="6">
        <v>7</v>
      </c>
      <c r="P809" s="6">
        <v>8</v>
      </c>
      <c r="Q809" s="6">
        <v>10</v>
      </c>
      <c r="R809" s="6"/>
      <c r="S809" s="50">
        <f>SUM(F809:R809)</f>
        <v>99</v>
      </c>
      <c r="T809" s="50">
        <f>COUNT(F809:R809)</f>
        <v>11</v>
      </c>
      <c r="U809" s="36">
        <f>IF(T809&gt;=2,ROUND((IF(T809=2,0.55,IF(T809&lt;=4,0.7,IF(T809&lt;=6,0.8,IF(T809&lt;=9,0.9,1))))*(S809/T809)+(1-(IF(T809=2,0.55,IF(T809&lt;=4,0.7,IF(T809&lt;=6,0.8,IF(T809&lt;=9,0.9,1))))))*$Y$1),1),"")</f>
        <v>9</v>
      </c>
      <c r="V809" s="37">
        <v>8</v>
      </c>
      <c r="W809" s="38" t="s">
        <v>44</v>
      </c>
    </row>
    <row r="810" ht="24" customHeight="1" spans="1:23" x14ac:dyDescent="0.25">
      <c r="A810" s="31">
        <v>1428</v>
      </c>
      <c r="B810" s="32" t="s">
        <v>887</v>
      </c>
      <c r="C810" s="33" t="s">
        <v>24</v>
      </c>
      <c r="D810" s="34">
        <v>2022</v>
      </c>
      <c r="E810" s="34" t="s">
        <v>30</v>
      </c>
      <c r="F810" s="6">
        <v>8</v>
      </c>
      <c r="G810" s="6"/>
      <c r="H810" s="6">
        <v>8</v>
      </c>
      <c r="I810" s="6"/>
      <c r="J810" s="6"/>
      <c r="K810" s="6">
        <v>8</v>
      </c>
      <c r="L810" s="6">
        <v>6</v>
      </c>
      <c r="M810" s="6"/>
      <c r="N810" s="6">
        <v>6</v>
      </c>
      <c r="O810" s="6">
        <v>8</v>
      </c>
      <c r="P810" s="6"/>
      <c r="Q810" s="6">
        <v>8</v>
      </c>
      <c r="R810" s="6"/>
      <c r="S810" s="35">
        <f>SUM(F810:R810)</f>
        <v>52</v>
      </c>
      <c r="T810" s="35">
        <f>COUNT(F810:R810)</f>
        <v>7</v>
      </c>
      <c r="U810" s="36">
        <f>IF(T810&gt;=2,ROUND((IF(T810=2,0.55,IF(T810&lt;=4,0.7,IF(T810&lt;=6,0.8,IF(T810&lt;=9,0.9,1))))*(S810/T810)+(1-(IF(T810=2,0.55,IF(T810&lt;=4,0.7,IF(T810&lt;=6,0.8,IF(T810&lt;=9,0.9,1))))))*$Y$1),1),"")</f>
        <v>7.5</v>
      </c>
      <c r="V810" s="37">
        <v>6.8</v>
      </c>
      <c r="W810" s="38"/>
    </row>
    <row r="811" ht="24" customHeight="1" spans="1:23" x14ac:dyDescent="0.25">
      <c r="A811" s="31">
        <v>2463</v>
      </c>
      <c r="B811" s="32" t="s">
        <v>888</v>
      </c>
      <c r="C811" s="33" t="s">
        <v>24</v>
      </c>
      <c r="D811" s="34">
        <v>2026</v>
      </c>
      <c r="E811" s="41"/>
      <c r="F811" s="6"/>
      <c r="G811" s="6"/>
      <c r="H811" s="6"/>
      <c r="I811" s="6"/>
      <c r="J811" s="6">
        <v>8</v>
      </c>
      <c r="K811" s="6"/>
      <c r="L811" s="6">
        <v>8</v>
      </c>
      <c r="M811" s="6"/>
      <c r="N811" s="6"/>
      <c r="O811" s="6"/>
      <c r="P811" s="6"/>
      <c r="Q811" s="6"/>
      <c r="R811" s="6"/>
      <c r="S811" s="35">
        <f>SUM(F811:R811)</f>
        <v>16</v>
      </c>
      <c r="T811" s="35">
        <f>COUNT(F811:R811)</f>
        <v>2</v>
      </c>
      <c r="U811" s="36">
        <f>IF(T811&gt;=2,ROUND((IF(T811=2,0.55,IF(T811&lt;=4,0.7,IF(T811&lt;=6,0.8,IF(T811&lt;=9,0.9,1))))*(S811/T811)+(1-(IF(T811=2,0.55,IF(T811&lt;=4,0.7,IF(T811&lt;=6,0.8,IF(T811&lt;=9,0.9,1))))))*$Y$1),1),"")</f>
        <v>8</v>
      </c>
      <c r="V811" s="37">
        <v>7.2</v>
      </c>
      <c r="W811" s="38"/>
    </row>
    <row r="812" ht="24" customHeight="1" spans="1:23" x14ac:dyDescent="0.25">
      <c r="A812" s="31">
        <v>912</v>
      </c>
      <c r="B812" s="32" t="s">
        <v>889</v>
      </c>
      <c r="C812" s="33" t="s">
        <v>24</v>
      </c>
      <c r="D812" s="34">
        <v>2017</v>
      </c>
      <c r="E812" s="34" t="s">
        <v>52</v>
      </c>
      <c r="F812" s="6"/>
      <c r="G812" s="6"/>
      <c r="H812" s="6"/>
      <c r="I812" s="6"/>
      <c r="J812" s="6"/>
      <c r="K812" s="6">
        <v>8</v>
      </c>
      <c r="L812" s="6"/>
      <c r="M812" s="6"/>
      <c r="N812" s="6"/>
      <c r="O812" s="6"/>
      <c r="P812" s="6"/>
      <c r="Q812" s="6">
        <v>8</v>
      </c>
      <c r="R812" s="6"/>
      <c r="S812" s="35">
        <f>SUM(F812:R812)</f>
        <v>16</v>
      </c>
      <c r="T812" s="35">
        <f>COUNT(F812:R812)</f>
        <v>2</v>
      </c>
      <c r="U812" s="36">
        <f>IF(T812&gt;=2,ROUND((IF(T812=2,0.55,IF(T812&lt;=4,0.7,IF(T812&lt;=6,0.8,IF(T812&lt;=9,0.9,1))))*(S812/T812)+(1-(IF(T812=2,0.55,IF(T812&lt;=4,0.7,IF(T812&lt;=6,0.8,IF(T812&lt;=9,0.9,1))))))*$Y$1),1),"")</f>
        <v>8</v>
      </c>
      <c r="V812" s="37">
        <v>6.1</v>
      </c>
      <c r="W812" s="38"/>
    </row>
    <row r="813" ht="24" customHeight="1" spans="1:23" x14ac:dyDescent="0.25">
      <c r="A813" s="31">
        <v>2031</v>
      </c>
      <c r="B813" s="32" t="s">
        <v>890</v>
      </c>
      <c r="C813" s="33" t="s">
        <v>29</v>
      </c>
      <c r="D813" s="34">
        <v>2025</v>
      </c>
      <c r="E813" s="41"/>
      <c r="F813" s="6">
        <v>7</v>
      </c>
      <c r="G813" s="6"/>
      <c r="H813" s="6"/>
      <c r="I813" s="6"/>
      <c r="J813" s="6"/>
      <c r="K813" s="6"/>
      <c r="L813" s="6"/>
      <c r="M813" s="6">
        <v>7</v>
      </c>
      <c r="N813" s="6"/>
      <c r="O813" s="6">
        <v>8</v>
      </c>
      <c r="P813" s="6"/>
      <c r="Q813" s="6"/>
      <c r="R813" s="6"/>
      <c r="S813" s="35">
        <f>SUM(F813:R813)</f>
        <v>22</v>
      </c>
      <c r="T813" s="35">
        <f>COUNT(F813:R813)</f>
        <v>3</v>
      </c>
      <c r="U813" s="36">
        <f>IF(T813&gt;=2,ROUND((IF(T813=2,0.55,IF(T813&lt;=4,0.7,IF(T813&lt;=6,0.8,IF(T813&lt;=9,0.9,1))))*(S813/T813)+(1-(IF(T813=2,0.55,IF(T813&lt;=4,0.7,IF(T813&lt;=6,0.8,IF(T813&lt;=9,0.9,1))))))*$Y$1),1),"")</f>
        <v>7.6</v>
      </c>
      <c r="V813" s="37">
        <v>6.7</v>
      </c>
      <c r="W813" s="38"/>
    </row>
    <row r="814" ht="24" customHeight="1" spans="1:23" x14ac:dyDescent="0.25">
      <c r="A814" s="31">
        <v>1861</v>
      </c>
      <c r="B814" s="32" t="s">
        <v>891</v>
      </c>
      <c r="C814" s="33" t="s">
        <v>24</v>
      </c>
      <c r="D814" s="34">
        <v>2020</v>
      </c>
      <c r="E814" s="34" t="s">
        <v>25</v>
      </c>
      <c r="F814" s="6"/>
      <c r="G814" s="6">
        <v>8</v>
      </c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35">
        <f>SUM(F814:R814)</f>
        <v>8</v>
      </c>
      <c r="T814" s="35">
        <f>COUNT(F814:R814)</f>
        <v>1</v>
      </c>
      <c r="U814" s="36">
        <f>IF(T814&gt;=2,ROUND((IF(T814=2,0.55,IF(T814&lt;=4,0.7,IF(T814&lt;=6,0.8,IF(T814&lt;=9,0.9,1))))*(S814/T814)+(1-(IF(T814=2,0.55,IF(T814&lt;=4,0.7,IF(T814&lt;=6,0.8,IF(T814&lt;=9,0.9,1))))))*$Y$1),1),"")</f>
      </c>
      <c r="V814" s="37">
        <v>7.8</v>
      </c>
      <c r="W814" s="38"/>
    </row>
    <row r="815" ht="24" customHeight="1" spans="1:23" x14ac:dyDescent="0.25">
      <c r="A815" s="42">
        <v>180</v>
      </c>
      <c r="B815" s="32" t="s">
        <v>892</v>
      </c>
      <c r="C815" s="43" t="s">
        <v>24</v>
      </c>
      <c r="D815" s="44">
        <v>2010</v>
      </c>
      <c r="E815" s="44" t="s">
        <v>27</v>
      </c>
      <c r="F815" s="6">
        <v>8</v>
      </c>
      <c r="G815" s="6">
        <v>8</v>
      </c>
      <c r="H815" s="6">
        <v>10</v>
      </c>
      <c r="I815" s="6">
        <v>10</v>
      </c>
      <c r="J815" s="6">
        <v>8</v>
      </c>
      <c r="K815" s="6">
        <v>10</v>
      </c>
      <c r="L815" s="6">
        <v>10</v>
      </c>
      <c r="M815" s="6">
        <v>8</v>
      </c>
      <c r="N815" s="6">
        <v>8</v>
      </c>
      <c r="O815" s="6">
        <v>8</v>
      </c>
      <c r="P815" s="6">
        <v>8</v>
      </c>
      <c r="Q815" s="6">
        <v>10</v>
      </c>
      <c r="R815" s="6">
        <v>8</v>
      </c>
      <c r="S815" s="45">
        <f>SUM(F815:R815)</f>
        <v>114</v>
      </c>
      <c r="T815" s="45">
        <f>COUNT(F815:R815)</f>
        <v>13</v>
      </c>
      <c r="U815" s="36">
        <f>IF(T815&gt;=2,ROUND((IF(T815=2,0.55,IF(T815&lt;=4,0.7,IF(T815&lt;=6,0.8,IF(T815&lt;=9,0.9,1))))*(S815/T815)+(1-(IF(T815=2,0.55,IF(T815&lt;=4,0.7,IF(T815&lt;=6,0.8,IF(T815&lt;=9,0.9,1))))))*$Y$1),1),"")</f>
        <v>8.8</v>
      </c>
      <c r="V815" s="37">
        <v>8</v>
      </c>
      <c r="W815" s="38" t="s">
        <v>44</v>
      </c>
    </row>
    <row r="816" ht="24" customHeight="1" spans="1:23" x14ac:dyDescent="0.25">
      <c r="A816" s="42">
        <v>720</v>
      </c>
      <c r="B816" s="32" t="s">
        <v>893</v>
      </c>
      <c r="C816" s="43" t="s">
        <v>24</v>
      </c>
      <c r="D816" s="44">
        <v>2020</v>
      </c>
      <c r="E816" s="44" t="s">
        <v>30</v>
      </c>
      <c r="F816" s="6">
        <v>10</v>
      </c>
      <c r="G816" s="6">
        <v>10</v>
      </c>
      <c r="H816" s="6">
        <v>10</v>
      </c>
      <c r="I816" s="6">
        <v>10</v>
      </c>
      <c r="J816" s="6">
        <v>8</v>
      </c>
      <c r="K816" s="6">
        <v>10</v>
      </c>
      <c r="L816" s="6">
        <v>8</v>
      </c>
      <c r="M816" s="6">
        <v>8</v>
      </c>
      <c r="N816" s="6">
        <v>10</v>
      </c>
      <c r="O816" s="6"/>
      <c r="P816" s="6">
        <v>8</v>
      </c>
      <c r="Q816" s="6">
        <v>10</v>
      </c>
      <c r="R816" s="6">
        <v>10</v>
      </c>
      <c r="S816" s="45">
        <f>SUM(F816:R816)</f>
        <v>112</v>
      </c>
      <c r="T816" s="45">
        <f>COUNT(F816:R816)</f>
        <v>12</v>
      </c>
      <c r="U816" s="36">
        <f>IF(T816&gt;=2,ROUND((IF(T816=2,0.55,IF(T816&lt;=4,0.7,IF(T816&lt;=6,0.8,IF(T816&lt;=9,0.9,1))))*(S816/T816)+(1-(IF(T816=2,0.55,IF(T816&lt;=4,0.7,IF(T816&lt;=6,0.8,IF(T816&lt;=9,0.9,1))))))*$Y$1),1),"")</f>
        <v>9.3</v>
      </c>
      <c r="V816" s="37">
        <v>7.6</v>
      </c>
      <c r="W816" s="38" t="s">
        <v>44</v>
      </c>
    </row>
    <row r="817" ht="24" customHeight="1" spans="1:23" x14ac:dyDescent="0.25">
      <c r="A817" s="40">
        <v>2119</v>
      </c>
      <c r="B817" s="32" t="s">
        <v>894</v>
      </c>
      <c r="C817" s="33" t="s">
        <v>24</v>
      </c>
      <c r="D817" s="34">
        <v>2001</v>
      </c>
      <c r="E817" s="41"/>
      <c r="F817" s="6"/>
      <c r="G817" s="6">
        <v>7</v>
      </c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35">
        <f>SUM(F817:R817)</f>
        <v>7</v>
      </c>
      <c r="T817" s="35">
        <f>COUNT(F817:R817)</f>
        <v>1</v>
      </c>
      <c r="U817" s="36">
        <f>IF(T817&gt;=2,ROUND((IF(T817=2,0.55,IF(T817&lt;=4,0.7,IF(T817&lt;=6,0.8,IF(T817&lt;=9,0.9,1))))*(S817/T817)+(1-(IF(T817=2,0.55,IF(T817&lt;=4,0.7,IF(T817&lt;=6,0.8,IF(T817&lt;=9,0.9,1))))))*$Y$1),1),"")</f>
      </c>
      <c r="V817" s="37">
        <v>6.8</v>
      </c>
      <c r="W817" s="38"/>
    </row>
    <row r="818" ht="24" customHeight="1" spans="1:23" x14ac:dyDescent="0.25">
      <c r="A818" s="31">
        <v>440</v>
      </c>
      <c r="B818" s="32" t="s">
        <v>895</v>
      </c>
      <c r="C818" s="33" t="s">
        <v>24</v>
      </c>
      <c r="D818" s="34">
        <v>2016</v>
      </c>
      <c r="E818" s="34" t="s">
        <v>526</v>
      </c>
      <c r="F818" s="6"/>
      <c r="G818" s="6">
        <v>7</v>
      </c>
      <c r="H818" s="6">
        <v>10</v>
      </c>
      <c r="I818" s="6">
        <v>8</v>
      </c>
      <c r="J818" s="6"/>
      <c r="K818" s="6">
        <v>10</v>
      </c>
      <c r="L818" s="6">
        <v>8</v>
      </c>
      <c r="M818" s="6"/>
      <c r="N818" s="6">
        <v>8</v>
      </c>
      <c r="O818" s="6"/>
      <c r="P818" s="6"/>
      <c r="Q818" s="6">
        <v>10</v>
      </c>
      <c r="R818" s="6"/>
      <c r="S818" s="35">
        <f>SUM(F818:R818)</f>
        <v>61</v>
      </c>
      <c r="T818" s="35">
        <f>COUNT(F818:R818)</f>
        <v>7</v>
      </c>
      <c r="U818" s="36">
        <f>IF(T818&gt;=2,ROUND((IF(T818=2,0.55,IF(T818&lt;=4,0.7,IF(T818&lt;=6,0.8,IF(T818&lt;=9,0.9,1))))*(S818/T818)+(1-(IF(T818=2,0.55,IF(T818&lt;=4,0.7,IF(T818&lt;=6,0.8,IF(T818&lt;=9,0.9,1))))))*$Y$1),1),"")</f>
        <v>8.7</v>
      </c>
      <c r="V818" s="37">
        <v>6.8</v>
      </c>
      <c r="W818" s="38"/>
    </row>
    <row r="819" ht="24" customHeight="1" spans="1:23" x14ac:dyDescent="0.25">
      <c r="A819" s="31">
        <v>2474</v>
      </c>
      <c r="B819" s="32" t="s">
        <v>896</v>
      </c>
      <c r="C819" s="33" t="s">
        <v>24</v>
      </c>
      <c r="D819" s="34">
        <v>2026</v>
      </c>
      <c r="E819" s="41"/>
      <c r="F819" s="6">
        <v>7</v>
      </c>
      <c r="G819" s="6"/>
      <c r="H819" s="6"/>
      <c r="I819" s="6"/>
      <c r="J819" s="6"/>
      <c r="K819" s="6"/>
      <c r="L819" s="6"/>
      <c r="M819" s="6">
        <v>6</v>
      </c>
      <c r="N819" s="6"/>
      <c r="O819" s="6"/>
      <c r="P819" s="6"/>
      <c r="Q819" s="6"/>
      <c r="R819" s="6"/>
      <c r="S819" s="35">
        <f>SUM(F819:R819)</f>
        <v>13</v>
      </c>
      <c r="T819" s="35">
        <f>COUNT(F819:R819)</f>
        <v>2</v>
      </c>
      <c r="U819" s="36">
        <f>IF(T819&gt;=2,ROUND((IF(T819=2,0.55,IF(T819&lt;=4,0.7,IF(T819&lt;=6,0.8,IF(T819&lt;=9,0.9,1))))*(S819/T819)+(1-(IF(T819=2,0.55,IF(T819&lt;=4,0.7,IF(T819&lt;=6,0.8,IF(T819&lt;=9,0.9,1))))))*$Y$1),1),"")</f>
        <v>7.2</v>
      </c>
      <c r="V819" s="37">
        <v>6.5</v>
      </c>
      <c r="W819" s="38"/>
    </row>
    <row r="820" ht="24" customHeight="1" spans="1:23" x14ac:dyDescent="0.25">
      <c r="A820" s="31">
        <v>288</v>
      </c>
      <c r="B820" s="32" t="s">
        <v>897</v>
      </c>
      <c r="C820" s="33" t="s">
        <v>24</v>
      </c>
      <c r="D820" s="34">
        <v>2006</v>
      </c>
      <c r="E820" s="34" t="s">
        <v>92</v>
      </c>
      <c r="F820" s="6">
        <v>8</v>
      </c>
      <c r="G820" s="6">
        <v>7</v>
      </c>
      <c r="H820" s="6">
        <v>8</v>
      </c>
      <c r="I820" s="6">
        <v>8</v>
      </c>
      <c r="J820" s="6">
        <v>10</v>
      </c>
      <c r="K820" s="6">
        <v>10</v>
      </c>
      <c r="L820" s="6">
        <v>8</v>
      </c>
      <c r="M820" s="6">
        <v>8</v>
      </c>
      <c r="N820" s="6"/>
      <c r="O820" s="6"/>
      <c r="P820" s="6">
        <v>8</v>
      </c>
      <c r="Q820" s="6">
        <v>10</v>
      </c>
      <c r="R820" s="6">
        <v>8</v>
      </c>
      <c r="S820" s="35">
        <f>SUM(F820:R820)</f>
        <v>93</v>
      </c>
      <c r="T820" s="35">
        <f>COUNT(F820:R820)</f>
        <v>11</v>
      </c>
      <c r="U820" s="36">
        <f>IF(T820&gt;=2,ROUND((IF(T820=2,0.55,IF(T820&lt;=4,0.7,IF(T820&lt;=6,0.8,IF(T820&lt;=9,0.9,1))))*(S820/T820)+(1-(IF(T820=2,0.55,IF(T820&lt;=4,0.7,IF(T820&lt;=6,0.8,IF(T820&lt;=9,0.9,1))))))*$Y$1),1),"")</f>
        <v>8.5</v>
      </c>
      <c r="V820" s="37">
        <v>7</v>
      </c>
      <c r="W820" s="38"/>
    </row>
    <row r="821" ht="24" customHeight="1" spans="1:23" x14ac:dyDescent="0.25">
      <c r="A821" s="31">
        <v>730</v>
      </c>
      <c r="B821" s="32" t="s">
        <v>898</v>
      </c>
      <c r="C821" s="33" t="s">
        <v>24</v>
      </c>
      <c r="D821" s="34">
        <v>2020</v>
      </c>
      <c r="E821" s="34" t="s">
        <v>30</v>
      </c>
      <c r="F821" s="6">
        <v>6</v>
      </c>
      <c r="G821" s="6"/>
      <c r="H821" s="6"/>
      <c r="I821" s="6">
        <v>8</v>
      </c>
      <c r="J821" s="6">
        <v>8</v>
      </c>
      <c r="K821" s="6">
        <v>8</v>
      </c>
      <c r="L821" s="6">
        <v>8</v>
      </c>
      <c r="M821" s="6">
        <v>6</v>
      </c>
      <c r="N821" s="6">
        <v>6</v>
      </c>
      <c r="O821" s="6">
        <v>6</v>
      </c>
      <c r="P821" s="6"/>
      <c r="Q821" s="6">
        <v>8</v>
      </c>
      <c r="R821" s="6"/>
      <c r="S821" s="35">
        <f>SUM(F821:R821)</f>
        <v>64</v>
      </c>
      <c r="T821" s="35">
        <f>COUNT(F821:R821)</f>
        <v>9</v>
      </c>
      <c r="U821" s="36">
        <f>IF(T821&gt;=2,ROUND((IF(T821=2,0.55,IF(T821&lt;=4,0.7,IF(T821&lt;=6,0.8,IF(T821&lt;=9,0.9,1))))*(S821/T821)+(1-(IF(T821=2,0.55,IF(T821&lt;=4,0.7,IF(T821&lt;=6,0.8,IF(T821&lt;=9,0.9,1))))))*$Y$1),1),"")</f>
        <v>7.2</v>
      </c>
      <c r="V821" s="37">
        <v>7.1</v>
      </c>
      <c r="W821" s="38"/>
    </row>
    <row r="822" ht="24" customHeight="1" spans="1:23" x14ac:dyDescent="0.25">
      <c r="A822" s="31">
        <v>1335</v>
      </c>
      <c r="B822" s="32" t="s">
        <v>899</v>
      </c>
      <c r="C822" s="33" t="s">
        <v>24</v>
      </c>
      <c r="D822" s="34">
        <v>2016</v>
      </c>
      <c r="E822" s="34" t="s">
        <v>25</v>
      </c>
      <c r="F822" s="6"/>
      <c r="G822" s="6"/>
      <c r="H822" s="6"/>
      <c r="I822" s="6"/>
      <c r="J822" s="6"/>
      <c r="K822" s="6"/>
      <c r="L822" s="6">
        <v>8</v>
      </c>
      <c r="M822" s="6"/>
      <c r="N822" s="6"/>
      <c r="O822" s="6"/>
      <c r="P822" s="6"/>
      <c r="Q822" s="6"/>
      <c r="R822" s="6"/>
      <c r="S822" s="35">
        <f>SUM(F822:R822)</f>
        <v>8</v>
      </c>
      <c r="T822" s="35">
        <f>COUNT(F822:R822)</f>
        <v>1</v>
      </c>
      <c r="U822" s="36">
        <f>IF(T822&gt;=2,ROUND((IF(T822=2,0.55,IF(T822&lt;=4,0.7,IF(T822&lt;=6,0.8,IF(T822&lt;=9,0.9,1))))*(S822/T822)+(1-(IF(T822=2,0.55,IF(T822&lt;=4,0.7,IF(T822&lt;=6,0.8,IF(T822&lt;=9,0.9,1))))))*$Y$1),1),"")</f>
      </c>
      <c r="V822" s="37">
        <v>7.3</v>
      </c>
      <c r="W822" s="38"/>
    </row>
    <row r="823" ht="24" customHeight="1" spans="1:23" x14ac:dyDescent="0.25">
      <c r="A823" s="31">
        <v>660</v>
      </c>
      <c r="B823" s="32" t="s">
        <v>900</v>
      </c>
      <c r="C823" s="33" t="s">
        <v>24</v>
      </c>
      <c r="D823" s="34">
        <v>2017</v>
      </c>
      <c r="E823" s="34" t="s">
        <v>374</v>
      </c>
      <c r="F823" s="6">
        <v>8</v>
      </c>
      <c r="G823" s="6">
        <v>9</v>
      </c>
      <c r="H823" s="6"/>
      <c r="I823" s="6">
        <v>8</v>
      </c>
      <c r="J823" s="6">
        <v>9</v>
      </c>
      <c r="K823" s="6">
        <v>8</v>
      </c>
      <c r="L823" s="6"/>
      <c r="M823" s="6"/>
      <c r="N823" s="6"/>
      <c r="O823" s="6"/>
      <c r="P823" s="6">
        <v>10</v>
      </c>
      <c r="Q823" s="6">
        <v>8</v>
      </c>
      <c r="R823" s="6"/>
      <c r="S823" s="35">
        <f>SUM(F823:R823)</f>
        <v>60</v>
      </c>
      <c r="T823" s="35">
        <f>COUNT(F823:R823)</f>
        <v>7</v>
      </c>
      <c r="U823" s="36">
        <f>IF(T823&gt;=2,ROUND((IF(T823=2,0.55,IF(T823&lt;=4,0.7,IF(T823&lt;=6,0.8,IF(T823&lt;=9,0.9,1))))*(S823/T823)+(1-(IF(T823=2,0.55,IF(T823&lt;=4,0.7,IF(T823&lt;=6,0.8,IF(T823&lt;=9,0.9,1))))))*$Y$1),1),"")</f>
        <v>8.5</v>
      </c>
      <c r="V823" s="37">
        <v>7.4</v>
      </c>
      <c r="W823" s="38"/>
    </row>
    <row r="824" ht="24" customHeight="1" spans="1:23" x14ac:dyDescent="0.25">
      <c r="A824" s="31">
        <v>1484</v>
      </c>
      <c r="B824" s="32" t="s">
        <v>901</v>
      </c>
      <c r="C824" s="33" t="s">
        <v>24</v>
      </c>
      <c r="D824" s="34">
        <v>2021</v>
      </c>
      <c r="E824" s="34" t="s">
        <v>30</v>
      </c>
      <c r="F824" s="6">
        <v>7</v>
      </c>
      <c r="G824" s="6"/>
      <c r="H824" s="6">
        <v>8</v>
      </c>
      <c r="I824" s="6">
        <v>7</v>
      </c>
      <c r="J824" s="6">
        <v>8</v>
      </c>
      <c r="K824" s="6">
        <v>7</v>
      </c>
      <c r="L824" s="6">
        <v>6</v>
      </c>
      <c r="M824" s="6"/>
      <c r="N824" s="6">
        <v>8</v>
      </c>
      <c r="O824" s="6">
        <v>8</v>
      </c>
      <c r="P824" s="6"/>
      <c r="Q824" s="6">
        <v>7</v>
      </c>
      <c r="R824" s="6"/>
      <c r="S824" s="35">
        <f>SUM(F824:R824)</f>
        <v>66</v>
      </c>
      <c r="T824" s="35">
        <f>COUNT(F824:R824)</f>
        <v>9</v>
      </c>
      <c r="U824" s="36">
        <f>IF(T824&gt;=2,ROUND((IF(T824=2,0.55,IF(T824&lt;=4,0.7,IF(T824&lt;=6,0.8,IF(T824&lt;=9,0.9,1))))*(S824/T824)+(1-(IF(T824=2,0.55,IF(T824&lt;=4,0.7,IF(T824&lt;=6,0.8,IF(T824&lt;=9,0.9,1))))))*$Y$1),1),"")</f>
        <v>7.4</v>
      </c>
      <c r="V824" s="37">
        <v>7.1</v>
      </c>
      <c r="W824" s="38"/>
    </row>
    <row r="825" ht="24" customHeight="1" spans="1:23" x14ac:dyDescent="0.25">
      <c r="A825" s="42">
        <v>520</v>
      </c>
      <c r="B825" s="32" t="s">
        <v>902</v>
      </c>
      <c r="C825" s="43" t="s">
        <v>24</v>
      </c>
      <c r="D825" s="44">
        <v>2006</v>
      </c>
      <c r="E825" s="44" t="s">
        <v>30</v>
      </c>
      <c r="F825" s="6">
        <v>8</v>
      </c>
      <c r="G825" s="6">
        <v>8</v>
      </c>
      <c r="H825" s="6">
        <v>8</v>
      </c>
      <c r="I825" s="6">
        <v>8</v>
      </c>
      <c r="J825" s="6">
        <v>8</v>
      </c>
      <c r="K825" s="6">
        <v>10</v>
      </c>
      <c r="L825" s="6">
        <v>8</v>
      </c>
      <c r="M825" s="6">
        <v>8</v>
      </c>
      <c r="N825" s="6">
        <v>8</v>
      </c>
      <c r="O825" s="6">
        <v>8</v>
      </c>
      <c r="P825" s="6">
        <v>8</v>
      </c>
      <c r="Q825" s="6">
        <v>10</v>
      </c>
      <c r="R825" s="6"/>
      <c r="S825" s="45">
        <f>SUM(F825:R825)</f>
        <v>100</v>
      </c>
      <c r="T825" s="45">
        <f>COUNT(F825:R825)</f>
        <v>12</v>
      </c>
      <c r="U825" s="36">
        <f>IF(T825&gt;=2,ROUND((IF(T825=2,0.55,IF(T825&lt;=4,0.7,IF(T825&lt;=6,0.8,IF(T825&lt;=9,0.9,1))))*(S825/T825)+(1-(IF(T825=2,0.55,IF(T825&lt;=4,0.7,IF(T825&lt;=6,0.8,IF(T825&lt;=9,0.9,1))))))*$Y$1),1),"")</f>
        <v>8.3</v>
      </c>
      <c r="V825" s="37">
        <v>7.4</v>
      </c>
      <c r="W825" s="38" t="s">
        <v>44</v>
      </c>
    </row>
    <row r="826" ht="24" customHeight="1" spans="1:23" x14ac:dyDescent="0.25">
      <c r="A826" s="31">
        <v>230</v>
      </c>
      <c r="B826" s="32" t="s">
        <v>903</v>
      </c>
      <c r="C826" s="33" t="s">
        <v>24</v>
      </c>
      <c r="D826" s="34">
        <v>1993</v>
      </c>
      <c r="E826" s="34" t="s">
        <v>27</v>
      </c>
      <c r="F826" s="6"/>
      <c r="G826" s="6">
        <v>7</v>
      </c>
      <c r="H826" s="6"/>
      <c r="I826" s="6"/>
      <c r="J826" s="6">
        <v>10</v>
      </c>
      <c r="K826" s="6">
        <v>8</v>
      </c>
      <c r="L826" s="6"/>
      <c r="M826" s="6"/>
      <c r="N826" s="6"/>
      <c r="O826" s="6"/>
      <c r="P826" s="6">
        <v>6</v>
      </c>
      <c r="Q826" s="6">
        <v>8</v>
      </c>
      <c r="R826" s="6"/>
      <c r="S826" s="35">
        <f>SUM(F826:R826)</f>
        <v>39</v>
      </c>
      <c r="T826" s="35">
        <f>COUNT(F826:R826)</f>
        <v>5</v>
      </c>
      <c r="U826" s="36">
        <f>IF(T826&gt;=2,ROUND((IF(T826=2,0.55,IF(T826&lt;=4,0.7,IF(T826&lt;=6,0.8,IF(T826&lt;=9,0.9,1))))*(S826/T826)+(1-(IF(T826=2,0.55,IF(T826&lt;=4,0.7,IF(T826&lt;=6,0.8,IF(T826&lt;=9,0.9,1))))))*$Y$1),1),"")</f>
        <v>7.9</v>
      </c>
      <c r="V826" s="37">
        <v>7.2</v>
      </c>
      <c r="W826" s="38"/>
    </row>
    <row r="827" ht="24" customHeight="1" spans="1:23" x14ac:dyDescent="0.25">
      <c r="A827" s="31">
        <v>843</v>
      </c>
      <c r="B827" s="32" t="s">
        <v>904</v>
      </c>
      <c r="C827" s="33" t="s">
        <v>24</v>
      </c>
      <c r="D827" s="34">
        <v>2018</v>
      </c>
      <c r="E827" s="34" t="s">
        <v>30</v>
      </c>
      <c r="F827" s="6"/>
      <c r="G827" s="6"/>
      <c r="H827" s="6"/>
      <c r="I827" s="6"/>
      <c r="J827" s="6"/>
      <c r="K827" s="6">
        <v>8</v>
      </c>
      <c r="L827" s="6"/>
      <c r="M827" s="6"/>
      <c r="N827" s="6"/>
      <c r="O827" s="6"/>
      <c r="P827" s="6"/>
      <c r="Q827" s="6">
        <v>8</v>
      </c>
      <c r="R827" s="6"/>
      <c r="S827" s="35">
        <f>SUM(F827:R827)</f>
        <v>16</v>
      </c>
      <c r="T827" s="35">
        <f>COUNT(F827:R827)</f>
        <v>2</v>
      </c>
      <c r="U827" s="36">
        <f>IF(T827&gt;=2,ROUND((IF(T827=2,0.55,IF(T827&lt;=4,0.7,IF(T827&lt;=6,0.8,IF(T827&lt;=9,0.9,1))))*(S827/T827)+(1-(IF(T827=2,0.55,IF(T827&lt;=4,0.7,IF(T827&lt;=6,0.8,IF(T827&lt;=9,0.9,1))))))*$Y$1),1),"")</f>
        <v>8</v>
      </c>
      <c r="V827" s="37">
        <v>6.6</v>
      </c>
      <c r="W827" s="38"/>
    </row>
    <row r="828" ht="24" customHeight="1" spans="1:23" x14ac:dyDescent="0.25">
      <c r="A828" s="31">
        <v>1806</v>
      </c>
      <c r="B828" s="32" t="s">
        <v>905</v>
      </c>
      <c r="C828" s="33" t="s">
        <v>24</v>
      </c>
      <c r="D828" s="34">
        <v>1986</v>
      </c>
      <c r="E828" s="34" t="s">
        <v>48</v>
      </c>
      <c r="F828" s="6">
        <v>8</v>
      </c>
      <c r="G828" s="6"/>
      <c r="H828" s="6"/>
      <c r="I828" s="6">
        <v>6</v>
      </c>
      <c r="J828" s="6">
        <v>8</v>
      </c>
      <c r="K828" s="6">
        <v>7</v>
      </c>
      <c r="L828" s="6"/>
      <c r="M828" s="6">
        <v>8</v>
      </c>
      <c r="N828" s="6">
        <v>8</v>
      </c>
      <c r="O828" s="6">
        <v>8</v>
      </c>
      <c r="P828" s="6">
        <v>8</v>
      </c>
      <c r="Q828" s="6">
        <v>7</v>
      </c>
      <c r="R828" s="6"/>
      <c r="S828" s="35">
        <f>SUM(F828:R828)</f>
        <v>68</v>
      </c>
      <c r="T828" s="35">
        <f>COUNT(F828:R828)</f>
        <v>9</v>
      </c>
      <c r="U828" s="36">
        <f>IF(T828&gt;=2,ROUND((IF(T828=2,0.55,IF(T828&lt;=4,0.7,IF(T828&lt;=6,0.8,IF(T828&lt;=9,0.9,1))))*(S828/T828)+(1-(IF(T828=2,0.55,IF(T828&lt;=4,0.7,IF(T828&lt;=6,0.8,IF(T828&lt;=9,0.9,1))))))*$Y$1),1),"")</f>
        <v>7.6</v>
      </c>
      <c r="V828" s="37">
        <v>7.1</v>
      </c>
      <c r="W828" s="38"/>
    </row>
    <row r="829" ht="24" customHeight="1" spans="1:23" x14ac:dyDescent="0.25">
      <c r="A829" s="31">
        <v>519</v>
      </c>
      <c r="B829" s="32" t="s">
        <v>906</v>
      </c>
      <c r="C829" s="33" t="s">
        <v>24</v>
      </c>
      <c r="D829" s="34">
        <v>2008</v>
      </c>
      <c r="E829" s="34" t="s">
        <v>52</v>
      </c>
      <c r="F829" s="6">
        <v>8</v>
      </c>
      <c r="G829" s="6">
        <v>8</v>
      </c>
      <c r="H829" s="6">
        <v>8</v>
      </c>
      <c r="I829" s="6"/>
      <c r="J829" s="6"/>
      <c r="K829" s="6">
        <v>10</v>
      </c>
      <c r="L829" s="6">
        <v>10</v>
      </c>
      <c r="M829" s="6">
        <v>8</v>
      </c>
      <c r="N829" s="6">
        <v>8</v>
      </c>
      <c r="O829" s="6">
        <v>8</v>
      </c>
      <c r="P829" s="6">
        <v>8</v>
      </c>
      <c r="Q829" s="6">
        <v>10</v>
      </c>
      <c r="R829" s="6"/>
      <c r="S829" s="35">
        <f>SUM(F829:R829)</f>
        <v>86</v>
      </c>
      <c r="T829" s="35">
        <f>COUNT(F829:R829)</f>
        <v>10</v>
      </c>
      <c r="U829" s="36">
        <f>IF(T829&gt;=2,ROUND((IF(T829=2,0.55,IF(T829&lt;=4,0.7,IF(T829&lt;=6,0.8,IF(T829&lt;=9,0.9,1))))*(S829/T829)+(1-(IF(T829=2,0.55,IF(T829&lt;=4,0.7,IF(T829&lt;=6,0.8,IF(T829&lt;=9,0.9,1))))))*$Y$1),1),"")</f>
        <v>8.6</v>
      </c>
      <c r="V829" s="37">
        <v>7.8</v>
      </c>
      <c r="W829" s="38"/>
    </row>
    <row r="830" ht="24" customHeight="1" spans="1:23" x14ac:dyDescent="0.25">
      <c r="A830" s="40">
        <v>2383</v>
      </c>
      <c r="B830" s="32" t="s">
        <v>907</v>
      </c>
      <c r="C830" s="33" t="s">
        <v>29</v>
      </c>
      <c r="D830" s="34">
        <v>2025</v>
      </c>
      <c r="E830" s="41"/>
      <c r="F830" s="6">
        <v>8</v>
      </c>
      <c r="G830" s="6"/>
      <c r="H830" s="6"/>
      <c r="I830" s="6"/>
      <c r="J830" s="6"/>
      <c r="K830" s="6"/>
      <c r="L830" s="6"/>
      <c r="M830" s="6">
        <v>8</v>
      </c>
      <c r="N830" s="6"/>
      <c r="O830" s="6">
        <v>8</v>
      </c>
      <c r="P830" s="6"/>
      <c r="Q830" s="6"/>
      <c r="R830" s="6"/>
      <c r="S830" s="35">
        <f>SUM(F830:R830)</f>
        <v>24</v>
      </c>
      <c r="T830" s="35">
        <f>COUNT(F830:R830)</f>
        <v>3</v>
      </c>
      <c r="U830" s="36">
        <f>IF(T830&gt;=2,ROUND((IF(T830=2,0.55,IF(T830&lt;=4,0.7,IF(T830&lt;=6,0.8,IF(T830&lt;=9,0.9,1))))*(S830/T830)+(1-(IF(T830=2,0.55,IF(T830&lt;=4,0.7,IF(T830&lt;=6,0.8,IF(T830&lt;=9,0.9,1))))))*$Y$1),1),"")</f>
        <v>8</v>
      </c>
      <c r="V830" s="37">
        <v>6.6</v>
      </c>
      <c r="W830" s="38"/>
    </row>
    <row r="831" ht="24" customHeight="1" spans="1:23" x14ac:dyDescent="0.25">
      <c r="A831" s="31">
        <v>1627</v>
      </c>
      <c r="B831" s="32" t="s">
        <v>908</v>
      </c>
      <c r="C831" s="33" t="s">
        <v>24</v>
      </c>
      <c r="D831" s="34">
        <v>2023</v>
      </c>
      <c r="E831" s="34" t="s">
        <v>141</v>
      </c>
      <c r="F831" s="6"/>
      <c r="G831" s="6"/>
      <c r="H831" s="6"/>
      <c r="I831" s="6"/>
      <c r="J831" s="6"/>
      <c r="K831" s="6"/>
      <c r="L831" s="6"/>
      <c r="M831" s="6"/>
      <c r="N831" s="6"/>
      <c r="O831" s="6">
        <v>7</v>
      </c>
      <c r="P831" s="6"/>
      <c r="Q831" s="6"/>
      <c r="R831" s="6"/>
      <c r="S831" s="35">
        <f>SUM(F831:R831)</f>
        <v>7</v>
      </c>
      <c r="T831" s="35">
        <f>COUNT(F831:R831)</f>
        <v>1</v>
      </c>
      <c r="U831" s="36">
        <f>IF(T831&gt;=2,ROUND((IF(T831=2,0.55,IF(T831&lt;=4,0.7,IF(T831&lt;=6,0.8,IF(T831&lt;=9,0.9,1))))*(S831/T831)+(1-(IF(T831=2,0.55,IF(T831&lt;=4,0.7,IF(T831&lt;=6,0.8,IF(T831&lt;=9,0.9,1))))))*$Y$1),1),"")</f>
      </c>
      <c r="V831" s="37">
        <v>6.5</v>
      </c>
      <c r="W831" s="38"/>
    </row>
    <row r="832" ht="24" customHeight="1" spans="1:23" x14ac:dyDescent="0.25">
      <c r="A832" s="40">
        <v>2168</v>
      </c>
      <c r="B832" s="32" t="s">
        <v>909</v>
      </c>
      <c r="C832" s="33" t="s">
        <v>24</v>
      </c>
      <c r="D832" s="34">
        <v>2005</v>
      </c>
      <c r="E832" s="41"/>
      <c r="F832" s="6"/>
      <c r="G832" s="6">
        <v>7</v>
      </c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35">
        <f>SUM(F832:R832)</f>
        <v>7</v>
      </c>
      <c r="T832" s="35">
        <f>COUNT(F832:R832)</f>
        <v>1</v>
      </c>
      <c r="U832" s="36">
        <f>IF(T832&gt;=2,ROUND((IF(T832=2,0.55,IF(T832&lt;=4,0.7,IF(T832&lt;=6,0.8,IF(T832&lt;=9,0.9,1))))*(S832/T832)+(1-(IF(T832=2,0.55,IF(T832&lt;=4,0.7,IF(T832&lt;=6,0.8,IF(T832&lt;=9,0.9,1))))))*$Y$1),1),"")</f>
      </c>
      <c r="V832" s="37">
        <v>7.3</v>
      </c>
      <c r="W832" s="38"/>
    </row>
    <row r="833" ht="24" customHeight="1" spans="1:23" x14ac:dyDescent="0.25">
      <c r="A833" s="31">
        <v>300</v>
      </c>
      <c r="B833" s="32" t="s">
        <v>910</v>
      </c>
      <c r="C833" s="33" t="s">
        <v>24</v>
      </c>
      <c r="D833" s="34">
        <v>2001</v>
      </c>
      <c r="E833" s="34" t="s">
        <v>137</v>
      </c>
      <c r="F833" s="6"/>
      <c r="G833" s="6"/>
      <c r="H833" s="6"/>
      <c r="I833" s="6"/>
      <c r="J833" s="6"/>
      <c r="K833" s="6">
        <v>8</v>
      </c>
      <c r="L833" s="6"/>
      <c r="M833" s="6"/>
      <c r="N833" s="6"/>
      <c r="O833" s="6"/>
      <c r="P833" s="6"/>
      <c r="Q833" s="6">
        <v>8</v>
      </c>
      <c r="R833" s="6"/>
      <c r="S833" s="35">
        <f>SUM(F833:R833)</f>
        <v>16</v>
      </c>
      <c r="T833" s="35">
        <f>COUNT(F833:R833)</f>
        <v>2</v>
      </c>
      <c r="U833" s="36">
        <f>IF(T833&gt;=2,ROUND((IF(T833=2,0.55,IF(T833&lt;=4,0.7,IF(T833&lt;=6,0.8,IF(T833&lt;=9,0.9,1))))*(S833/T833)+(1-(IF(T833=2,0.55,IF(T833&lt;=4,0.7,IF(T833&lt;=6,0.8,IF(T833&lt;=9,0.9,1))))))*$Y$1),1),"")</f>
        <v>8</v>
      </c>
      <c r="V833" s="37">
        <v>5.4</v>
      </c>
      <c r="W833" s="38"/>
    </row>
    <row r="834" ht="24" customHeight="1" spans="1:23" x14ac:dyDescent="0.25">
      <c r="A834" s="40">
        <v>2104</v>
      </c>
      <c r="B834" s="32" t="s">
        <v>911</v>
      </c>
      <c r="C834" s="33" t="s">
        <v>24</v>
      </c>
      <c r="D834" s="34">
        <v>1998</v>
      </c>
      <c r="E834" s="41"/>
      <c r="F834" s="6"/>
      <c r="G834" s="6">
        <v>7</v>
      </c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35">
        <f>SUM(F834:R834)</f>
        <v>7</v>
      </c>
      <c r="T834" s="35">
        <f>COUNT(F834:R834)</f>
        <v>1</v>
      </c>
      <c r="U834" s="36">
        <f>IF(T834&gt;=2,ROUND((IF(T834=2,0.55,IF(T834&lt;=4,0.7,IF(T834&lt;=6,0.8,IF(T834&lt;=9,0.9,1))))*(S834/T834)+(1-(IF(T834=2,0.55,IF(T834&lt;=4,0.7,IF(T834&lt;=6,0.8,IF(T834&lt;=9,0.9,1))))))*$Y$1),1),"")</f>
      </c>
      <c r="V834" s="37">
        <v>8.8</v>
      </c>
      <c r="W834" s="38"/>
    </row>
    <row r="835" ht="24" customHeight="1" spans="1:23" x14ac:dyDescent="0.25">
      <c r="A835" s="31">
        <v>2498</v>
      </c>
      <c r="B835" s="32" t="s">
        <v>912</v>
      </c>
      <c r="C835" s="33" t="s">
        <v>24</v>
      </c>
      <c r="D835" s="34">
        <v>2026</v>
      </c>
      <c r="E835" s="34"/>
      <c r="F835" s="6"/>
      <c r="G835" s="6"/>
      <c r="H835" s="6"/>
      <c r="I835" s="6"/>
      <c r="J835" s="6"/>
      <c r="K835" s="6"/>
      <c r="L835" s="6">
        <v>9</v>
      </c>
      <c r="M835" s="6"/>
      <c r="N835" s="6"/>
      <c r="O835" s="6"/>
      <c r="P835" s="6"/>
      <c r="Q835" s="6"/>
      <c r="R835" s="6"/>
      <c r="S835" s="35">
        <f>SUM(F835:R835)</f>
        <v>9</v>
      </c>
      <c r="T835" s="35">
        <f>COUNT(F835:R835)</f>
        <v>1</v>
      </c>
      <c r="U835" s="36">
        <f>IF(T835&gt;=2,ROUND((IF(T835=2,0.55,IF(T835&lt;=4,0.7,IF(T835&lt;=6,0.8,IF(T835&lt;=9,0.9,1))))*(S835/T835)+(1-(IF(T835=2,0.55,IF(T835&lt;=4,0.7,IF(T835&lt;=6,0.8,IF(T835&lt;=9,0.9,1))))))*$Y$1),1),"")</f>
      </c>
      <c r="V835" s="37">
        <v>7.9</v>
      </c>
      <c r="W835" s="38"/>
    </row>
    <row r="836" ht="24" customHeight="1" spans="1:23" s="39" customFormat="1" x14ac:dyDescent="0.25">
      <c r="A836" s="31">
        <v>1043</v>
      </c>
      <c r="B836" s="32" t="s">
        <v>913</v>
      </c>
      <c r="C836" s="33" t="s">
        <v>24</v>
      </c>
      <c r="D836" s="34">
        <v>2019</v>
      </c>
      <c r="E836" s="34" t="s">
        <v>27</v>
      </c>
      <c r="F836" s="6"/>
      <c r="G836" s="6"/>
      <c r="H836" s="6"/>
      <c r="I836" s="6"/>
      <c r="J836" s="6">
        <v>6</v>
      </c>
      <c r="K836" s="6">
        <v>6</v>
      </c>
      <c r="L836" s="6"/>
      <c r="M836" s="6"/>
      <c r="N836" s="6"/>
      <c r="O836" s="6"/>
      <c r="P836" s="6"/>
      <c r="Q836" s="6">
        <v>6</v>
      </c>
      <c r="R836" s="6"/>
      <c r="S836" s="35">
        <f>SUM(F836:R836)</f>
        <v>18</v>
      </c>
      <c r="T836" s="35">
        <f>COUNT(F836:R836)</f>
        <v>3</v>
      </c>
      <c r="U836" s="36">
        <f>IF(T836&gt;=2,ROUND((IF(T836=2,0.55,IF(T836&lt;=4,0.7,IF(T836&lt;=6,0.8,IF(T836&lt;=9,0.9,1))))*(S836/T836)+(1-(IF(T836=2,0.55,IF(T836&lt;=4,0.7,IF(T836&lt;=6,0.8,IF(T836&lt;=9,0.9,1))))))*$Y$1),1),"")</f>
        <v>6.6</v>
      </c>
      <c r="V836" s="37"/>
      <c r="W836" s="38"/>
    </row>
    <row r="837" ht="24" customHeight="1" spans="1:23" x14ac:dyDescent="0.25">
      <c r="A837" s="31">
        <v>276</v>
      </c>
      <c r="B837" s="32" t="s">
        <v>914</v>
      </c>
      <c r="C837" s="33" t="s">
        <v>29</v>
      </c>
      <c r="D837" s="34">
        <v>2017</v>
      </c>
      <c r="E837" s="34" t="s">
        <v>211</v>
      </c>
      <c r="F837" s="6">
        <v>10</v>
      </c>
      <c r="G837" s="6"/>
      <c r="H837" s="6">
        <v>10</v>
      </c>
      <c r="I837" s="6"/>
      <c r="J837" s="6"/>
      <c r="K837" s="6"/>
      <c r="L837" s="6">
        <v>10</v>
      </c>
      <c r="M837" s="6"/>
      <c r="N837" s="6"/>
      <c r="O837" s="6"/>
      <c r="P837" s="6"/>
      <c r="Q837" s="6"/>
      <c r="R837" s="6">
        <v>8</v>
      </c>
      <c r="S837" s="35">
        <f>SUM(F837:R837)</f>
        <v>38</v>
      </c>
      <c r="T837" s="35">
        <f>COUNT(F837:R837)</f>
        <v>4</v>
      </c>
      <c r="U837" s="36">
        <f>IF(T837&gt;=2,ROUND((IF(T837=2,0.55,IF(T837&lt;=4,0.7,IF(T837&lt;=6,0.8,IF(T837&lt;=9,0.9,1))))*(S837/T837)+(1-(IF(T837=2,0.55,IF(T837&lt;=4,0.7,IF(T837&lt;=6,0.8,IF(T837&lt;=9,0.9,1))))))*$Y$1),1),"")</f>
        <v>9.1</v>
      </c>
      <c r="V837" s="37">
        <v>8.3</v>
      </c>
      <c r="W837" s="38"/>
    </row>
    <row r="838" ht="24" customHeight="1" spans="1:23" x14ac:dyDescent="0.25">
      <c r="A838" s="31">
        <v>237</v>
      </c>
      <c r="B838" s="32" t="s">
        <v>915</v>
      </c>
      <c r="C838" s="33" t="s">
        <v>24</v>
      </c>
      <c r="D838" s="34">
        <v>2018</v>
      </c>
      <c r="E838" s="34" t="s">
        <v>106</v>
      </c>
      <c r="F838" s="6"/>
      <c r="G838" s="6"/>
      <c r="H838" s="6"/>
      <c r="I838" s="6"/>
      <c r="J838" s="6"/>
      <c r="K838" s="6">
        <v>8</v>
      </c>
      <c r="L838" s="6"/>
      <c r="M838" s="6"/>
      <c r="N838" s="6"/>
      <c r="O838" s="6"/>
      <c r="P838" s="6"/>
      <c r="Q838" s="6">
        <v>8</v>
      </c>
      <c r="R838" s="6"/>
      <c r="S838" s="35">
        <f>SUM(F838:R838)</f>
        <v>16</v>
      </c>
      <c r="T838" s="35">
        <f>COUNT(F838:R838)</f>
        <v>2</v>
      </c>
      <c r="U838" s="36">
        <f>IF(T838&gt;=2,ROUND((IF(T838=2,0.55,IF(T838&lt;=4,0.7,IF(T838&lt;=6,0.8,IF(T838&lt;=9,0.9,1))))*(S838/T838)+(1-(IF(T838=2,0.55,IF(T838&lt;=4,0.7,IF(T838&lt;=6,0.8,IF(T838&lt;=9,0.9,1))))))*$Y$1),1),"")</f>
        <v>8</v>
      </c>
      <c r="V838" s="37">
        <v>7.2</v>
      </c>
      <c r="W838" s="38"/>
    </row>
    <row r="839" ht="47.25" customHeight="1" spans="1:23" x14ac:dyDescent="0.25">
      <c r="A839" s="31">
        <v>1048</v>
      </c>
      <c r="B839" s="32" t="s">
        <v>916</v>
      </c>
      <c r="C839" s="33" t="s">
        <v>114</v>
      </c>
      <c r="D839" s="34">
        <v>2016</v>
      </c>
      <c r="E839" s="34" t="s">
        <v>917</v>
      </c>
      <c r="F839" s="6"/>
      <c r="G839" s="6"/>
      <c r="H839" s="6"/>
      <c r="I839" s="6"/>
      <c r="J839" s="6">
        <v>8</v>
      </c>
      <c r="K839" s="6"/>
      <c r="L839" s="6"/>
      <c r="M839" s="6"/>
      <c r="N839" s="6"/>
      <c r="O839" s="6"/>
      <c r="P839" s="6"/>
      <c r="Q839" s="6"/>
      <c r="R839" s="6"/>
      <c r="S839" s="35">
        <f>SUM(F839:R839)</f>
        <v>8</v>
      </c>
      <c r="T839" s="35">
        <f>COUNT(F839:R839)</f>
        <v>1</v>
      </c>
      <c r="U839" s="36">
        <f>IF(T839&gt;=2,ROUND((IF(T839=2,0.55,IF(T839&lt;=4,0.7,IF(T839&lt;=6,0.8,IF(T839&lt;=9,0.9,1))))*(S839/T839)+(1-(IF(T839=2,0.55,IF(T839&lt;=4,0.7,IF(T839&lt;=6,0.8,IF(T839&lt;=9,0.9,1))))))*$Y$1),1),"")</f>
      </c>
      <c r="V839" s="37">
        <v>7.3</v>
      </c>
      <c r="W839" s="38"/>
    </row>
    <row r="840" ht="24" customHeight="1" spans="1:23" x14ac:dyDescent="0.25">
      <c r="A840" s="47">
        <v>257</v>
      </c>
      <c r="B840" s="32" t="s">
        <v>918</v>
      </c>
      <c r="C840" s="48" t="s">
        <v>24</v>
      </c>
      <c r="D840" s="49">
        <v>2017</v>
      </c>
      <c r="E840" s="34" t="s">
        <v>919</v>
      </c>
      <c r="F840" s="6">
        <v>9</v>
      </c>
      <c r="G840" s="6">
        <v>8</v>
      </c>
      <c r="H840" s="6">
        <v>8</v>
      </c>
      <c r="I840" s="6">
        <v>8</v>
      </c>
      <c r="J840" s="6">
        <v>9</v>
      </c>
      <c r="K840" s="6">
        <v>8</v>
      </c>
      <c r="L840" s="6">
        <v>10</v>
      </c>
      <c r="M840" s="6">
        <v>8</v>
      </c>
      <c r="N840" s="6">
        <v>8</v>
      </c>
      <c r="O840" s="6">
        <v>8</v>
      </c>
      <c r="P840" s="6"/>
      <c r="Q840" s="6">
        <v>8</v>
      </c>
      <c r="R840" s="6"/>
      <c r="S840" s="50">
        <f>SUM(F840:R840)</f>
        <v>92</v>
      </c>
      <c r="T840" s="50">
        <f>COUNT(F840:R840)</f>
        <v>11</v>
      </c>
      <c r="U840" s="36">
        <f>IF(T840&gt;=2,ROUND((IF(T840=2,0.55,IF(T840&lt;=4,0.7,IF(T840&lt;=6,0.8,IF(T840&lt;=9,0.9,1))))*(S840/T840)+(1-(IF(T840=2,0.55,IF(T840&lt;=4,0.7,IF(T840&lt;=6,0.8,IF(T840&lt;=9,0.9,1))))))*$Y$1),1),"")</f>
        <v>8.4</v>
      </c>
      <c r="V840" s="37">
        <v>7.3</v>
      </c>
      <c r="W840" s="38" t="s">
        <v>44</v>
      </c>
    </row>
    <row r="841" ht="24" customHeight="1" spans="1:23" x14ac:dyDescent="0.25">
      <c r="A841" s="40">
        <v>2057</v>
      </c>
      <c r="B841" s="32" t="s">
        <v>920</v>
      </c>
      <c r="C841" s="33" t="s">
        <v>24</v>
      </c>
      <c r="D841" s="34">
        <v>2024</v>
      </c>
      <c r="E841" s="41"/>
      <c r="F841" s="6"/>
      <c r="G841" s="6">
        <v>8</v>
      </c>
      <c r="H841" s="6"/>
      <c r="I841" s="6"/>
      <c r="J841" s="6"/>
      <c r="K841" s="6"/>
      <c r="L841" s="6">
        <v>8</v>
      </c>
      <c r="M841" s="6"/>
      <c r="N841" s="6"/>
      <c r="O841" s="6"/>
      <c r="P841" s="6"/>
      <c r="Q841" s="6"/>
      <c r="R841" s="6"/>
      <c r="S841" s="35">
        <f>SUM(F841:R841)</f>
        <v>16</v>
      </c>
      <c r="T841" s="35">
        <f>COUNT(F841:R841)</f>
        <v>2</v>
      </c>
      <c r="U841" s="36">
        <f>IF(T841&gt;=2,ROUND((IF(T841=2,0.55,IF(T841&lt;=4,0.7,IF(T841&lt;=6,0.8,IF(T841&lt;=9,0.9,1))))*(S841/T841)+(1-(IF(T841=2,0.55,IF(T841&lt;=4,0.7,IF(T841&lt;=6,0.8,IF(T841&lt;=9,0.9,1))))))*$Y$1),1),"")</f>
        <v>8</v>
      </c>
      <c r="V841" s="37">
        <v>7.6</v>
      </c>
      <c r="W841" s="38"/>
    </row>
    <row r="842" ht="24" customHeight="1" spans="1:23" x14ac:dyDescent="0.25">
      <c r="A842" s="40">
        <v>2247</v>
      </c>
      <c r="B842" s="32" t="s">
        <v>921</v>
      </c>
      <c r="C842" s="33" t="s">
        <v>24</v>
      </c>
      <c r="D842" s="34">
        <v>2009</v>
      </c>
      <c r="E842" s="41"/>
      <c r="F842" s="6"/>
      <c r="G842" s="6">
        <v>7</v>
      </c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35">
        <f>SUM(F842:R842)</f>
        <v>7</v>
      </c>
      <c r="T842" s="35">
        <f>COUNT(F842:R842)</f>
        <v>1</v>
      </c>
      <c r="U842" s="36">
        <f>IF(T842&gt;=2,ROUND((IF(T842=2,0.55,IF(T842&lt;=4,0.7,IF(T842&lt;=6,0.8,IF(T842&lt;=9,0.9,1))))*(S842/T842)+(1-(IF(T842=2,0.55,IF(T842&lt;=4,0.7,IF(T842&lt;=6,0.8,IF(T842&lt;=9,0.9,1))))))*$Y$1),1),"")</f>
      </c>
      <c r="V842" s="37">
        <v>7.5</v>
      </c>
      <c r="W842" s="38"/>
    </row>
    <row r="843" ht="24" customHeight="1" spans="1:23" x14ac:dyDescent="0.25">
      <c r="A843" s="31">
        <v>1563</v>
      </c>
      <c r="B843" s="32" t="s">
        <v>922</v>
      </c>
      <c r="C843" s="33" t="s">
        <v>24</v>
      </c>
      <c r="D843" s="34">
        <v>2022</v>
      </c>
      <c r="E843" s="34" t="s">
        <v>141</v>
      </c>
      <c r="F843" s="6"/>
      <c r="G843" s="6"/>
      <c r="H843" s="6"/>
      <c r="I843" s="6"/>
      <c r="J843" s="6"/>
      <c r="K843" s="6"/>
      <c r="L843" s="6"/>
      <c r="M843" s="6"/>
      <c r="N843" s="6"/>
      <c r="O843" s="6">
        <v>8</v>
      </c>
      <c r="P843" s="6"/>
      <c r="Q843" s="6"/>
      <c r="R843" s="6"/>
      <c r="S843" s="35">
        <f>SUM(F843:R843)</f>
        <v>8</v>
      </c>
      <c r="T843" s="35">
        <f>COUNT(F843:R843)</f>
        <v>1</v>
      </c>
      <c r="U843" s="36">
        <f>IF(T843&gt;=2,ROUND((IF(T843=2,0.55,IF(T843&lt;=4,0.7,IF(T843&lt;=6,0.8,IF(T843&lt;=9,0.9,1))))*(S843/T843)+(1-(IF(T843=2,0.55,IF(T843&lt;=4,0.7,IF(T843&lt;=6,0.8,IF(T843&lt;=9,0.9,1))))))*$Y$1),1),"")</f>
      </c>
      <c r="V843" s="37">
        <v>6.3</v>
      </c>
      <c r="W843" s="38"/>
    </row>
    <row r="844" ht="24" customHeight="1" spans="1:23" s="39" customFormat="1" x14ac:dyDescent="0.25">
      <c r="A844" s="31">
        <v>1524</v>
      </c>
      <c r="B844" s="32" t="s">
        <v>923</v>
      </c>
      <c r="C844" s="33" t="s">
        <v>24</v>
      </c>
      <c r="D844" s="34">
        <v>2020</v>
      </c>
      <c r="E844" s="34" t="s">
        <v>52</v>
      </c>
      <c r="F844" s="6"/>
      <c r="G844" s="6"/>
      <c r="H844" s="6"/>
      <c r="I844" s="6"/>
      <c r="J844" s="6"/>
      <c r="K844" s="6"/>
      <c r="L844" s="6"/>
      <c r="M844" s="6"/>
      <c r="N844" s="6">
        <v>8</v>
      </c>
      <c r="O844" s="6"/>
      <c r="P844" s="6"/>
      <c r="Q844" s="6"/>
      <c r="R844" s="6"/>
      <c r="S844" s="35">
        <f>SUM(F844:R844)</f>
        <v>8</v>
      </c>
      <c r="T844" s="35">
        <f>COUNT(F844:R844)</f>
        <v>1</v>
      </c>
      <c r="U844" s="36">
        <f>IF(T844&gt;=2,ROUND((IF(T844=2,0.55,IF(T844&lt;=4,0.7,IF(T844&lt;=6,0.8,IF(T844&lt;=9,0.9,1))))*(S844/T844)+(1-(IF(T844=2,0.55,IF(T844&lt;=4,0.7,IF(T844&lt;=6,0.8,IF(T844&lt;=9,0.9,1))))))*$Y$1),1),"")</f>
      </c>
      <c r="V844" s="37">
        <v>6.5</v>
      </c>
      <c r="W844" s="38"/>
    </row>
    <row r="845" ht="24" customHeight="1" spans="1:23" x14ac:dyDescent="0.25">
      <c r="A845" s="40">
        <v>2206</v>
      </c>
      <c r="B845" s="32" t="s">
        <v>924</v>
      </c>
      <c r="C845" s="33" t="s">
        <v>24</v>
      </c>
      <c r="D845" s="34">
        <v>2007</v>
      </c>
      <c r="E845" s="41"/>
      <c r="F845" s="6"/>
      <c r="G845" s="6">
        <v>7</v>
      </c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35">
        <f>SUM(F845:R845)</f>
        <v>7</v>
      </c>
      <c r="T845" s="35">
        <f>COUNT(F845:R845)</f>
        <v>1</v>
      </c>
      <c r="U845" s="36">
        <f>IF(T845&gt;=2,ROUND((IF(T845=2,0.55,IF(T845&lt;=4,0.7,IF(T845&lt;=6,0.8,IF(T845&lt;=9,0.9,1))))*(S845/T845)+(1-(IF(T845=2,0.55,IF(T845&lt;=4,0.7,IF(T845&lt;=6,0.8,IF(T845&lt;=9,0.9,1))))))*$Y$1),1),"")</f>
      </c>
      <c r="V845" s="37">
        <v>6.7</v>
      </c>
      <c r="W845" s="38"/>
    </row>
    <row r="846" ht="24" customHeight="1" spans="1:23" x14ac:dyDescent="0.25">
      <c r="A846" s="31">
        <v>518</v>
      </c>
      <c r="B846" s="32" t="s">
        <v>925</v>
      </c>
      <c r="C846" s="33" t="s">
        <v>24</v>
      </c>
      <c r="D846" s="34">
        <v>2004</v>
      </c>
      <c r="E846" s="34" t="s">
        <v>25</v>
      </c>
      <c r="F846" s="6"/>
      <c r="G846" s="6">
        <v>8</v>
      </c>
      <c r="H846" s="6"/>
      <c r="I846" s="6"/>
      <c r="J846" s="6"/>
      <c r="K846" s="6"/>
      <c r="L846" s="6"/>
      <c r="M846" s="6"/>
      <c r="N846" s="6"/>
      <c r="O846" s="6"/>
      <c r="P846" s="6">
        <v>8</v>
      </c>
      <c r="Q846" s="6"/>
      <c r="R846" s="6"/>
      <c r="S846" s="35">
        <f>SUM(F846:R846)</f>
        <v>16</v>
      </c>
      <c r="T846" s="35">
        <f>COUNT(F846:R846)</f>
        <v>2</v>
      </c>
      <c r="U846" s="36">
        <f>IF(T846&gt;=2,ROUND((IF(T846=2,0.55,IF(T846&lt;=4,0.7,IF(T846&lt;=6,0.8,IF(T846&lt;=9,0.9,1))))*(S846/T846)+(1-(IF(T846=2,0.55,IF(T846&lt;=4,0.7,IF(T846&lt;=6,0.8,IF(T846&lt;=9,0.9,1))))))*$Y$1),1),"")</f>
        <v>8</v>
      </c>
      <c r="V846" s="37">
        <v>7.5</v>
      </c>
      <c r="W846" s="38"/>
    </row>
    <row r="847" ht="24" customHeight="1" spans="1:23" x14ac:dyDescent="0.25">
      <c r="A847" s="31">
        <v>644</v>
      </c>
      <c r="B847" s="32" t="s">
        <v>926</v>
      </c>
      <c r="C847" s="33" t="s">
        <v>24</v>
      </c>
      <c r="D847" s="34">
        <v>2016</v>
      </c>
      <c r="E847" s="34" t="s">
        <v>30</v>
      </c>
      <c r="F847" s="6">
        <v>8</v>
      </c>
      <c r="G847" s="6">
        <v>8</v>
      </c>
      <c r="H847" s="6">
        <v>8</v>
      </c>
      <c r="I847" s="6">
        <v>8</v>
      </c>
      <c r="J847" s="6">
        <v>10</v>
      </c>
      <c r="K847" s="6">
        <v>8</v>
      </c>
      <c r="L847" s="6">
        <v>8</v>
      </c>
      <c r="M847" s="6">
        <v>8</v>
      </c>
      <c r="N847" s="6">
        <v>8</v>
      </c>
      <c r="O847" s="6"/>
      <c r="P847" s="6">
        <v>8</v>
      </c>
      <c r="Q847" s="6">
        <v>8</v>
      </c>
      <c r="R847" s="6"/>
      <c r="S847" s="35">
        <f>SUM(F847:R847)</f>
        <v>90</v>
      </c>
      <c r="T847" s="35">
        <f>COUNT(F847:R847)</f>
        <v>11</v>
      </c>
      <c r="U847" s="36">
        <f>IF(T847&gt;=2,ROUND((IF(T847=2,0.55,IF(T847&lt;=4,0.7,IF(T847&lt;=6,0.8,IF(T847&lt;=9,0.9,1))))*(S847/T847)+(1-(IF(T847=2,0.55,IF(T847&lt;=4,0.7,IF(T847&lt;=6,0.8,IF(T847&lt;=9,0.9,1))))))*$Y$1),1),"")</f>
        <v>8.2</v>
      </c>
      <c r="V847" s="37">
        <v>7.5</v>
      </c>
      <c r="W847" s="38"/>
    </row>
    <row r="848" ht="24" customHeight="1" spans="1:23" x14ac:dyDescent="0.25">
      <c r="A848" s="31">
        <v>399</v>
      </c>
      <c r="B848" s="32" t="s">
        <v>927</v>
      </c>
      <c r="C848" s="33" t="s">
        <v>24</v>
      </c>
      <c r="D848" s="34">
        <v>2016</v>
      </c>
      <c r="E848" s="34" t="s">
        <v>30</v>
      </c>
      <c r="F848" s="6"/>
      <c r="G848" s="6"/>
      <c r="H848" s="6"/>
      <c r="I848" s="6"/>
      <c r="J848" s="6">
        <v>6</v>
      </c>
      <c r="K848" s="6"/>
      <c r="L848" s="6"/>
      <c r="M848" s="6"/>
      <c r="N848" s="6"/>
      <c r="O848" s="6"/>
      <c r="P848" s="6"/>
      <c r="Q848" s="6"/>
      <c r="R848" s="6"/>
      <c r="S848" s="35">
        <f>SUM(F848:R848)</f>
        <v>6</v>
      </c>
      <c r="T848" s="35">
        <f>COUNT(F848:R848)</f>
        <v>1</v>
      </c>
      <c r="U848" s="36">
        <f>IF(T848&gt;=2,ROUND((IF(T848=2,0.55,IF(T848&lt;=4,0.7,IF(T848&lt;=6,0.8,IF(T848&lt;=9,0.9,1))))*(S848/T848)+(1-(IF(T848=2,0.55,IF(T848&lt;=4,0.7,IF(T848&lt;=6,0.8,IF(T848&lt;=9,0.9,1))))))*$Y$1),1),"")</f>
      </c>
      <c r="V848" s="37"/>
      <c r="W848" s="38"/>
    </row>
    <row r="849" ht="24" customHeight="1" spans="1:23" x14ac:dyDescent="0.25">
      <c r="A849" s="40">
        <v>2056</v>
      </c>
      <c r="B849" s="32" t="s">
        <v>928</v>
      </c>
      <c r="C849" s="33" t="s">
        <v>24</v>
      </c>
      <c r="D849" s="34">
        <v>1999</v>
      </c>
      <c r="E849" s="41"/>
      <c r="F849" s="6"/>
      <c r="G849" s="6">
        <v>8</v>
      </c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35">
        <f>SUM(F849:R849)</f>
        <v>8</v>
      </c>
      <c r="T849" s="35">
        <f>COUNT(F849:R849)</f>
        <v>1</v>
      </c>
      <c r="U849" s="36">
        <f>IF(T849&gt;=2,ROUND((IF(T849=2,0.55,IF(T849&lt;=4,0.7,IF(T849&lt;=6,0.8,IF(T849&lt;=9,0.9,1))))*(S849/T849)+(1-(IF(T849=2,0.55,IF(T849&lt;=4,0.7,IF(T849&lt;=6,0.8,IF(T849&lt;=9,0.9,1))))))*$Y$1),1),"")</f>
      </c>
      <c r="V849" s="37">
        <v>7.8</v>
      </c>
      <c r="W849" s="38"/>
    </row>
    <row r="850" ht="24" customHeight="1" spans="1:23" x14ac:dyDescent="0.25">
      <c r="A850" s="42">
        <v>1553</v>
      </c>
      <c r="B850" s="32" t="s">
        <v>929</v>
      </c>
      <c r="C850" s="43" t="s">
        <v>24</v>
      </c>
      <c r="D850" s="44">
        <v>2017</v>
      </c>
      <c r="E850" s="44" t="s">
        <v>30</v>
      </c>
      <c r="F850" s="6">
        <v>8</v>
      </c>
      <c r="G850" s="6"/>
      <c r="H850" s="6"/>
      <c r="I850" s="6">
        <v>8</v>
      </c>
      <c r="J850" s="6">
        <v>8</v>
      </c>
      <c r="K850" s="6">
        <v>10</v>
      </c>
      <c r="L850" s="6">
        <v>8</v>
      </c>
      <c r="M850" s="6">
        <v>8</v>
      </c>
      <c r="N850" s="6"/>
      <c r="O850" s="6">
        <v>8</v>
      </c>
      <c r="P850" s="6">
        <v>8</v>
      </c>
      <c r="Q850" s="6">
        <v>10</v>
      </c>
      <c r="R850" s="6"/>
      <c r="S850" s="45">
        <f>SUM(F850:R850)</f>
        <v>76</v>
      </c>
      <c r="T850" s="45">
        <f>COUNT(F850:R850)</f>
        <v>9</v>
      </c>
      <c r="U850" s="36">
        <f>IF(T850&gt;=2,ROUND((IF(T850=2,0.55,IF(T850&lt;=4,0.7,IF(T850&lt;=6,0.8,IF(T850&lt;=9,0.9,1))))*(S850/T850)+(1-(IF(T850=2,0.55,IF(T850&lt;=4,0.7,IF(T850&lt;=6,0.8,IF(T850&lt;=9,0.9,1))))))*$Y$1),1),"")</f>
        <v>8.4</v>
      </c>
      <c r="V850" s="37">
        <v>7.1</v>
      </c>
      <c r="W850" s="38" t="s">
        <v>44</v>
      </c>
    </row>
    <row r="851" ht="24" customHeight="1" spans="1:23" x14ac:dyDescent="0.25">
      <c r="A851" s="42">
        <v>637</v>
      </c>
      <c r="B851" s="32" t="s">
        <v>930</v>
      </c>
      <c r="C851" s="43" t="s">
        <v>24</v>
      </c>
      <c r="D851" s="44">
        <v>2019</v>
      </c>
      <c r="E851" s="44" t="s">
        <v>931</v>
      </c>
      <c r="F851" s="6">
        <v>8</v>
      </c>
      <c r="G851" s="6">
        <v>9</v>
      </c>
      <c r="H851" s="6">
        <v>8</v>
      </c>
      <c r="I851" s="6"/>
      <c r="J851" s="6">
        <v>8</v>
      </c>
      <c r="K851" s="6">
        <v>8</v>
      </c>
      <c r="L851" s="6">
        <v>8</v>
      </c>
      <c r="M851" s="6">
        <v>8</v>
      </c>
      <c r="N851" s="6">
        <v>9</v>
      </c>
      <c r="O851" s="6">
        <v>10</v>
      </c>
      <c r="P851" s="6">
        <v>10</v>
      </c>
      <c r="Q851" s="6">
        <v>8</v>
      </c>
      <c r="R851" s="6">
        <v>10</v>
      </c>
      <c r="S851" s="45">
        <f>SUM(F851:R851)</f>
        <v>104</v>
      </c>
      <c r="T851" s="45">
        <f>COUNT(F851:R851)</f>
        <v>12</v>
      </c>
      <c r="U851" s="36">
        <f>IF(T851&gt;=2,ROUND((IF(T851=2,0.55,IF(T851&lt;=4,0.7,IF(T851&lt;=6,0.8,IF(T851&lt;=9,0.9,1))))*(S851/T851)+(1-(IF(T851=2,0.55,IF(T851&lt;=4,0.7,IF(T851&lt;=6,0.8,IF(T851&lt;=9,0.9,1))))))*$Y$1),1),"")</f>
        <v>8.7</v>
      </c>
      <c r="V851" s="37">
        <v>7.5</v>
      </c>
      <c r="W851" s="38" t="s">
        <v>44</v>
      </c>
    </row>
    <row r="852" ht="24" customHeight="1" spans="1:23" x14ac:dyDescent="0.25">
      <c r="A852" s="42">
        <v>1138</v>
      </c>
      <c r="B852" s="32" t="s">
        <v>932</v>
      </c>
      <c r="C852" s="43" t="s">
        <v>24</v>
      </c>
      <c r="D852" s="44">
        <v>2019</v>
      </c>
      <c r="E852" s="44" t="s">
        <v>30</v>
      </c>
      <c r="F852" s="6">
        <v>8</v>
      </c>
      <c r="G852" s="6">
        <v>8</v>
      </c>
      <c r="H852" s="6">
        <v>8</v>
      </c>
      <c r="I852" s="6">
        <v>8</v>
      </c>
      <c r="J852" s="6">
        <v>8</v>
      </c>
      <c r="K852" s="6">
        <v>10</v>
      </c>
      <c r="L852" s="6">
        <v>8</v>
      </c>
      <c r="M852" s="6"/>
      <c r="N852" s="6">
        <v>10</v>
      </c>
      <c r="O852" s="6">
        <v>10</v>
      </c>
      <c r="P852" s="6">
        <v>8</v>
      </c>
      <c r="Q852" s="6">
        <v>10</v>
      </c>
      <c r="R852" s="6"/>
      <c r="S852" s="45">
        <f>SUM(F852:R852)</f>
        <v>96</v>
      </c>
      <c r="T852" s="45">
        <f>COUNT(F852:R852)</f>
        <v>11</v>
      </c>
      <c r="U852" s="36">
        <f>IF(T852&gt;=2,ROUND((IF(T852=2,0.55,IF(T852&lt;=4,0.7,IF(T852&lt;=6,0.8,IF(T852&lt;=9,0.9,1))))*(S852/T852)+(1-(IF(T852=2,0.55,IF(T852&lt;=4,0.7,IF(T852&lt;=6,0.8,IF(T852&lt;=9,0.9,1))))))*$Y$1),1),"")</f>
        <v>8.7</v>
      </c>
      <c r="V852" s="37">
        <v>7.3</v>
      </c>
      <c r="W852" s="38" t="s">
        <v>44</v>
      </c>
    </row>
    <row r="853" ht="24" customHeight="1" spans="1:23" x14ac:dyDescent="0.25">
      <c r="A853" s="31">
        <v>1914</v>
      </c>
      <c r="B853" s="32" t="s">
        <v>933</v>
      </c>
      <c r="C853" s="33" t="s">
        <v>29</v>
      </c>
      <c r="D853" s="34">
        <v>2024</v>
      </c>
      <c r="E853" s="34" t="s">
        <v>30</v>
      </c>
      <c r="F853" s="6"/>
      <c r="G853" s="6"/>
      <c r="H853" s="6">
        <v>7</v>
      </c>
      <c r="I853" s="6"/>
      <c r="J853" s="6"/>
      <c r="K853" s="6"/>
      <c r="L853" s="6">
        <v>7</v>
      </c>
      <c r="M853" s="6"/>
      <c r="N853" s="6"/>
      <c r="O853" s="6"/>
      <c r="P853" s="6"/>
      <c r="Q853" s="6"/>
      <c r="R853" s="6"/>
      <c r="S853" s="35">
        <f>SUM(F853:R853)</f>
        <v>14</v>
      </c>
      <c r="T853" s="35">
        <f>COUNT(F853:R853)</f>
        <v>2</v>
      </c>
      <c r="U853" s="36">
        <f>IF(T853&gt;=2,ROUND((IF(T853=2,0.55,IF(T853&lt;=4,0.7,IF(T853&lt;=6,0.8,IF(T853&lt;=9,0.9,1))))*(S853/T853)+(1-(IF(T853=2,0.55,IF(T853&lt;=4,0.7,IF(T853&lt;=6,0.8,IF(T853&lt;=9,0.9,1))))))*$Y$1),1),"")</f>
        <v>7.5</v>
      </c>
      <c r="V853" s="37">
        <v>6.8</v>
      </c>
      <c r="W853" s="38"/>
    </row>
    <row r="854" ht="24" customHeight="1" spans="1:23" s="39" customFormat="1" x14ac:dyDescent="0.25">
      <c r="A854" s="31">
        <v>517</v>
      </c>
      <c r="B854" s="32" t="s">
        <v>934</v>
      </c>
      <c r="C854" s="33" t="s">
        <v>24</v>
      </c>
      <c r="D854" s="34">
        <v>2008</v>
      </c>
      <c r="E854" s="34" t="s">
        <v>30</v>
      </c>
      <c r="F854" s="6"/>
      <c r="G854" s="6">
        <v>8</v>
      </c>
      <c r="H854" s="6"/>
      <c r="I854" s="6"/>
      <c r="J854" s="6"/>
      <c r="K854" s="6"/>
      <c r="L854" s="6">
        <v>6</v>
      </c>
      <c r="M854" s="6"/>
      <c r="N854" s="6"/>
      <c r="O854" s="6">
        <v>7</v>
      </c>
      <c r="P854" s="6">
        <v>8</v>
      </c>
      <c r="Q854" s="6"/>
      <c r="R854" s="6"/>
      <c r="S854" s="35">
        <f>SUM(F854:R854)</f>
        <v>29</v>
      </c>
      <c r="T854" s="35">
        <f>COUNT(F854:R854)</f>
        <v>4</v>
      </c>
      <c r="U854" s="36">
        <f>IF(T854&gt;=2,ROUND((IF(T854=2,0.55,IF(T854&lt;=4,0.7,IF(T854&lt;=6,0.8,IF(T854&lt;=9,0.9,1))))*(S854/T854)+(1-(IF(T854=2,0.55,IF(T854&lt;=4,0.7,IF(T854&lt;=6,0.8,IF(T854&lt;=9,0.9,1))))))*$Y$1),1),"")</f>
        <v>7.5</v>
      </c>
      <c r="V854" s="37">
        <v>6.6</v>
      </c>
      <c r="W854" s="38"/>
    </row>
    <row r="855" ht="24" customHeight="1" spans="1:23" x14ac:dyDescent="0.25">
      <c r="A855" s="31">
        <v>1900</v>
      </c>
      <c r="B855" s="32" t="s">
        <v>935</v>
      </c>
      <c r="C855" s="33" t="s">
        <v>29</v>
      </c>
      <c r="D855" s="34">
        <v>2024</v>
      </c>
      <c r="E855" s="34" t="s">
        <v>30</v>
      </c>
      <c r="F855" s="6"/>
      <c r="G855" s="6"/>
      <c r="H855" s="6"/>
      <c r="I855" s="6"/>
      <c r="J855" s="6"/>
      <c r="K855" s="6"/>
      <c r="L855" s="6">
        <v>7</v>
      </c>
      <c r="M855" s="6"/>
      <c r="N855" s="6"/>
      <c r="O855" s="6">
        <v>7</v>
      </c>
      <c r="P855" s="6"/>
      <c r="Q855" s="6"/>
      <c r="R855" s="6"/>
      <c r="S855" s="35">
        <f>SUM(F855:R855)</f>
        <v>14</v>
      </c>
      <c r="T855" s="35">
        <f>COUNT(F855:R855)</f>
        <v>2</v>
      </c>
      <c r="U855" s="36">
        <f>IF(T855&gt;=2,ROUND((IF(T855=2,0.55,IF(T855&lt;=4,0.7,IF(T855&lt;=6,0.8,IF(T855&lt;=9,0.9,1))))*(S855/T855)+(1-(IF(T855=2,0.55,IF(T855&lt;=4,0.7,IF(T855&lt;=6,0.8,IF(T855&lt;=9,0.9,1))))))*$Y$1),1),"")</f>
        <v>7.5</v>
      </c>
      <c r="V855" s="37">
        <v>6.5</v>
      </c>
      <c r="W855" s="38"/>
    </row>
    <row r="856" ht="24" customHeight="1" spans="1:23" x14ac:dyDescent="0.25">
      <c r="A856" s="31">
        <v>89</v>
      </c>
      <c r="B856" s="32" t="s">
        <v>936</v>
      </c>
      <c r="C856" s="33" t="s">
        <v>24</v>
      </c>
      <c r="D856" s="34">
        <v>1994</v>
      </c>
      <c r="E856" s="34" t="s">
        <v>137</v>
      </c>
      <c r="F856" s="6">
        <v>10</v>
      </c>
      <c r="G856" s="6">
        <v>8</v>
      </c>
      <c r="H856" s="6">
        <v>8</v>
      </c>
      <c r="I856" s="6">
        <v>10</v>
      </c>
      <c r="J856" s="6">
        <v>10</v>
      </c>
      <c r="K856" s="6">
        <v>8</v>
      </c>
      <c r="L856" s="6">
        <v>10</v>
      </c>
      <c r="M856" s="6">
        <v>10</v>
      </c>
      <c r="N856" s="6"/>
      <c r="O856" s="6">
        <v>10</v>
      </c>
      <c r="P856" s="6">
        <v>8</v>
      </c>
      <c r="Q856" s="6">
        <v>8</v>
      </c>
      <c r="R856" s="6">
        <v>8</v>
      </c>
      <c r="S856" s="35">
        <f>SUM(F856:R856)</f>
        <v>108</v>
      </c>
      <c r="T856" s="35">
        <f>COUNT(F856:R856)</f>
        <v>12</v>
      </c>
      <c r="U856" s="36">
        <f>IF(T856&gt;=2,ROUND((IF(T856=2,0.55,IF(T856&lt;=4,0.7,IF(T856&lt;=6,0.8,IF(T856&lt;=9,0.9,1))))*(S856/T856)+(1-(IF(T856=2,0.55,IF(T856&lt;=4,0.7,IF(T856&lt;=6,0.8,IF(T856&lt;=9,0.9,1))))))*$Y$1),1),"")</f>
        <v>9</v>
      </c>
      <c r="V856" s="37">
        <v>7.8</v>
      </c>
      <c r="W856" s="38"/>
    </row>
    <row r="857" ht="24" customHeight="1" spans="1:23" x14ac:dyDescent="0.25">
      <c r="A857" s="31">
        <v>1205</v>
      </c>
      <c r="B857" s="32" t="s">
        <v>937</v>
      </c>
      <c r="C857" s="33" t="s">
        <v>29</v>
      </c>
      <c r="D857" s="34">
        <v>2022</v>
      </c>
      <c r="E857" s="34" t="s">
        <v>69</v>
      </c>
      <c r="F857" s="6"/>
      <c r="G857" s="6"/>
      <c r="H857" s="6"/>
      <c r="I857" s="6">
        <v>10</v>
      </c>
      <c r="J857" s="6"/>
      <c r="K857" s="6">
        <v>10</v>
      </c>
      <c r="L857" s="6"/>
      <c r="M857" s="6"/>
      <c r="N857" s="6">
        <v>10</v>
      </c>
      <c r="O857" s="6"/>
      <c r="P857" s="6"/>
      <c r="Q857" s="6">
        <v>10</v>
      </c>
      <c r="R857" s="6"/>
      <c r="S857" s="35">
        <f>SUM(F857:R857)</f>
        <v>40</v>
      </c>
      <c r="T857" s="35">
        <f>COUNT(F857:R857)</f>
        <v>4</v>
      </c>
      <c r="U857" s="36">
        <f>IF(T857&gt;=2,ROUND((IF(T857=2,0.55,IF(T857&lt;=4,0.7,IF(T857&lt;=6,0.8,IF(T857&lt;=9,0.9,1))))*(S857/T857)+(1-(IF(T857=2,0.55,IF(T857&lt;=4,0.7,IF(T857&lt;=6,0.8,IF(T857&lt;=9,0.9,1))))))*$Y$1),1),"")</f>
        <v>9.4</v>
      </c>
      <c r="V857" s="37">
        <v>9</v>
      </c>
      <c r="W857" s="38"/>
    </row>
    <row r="858" ht="24" customHeight="1" spans="1:23" x14ac:dyDescent="0.25">
      <c r="A858" s="31">
        <v>1574</v>
      </c>
      <c r="B858" s="32" t="s">
        <v>938</v>
      </c>
      <c r="C858" s="33" t="s">
        <v>24</v>
      </c>
      <c r="D858" s="34">
        <v>2019</v>
      </c>
      <c r="E858" s="34" t="s">
        <v>30</v>
      </c>
      <c r="F858" s="6"/>
      <c r="G858" s="6"/>
      <c r="H858" s="6"/>
      <c r="I858" s="6"/>
      <c r="J858" s="6"/>
      <c r="K858" s="6">
        <v>7</v>
      </c>
      <c r="L858" s="6"/>
      <c r="M858" s="6"/>
      <c r="N858" s="6"/>
      <c r="O858" s="6">
        <v>7</v>
      </c>
      <c r="P858" s="6"/>
      <c r="Q858" s="6">
        <v>7</v>
      </c>
      <c r="R858" s="6"/>
      <c r="S858" s="35">
        <f>SUM(F858:R858)</f>
        <v>21</v>
      </c>
      <c r="T858" s="35">
        <f>COUNT(F858:R858)</f>
        <v>3</v>
      </c>
      <c r="U858" s="36">
        <f>IF(T858&gt;=2,ROUND((IF(T858=2,0.55,IF(T858&lt;=4,0.7,IF(T858&lt;=6,0.8,IF(T858&lt;=9,0.9,1))))*(S858/T858)+(1-(IF(T858=2,0.55,IF(T858&lt;=4,0.7,IF(T858&lt;=6,0.8,IF(T858&lt;=9,0.9,1))))))*$Y$1),1),"")</f>
        <v>7.3</v>
      </c>
      <c r="V858" s="37">
        <v>6.5</v>
      </c>
      <c r="W858" s="38"/>
    </row>
    <row r="859" ht="24" customHeight="1" spans="1:23" x14ac:dyDescent="0.25">
      <c r="A859" s="40">
        <v>2363</v>
      </c>
      <c r="B859" s="32" t="s">
        <v>939</v>
      </c>
      <c r="C859" s="33" t="s">
        <v>24</v>
      </c>
      <c r="D859" s="34">
        <v>2010</v>
      </c>
      <c r="E859" s="41"/>
      <c r="F859" s="6">
        <v>8</v>
      </c>
      <c r="G859" s="6"/>
      <c r="H859" s="6"/>
      <c r="I859" s="6">
        <v>8</v>
      </c>
      <c r="J859" s="6">
        <v>8</v>
      </c>
      <c r="K859" s="6">
        <v>8</v>
      </c>
      <c r="L859" s="6"/>
      <c r="M859" s="6"/>
      <c r="N859" s="6"/>
      <c r="O859" s="6">
        <v>8</v>
      </c>
      <c r="P859" s="6">
        <v>7</v>
      </c>
      <c r="Q859" s="6">
        <v>8</v>
      </c>
      <c r="R859" s="6">
        <v>8</v>
      </c>
      <c r="S859" s="35">
        <f>SUM(F859:R859)</f>
        <v>63</v>
      </c>
      <c r="T859" s="35">
        <f>COUNT(F859:R859)</f>
        <v>8</v>
      </c>
      <c r="U859" s="36">
        <f>IF(T859&gt;=2,ROUND((IF(T859=2,0.55,IF(T859&lt;=4,0.7,IF(T859&lt;=6,0.8,IF(T859&lt;=9,0.9,1))))*(S859/T859)+(1-(IF(T859=2,0.55,IF(T859&lt;=4,0.7,IF(T859&lt;=6,0.8,IF(T859&lt;=9,0.9,1))))))*$Y$1),1),"")</f>
        <v>7.9</v>
      </c>
      <c r="V859" s="37">
        <v>7.3</v>
      </c>
      <c r="W859" s="38"/>
    </row>
    <row r="860" ht="24" customHeight="1" spans="1:23" x14ac:dyDescent="0.25">
      <c r="A860" s="31">
        <v>88</v>
      </c>
      <c r="B860" s="32" t="s">
        <v>940</v>
      </c>
      <c r="C860" s="33" t="s">
        <v>24</v>
      </c>
      <c r="D860" s="34">
        <v>2018</v>
      </c>
      <c r="E860" s="34" t="s">
        <v>30</v>
      </c>
      <c r="F860" s="6">
        <v>8</v>
      </c>
      <c r="G860" s="6"/>
      <c r="H860" s="6">
        <v>6</v>
      </c>
      <c r="I860" s="6"/>
      <c r="J860" s="6">
        <v>8</v>
      </c>
      <c r="K860" s="6">
        <v>8</v>
      </c>
      <c r="L860" s="6">
        <v>6</v>
      </c>
      <c r="M860" s="6">
        <v>6</v>
      </c>
      <c r="N860" s="6">
        <v>6</v>
      </c>
      <c r="O860" s="6"/>
      <c r="P860" s="6">
        <v>6</v>
      </c>
      <c r="Q860" s="6">
        <v>8</v>
      </c>
      <c r="R860" s="6"/>
      <c r="S860" s="35">
        <f>SUM(F860:R860)</f>
        <v>62</v>
      </c>
      <c r="T860" s="35">
        <f>COUNT(F860:R860)</f>
        <v>9</v>
      </c>
      <c r="U860" s="36">
        <f>IF(T860&gt;=2,ROUND((IF(T860=2,0.55,IF(T860&lt;=4,0.7,IF(T860&lt;=6,0.8,IF(T860&lt;=9,0.9,1))))*(S860/T860)+(1-(IF(T860=2,0.55,IF(T860&lt;=4,0.7,IF(T860&lt;=6,0.8,IF(T860&lt;=9,0.9,1))))))*$Y$1),1),"")</f>
        <v>7</v>
      </c>
      <c r="V860" s="37">
        <v>5.9</v>
      </c>
      <c r="W860" s="38"/>
    </row>
    <row r="861" ht="24" customHeight="1" spans="1:23" x14ac:dyDescent="0.25">
      <c r="A861" s="40">
        <v>2205</v>
      </c>
      <c r="B861" s="32" t="s">
        <v>941</v>
      </c>
      <c r="C861" s="33" t="s">
        <v>24</v>
      </c>
      <c r="D861" s="34">
        <v>2007</v>
      </c>
      <c r="E861" s="41"/>
      <c r="F861" s="6"/>
      <c r="G861" s="6">
        <v>7</v>
      </c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35">
        <f>SUM(F861:R861)</f>
        <v>7</v>
      </c>
      <c r="T861" s="35">
        <f>COUNT(F861:R861)</f>
        <v>1</v>
      </c>
      <c r="U861" s="36">
        <f>IF(T861&gt;=2,ROUND((IF(T861=2,0.55,IF(T861&lt;=4,0.7,IF(T861&lt;=6,0.8,IF(T861&lt;=9,0.9,1))))*(S861/T861)+(1-(IF(T861=2,0.55,IF(T861&lt;=4,0.7,IF(T861&lt;=6,0.8,IF(T861&lt;=9,0.9,1))))))*$Y$1),1),"")</f>
      </c>
      <c r="V861" s="37">
        <v>7.5</v>
      </c>
      <c r="W861" s="38"/>
    </row>
    <row r="862" ht="24" customHeight="1" spans="1:23" x14ac:dyDescent="0.25">
      <c r="A862" s="47">
        <v>1992</v>
      </c>
      <c r="B862" s="32" t="s">
        <v>942</v>
      </c>
      <c r="C862" s="48" t="s">
        <v>24</v>
      </c>
      <c r="D862" s="49">
        <v>2024</v>
      </c>
      <c r="E862" s="49" t="s">
        <v>25</v>
      </c>
      <c r="F862" s="6">
        <v>8</v>
      </c>
      <c r="G862" s="6">
        <v>9</v>
      </c>
      <c r="H862" s="6"/>
      <c r="I862" s="6"/>
      <c r="J862" s="6">
        <v>10</v>
      </c>
      <c r="K862" s="6">
        <v>8</v>
      </c>
      <c r="L862" s="6">
        <v>9</v>
      </c>
      <c r="M862" s="6">
        <v>9</v>
      </c>
      <c r="N862" s="6">
        <v>9</v>
      </c>
      <c r="O862" s="6">
        <v>8</v>
      </c>
      <c r="P862" s="6">
        <v>8</v>
      </c>
      <c r="Q862" s="6">
        <v>8</v>
      </c>
      <c r="R862" s="6">
        <v>8</v>
      </c>
      <c r="S862" s="50">
        <f>SUM(F862:R862)</f>
        <v>94</v>
      </c>
      <c r="T862" s="50">
        <f>COUNT(F862:R862)</f>
        <v>11</v>
      </c>
      <c r="U862" s="36">
        <f>IF(T862&gt;=2,ROUND((IF(T862=2,0.55,IF(T862&lt;=4,0.7,IF(T862&lt;=6,0.8,IF(T862&lt;=9,0.9,1))))*(S862/T862)+(1-(IF(T862=2,0.55,IF(T862&lt;=4,0.7,IF(T862&lt;=6,0.8,IF(T862&lt;=9,0.9,1))))))*$Y$1),1),"")</f>
        <v>8.5</v>
      </c>
      <c r="V862" s="37">
        <v>7.2</v>
      </c>
      <c r="W862" s="38" t="s">
        <v>44</v>
      </c>
    </row>
    <row r="863" ht="24" customHeight="1" spans="1:23" x14ac:dyDescent="0.25">
      <c r="A863" s="40">
        <v>2246</v>
      </c>
      <c r="B863" s="32" t="s">
        <v>943</v>
      </c>
      <c r="C863" s="33" t="s">
        <v>24</v>
      </c>
      <c r="D863" s="34">
        <v>2009</v>
      </c>
      <c r="E863" s="41"/>
      <c r="F863" s="6"/>
      <c r="G863" s="6">
        <v>7</v>
      </c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35">
        <f>SUM(F863:R863)</f>
        <v>7</v>
      </c>
      <c r="T863" s="35">
        <f>COUNT(F863:R863)</f>
        <v>1</v>
      </c>
      <c r="U863" s="36">
        <f>IF(T863&gt;=2,ROUND((IF(T863=2,0.55,IF(T863&lt;=4,0.7,IF(T863&lt;=6,0.8,IF(T863&lt;=9,0.9,1))))*(S863/T863)+(1-(IF(T863=2,0.55,IF(T863&lt;=4,0.7,IF(T863&lt;=6,0.8,IF(T863&lt;=9,0.9,1))))))*$Y$1),1),"")</f>
      </c>
      <c r="V863" s="37">
        <v>6.9</v>
      </c>
      <c r="W863" s="38"/>
    </row>
    <row r="864" ht="24" customHeight="1" spans="1:23" x14ac:dyDescent="0.25">
      <c r="A864" s="40">
        <v>2377</v>
      </c>
      <c r="B864" s="32" t="s">
        <v>944</v>
      </c>
      <c r="C864" s="33" t="s">
        <v>29</v>
      </c>
      <c r="D864" s="34">
        <v>2017</v>
      </c>
      <c r="E864" s="41"/>
      <c r="F864" s="6"/>
      <c r="G864" s="6"/>
      <c r="H864" s="6">
        <v>8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35">
        <f>SUM(F864:R864)</f>
        <v>8</v>
      </c>
      <c r="T864" s="35">
        <f>COUNT(F864:R864)</f>
        <v>1</v>
      </c>
      <c r="U864" s="36">
        <f>IF(T864&gt;=2,ROUND((IF(T864=2,0.55,IF(T864&lt;=4,0.7,IF(T864&lt;=6,0.8,IF(T864&lt;=9,0.9,1))))*(S864/T864)+(1-(IF(T864=2,0.55,IF(T864&lt;=4,0.7,IF(T864&lt;=6,0.8,IF(T864&lt;=9,0.9,1))))))*$Y$1),1),"")</f>
      </c>
      <c r="V864" s="37">
        <v>7.2</v>
      </c>
      <c r="W864" s="38"/>
    </row>
    <row r="865" ht="24" customHeight="1" spans="1:23" x14ac:dyDescent="0.25">
      <c r="A865" s="31">
        <v>1280</v>
      </c>
      <c r="B865" s="32" t="s">
        <v>945</v>
      </c>
      <c r="C865" s="33" t="s">
        <v>24</v>
      </c>
      <c r="D865" s="34">
        <v>2021</v>
      </c>
      <c r="E865" s="34" t="s">
        <v>30</v>
      </c>
      <c r="F865" s="6">
        <v>7</v>
      </c>
      <c r="G865" s="6"/>
      <c r="H865" s="6"/>
      <c r="I865" s="6"/>
      <c r="J865" s="6">
        <v>8</v>
      </c>
      <c r="K865" s="6">
        <v>9</v>
      </c>
      <c r="L865" s="6">
        <v>8</v>
      </c>
      <c r="M865" s="6"/>
      <c r="N865" s="6">
        <v>7</v>
      </c>
      <c r="O865" s="6"/>
      <c r="P865" s="6"/>
      <c r="Q865" s="6">
        <v>9</v>
      </c>
      <c r="R865" s="6"/>
      <c r="S865" s="35">
        <f>SUM(F865:R865)</f>
        <v>48</v>
      </c>
      <c r="T865" s="35">
        <f>COUNT(F865:R865)</f>
        <v>6</v>
      </c>
      <c r="U865" s="36">
        <f>IF(T865&gt;=2,ROUND((IF(T865=2,0.55,IF(T865&lt;=4,0.7,IF(T865&lt;=6,0.8,IF(T865&lt;=9,0.9,1))))*(S865/T865)+(1-(IF(T865=2,0.55,IF(T865&lt;=4,0.7,IF(T865&lt;=6,0.8,IF(T865&lt;=9,0.9,1))))))*$Y$1),1),"")</f>
        <v>8</v>
      </c>
      <c r="V865" s="37">
        <v>7.3</v>
      </c>
      <c r="W865" s="38"/>
    </row>
    <row r="866" ht="24" customHeight="1" spans="1:23" x14ac:dyDescent="0.25">
      <c r="A866" s="46">
        <v>1254</v>
      </c>
      <c r="B866" s="32" t="s">
        <v>946</v>
      </c>
      <c r="C866" s="33" t="s">
        <v>29</v>
      </c>
      <c r="D866" s="34">
        <v>2021</v>
      </c>
      <c r="E866" s="34" t="s">
        <v>25</v>
      </c>
      <c r="F866" s="6">
        <v>8</v>
      </c>
      <c r="G866" s="6">
        <v>7</v>
      </c>
      <c r="H866" s="6"/>
      <c r="I866" s="6">
        <v>6</v>
      </c>
      <c r="J866" s="6"/>
      <c r="K866" s="6">
        <v>8</v>
      </c>
      <c r="L866" s="6"/>
      <c r="M866" s="6"/>
      <c r="N866" s="6">
        <v>8</v>
      </c>
      <c r="O866" s="6"/>
      <c r="P866" s="6"/>
      <c r="Q866" s="6">
        <v>8</v>
      </c>
      <c r="R866" s="6"/>
      <c r="S866" s="35">
        <f>SUM(F866:R866)</f>
        <v>45</v>
      </c>
      <c r="T866" s="35">
        <f>COUNT(F866:R866)</f>
        <v>6</v>
      </c>
      <c r="U866" s="36">
        <f>IF(T866&gt;=2,ROUND((IF(T866=2,0.55,IF(T866&lt;=4,0.7,IF(T866&lt;=6,0.8,IF(T866&lt;=9,0.9,1))))*(S866/T866)+(1-(IF(T866=2,0.55,IF(T866&lt;=4,0.7,IF(T866&lt;=6,0.8,IF(T866&lt;=9,0.9,1))))))*$Y$1),1),"")</f>
        <v>7.6</v>
      </c>
      <c r="V866" s="37">
        <v>7</v>
      </c>
      <c r="W866" s="38"/>
    </row>
    <row r="867" ht="24" customHeight="1" spans="1:23" s="39" customFormat="1" x14ac:dyDescent="0.25">
      <c r="A867" s="47">
        <v>1874</v>
      </c>
      <c r="B867" s="32" t="s">
        <v>947</v>
      </c>
      <c r="C867" s="48" t="s">
        <v>24</v>
      </c>
      <c r="D867" s="49">
        <v>2023</v>
      </c>
      <c r="E867" s="49" t="s">
        <v>25</v>
      </c>
      <c r="F867" s="6">
        <v>8</v>
      </c>
      <c r="G867" s="6">
        <v>8</v>
      </c>
      <c r="H867" s="6">
        <v>8</v>
      </c>
      <c r="I867" s="6"/>
      <c r="J867" s="6">
        <v>8</v>
      </c>
      <c r="K867" s="6">
        <v>6</v>
      </c>
      <c r="L867" s="6">
        <v>8</v>
      </c>
      <c r="M867" s="6">
        <v>8</v>
      </c>
      <c r="N867" s="6">
        <v>8</v>
      </c>
      <c r="O867" s="6">
        <v>8</v>
      </c>
      <c r="P867" s="6">
        <v>8</v>
      </c>
      <c r="Q867" s="6">
        <v>6</v>
      </c>
      <c r="R867" s="6"/>
      <c r="S867" s="50">
        <f>SUM(F867:R867)</f>
        <v>84</v>
      </c>
      <c r="T867" s="50">
        <f>COUNT(F867:R867)</f>
        <v>11</v>
      </c>
      <c r="U867" s="36">
        <f>IF(T867&gt;=2,ROUND((IF(T867=2,0.55,IF(T867&lt;=4,0.7,IF(T867&lt;=6,0.8,IF(T867&lt;=9,0.9,1))))*(S867/T867)+(1-(IF(T867=2,0.55,IF(T867&lt;=4,0.7,IF(T867&lt;=6,0.8,IF(T867&lt;=9,0.9,1))))))*$Y$1),1),"")</f>
        <v>7.6</v>
      </c>
      <c r="V867" s="37">
        <v>7.7</v>
      </c>
      <c r="W867" s="38" t="s">
        <v>44</v>
      </c>
    </row>
    <row r="868" ht="24" customHeight="1" spans="1:23" x14ac:dyDescent="0.25">
      <c r="A868" s="31">
        <v>516</v>
      </c>
      <c r="B868" s="32" t="s">
        <v>948</v>
      </c>
      <c r="C868" s="33" t="s">
        <v>24</v>
      </c>
      <c r="D868" s="34">
        <v>1981</v>
      </c>
      <c r="E868" s="34" t="s">
        <v>30</v>
      </c>
      <c r="F868" s="6"/>
      <c r="G868" s="6">
        <v>8</v>
      </c>
      <c r="H868" s="6"/>
      <c r="I868" s="6"/>
      <c r="J868" s="6"/>
      <c r="K868" s="6"/>
      <c r="L868" s="6"/>
      <c r="M868" s="6"/>
      <c r="N868" s="6"/>
      <c r="O868" s="6"/>
      <c r="P868" s="6">
        <v>8</v>
      </c>
      <c r="Q868" s="6"/>
      <c r="R868" s="6"/>
      <c r="S868" s="35">
        <f>SUM(F868:R868)</f>
        <v>16</v>
      </c>
      <c r="T868" s="35">
        <f>COUNT(F868:R868)</f>
        <v>2</v>
      </c>
      <c r="U868" s="36">
        <f>IF(T868&gt;=2,ROUND((IF(T868=2,0.55,IF(T868&lt;=4,0.7,IF(T868&lt;=6,0.8,IF(T868&lt;=9,0.9,1))))*(S868/T868)+(1-(IF(T868=2,0.55,IF(T868&lt;=4,0.7,IF(T868&lt;=6,0.8,IF(T868&lt;=9,0.9,1))))))*$Y$1),1),"")</f>
        <v>8</v>
      </c>
      <c r="V868" s="37">
        <v>8.3</v>
      </c>
      <c r="W868" s="38"/>
    </row>
    <row r="869" ht="24" customHeight="1" spans="1:23" x14ac:dyDescent="0.25">
      <c r="A869" s="31">
        <v>350</v>
      </c>
      <c r="B869" s="32" t="s">
        <v>949</v>
      </c>
      <c r="C869" s="33" t="s">
        <v>24</v>
      </c>
      <c r="D869" s="34">
        <v>2004</v>
      </c>
      <c r="E869" s="34" t="s">
        <v>60</v>
      </c>
      <c r="F869" s="6"/>
      <c r="G869" s="6">
        <v>8</v>
      </c>
      <c r="H869" s="6"/>
      <c r="I869" s="6"/>
      <c r="J869" s="6"/>
      <c r="K869" s="6">
        <v>8</v>
      </c>
      <c r="L869" s="6">
        <v>10</v>
      </c>
      <c r="M869" s="6"/>
      <c r="N869" s="6"/>
      <c r="O869" s="6"/>
      <c r="P869" s="6">
        <v>8</v>
      </c>
      <c r="Q869" s="6">
        <v>8</v>
      </c>
      <c r="R869" s="6"/>
      <c r="S869" s="35">
        <f>SUM(F869:R869)</f>
        <v>42</v>
      </c>
      <c r="T869" s="35">
        <f>COUNT(F869:R869)</f>
        <v>5</v>
      </c>
      <c r="U869" s="36">
        <f>IF(T869&gt;=2,ROUND((IF(T869=2,0.55,IF(T869&lt;=4,0.7,IF(T869&lt;=6,0.8,IF(T869&lt;=9,0.9,1))))*(S869/T869)+(1-(IF(T869=2,0.55,IF(T869&lt;=4,0.7,IF(T869&lt;=6,0.8,IF(T869&lt;=9,0.9,1))))))*$Y$1),1),"")</f>
        <v>8.3</v>
      </c>
      <c r="V869" s="37">
        <v>7.5</v>
      </c>
      <c r="W869" s="38"/>
    </row>
    <row r="870" ht="24" customHeight="1" spans="1:23" x14ac:dyDescent="0.25">
      <c r="A870" s="31">
        <v>1965</v>
      </c>
      <c r="B870" s="32" t="s">
        <v>950</v>
      </c>
      <c r="C870" s="33" t="s">
        <v>24</v>
      </c>
      <c r="D870" s="34">
        <v>2024</v>
      </c>
      <c r="E870" s="34" t="s">
        <v>951</v>
      </c>
      <c r="F870" s="6"/>
      <c r="G870" s="6"/>
      <c r="H870" s="6"/>
      <c r="I870" s="6">
        <v>8</v>
      </c>
      <c r="J870" s="6"/>
      <c r="K870" s="6"/>
      <c r="L870" s="6">
        <v>6</v>
      </c>
      <c r="M870" s="6"/>
      <c r="N870" s="6"/>
      <c r="O870" s="6"/>
      <c r="P870" s="6"/>
      <c r="Q870" s="6"/>
      <c r="R870" s="6"/>
      <c r="S870" s="35">
        <f>SUM(F870:R870)</f>
        <v>14</v>
      </c>
      <c r="T870" s="35">
        <f>COUNT(F870:R870)</f>
        <v>2</v>
      </c>
      <c r="U870" s="36">
        <f>IF(T870&gt;=2,ROUND((IF(T870=2,0.55,IF(T870&lt;=4,0.7,IF(T870&lt;=6,0.8,IF(T870&lt;=9,0.9,1))))*(S870/T870)+(1-(IF(T870=2,0.55,IF(T870&lt;=4,0.7,IF(T870&lt;=6,0.8,IF(T870&lt;=9,0.9,1))))))*$Y$1),1),"")</f>
        <v>7.5</v>
      </c>
      <c r="V870" s="37">
        <v>6.1</v>
      </c>
      <c r="W870" s="38"/>
    </row>
    <row r="871" ht="24" customHeight="1" spans="1:23" x14ac:dyDescent="0.25">
      <c r="A871" s="31">
        <v>682</v>
      </c>
      <c r="B871" s="32" t="s">
        <v>952</v>
      </c>
      <c r="C871" s="33" t="s">
        <v>24</v>
      </c>
      <c r="D871" s="34">
        <v>2000</v>
      </c>
      <c r="E871" s="34" t="s">
        <v>43</v>
      </c>
      <c r="F871" s="6">
        <v>10</v>
      </c>
      <c r="G871" s="6"/>
      <c r="H871" s="6"/>
      <c r="I871" s="6">
        <v>8</v>
      </c>
      <c r="J871" s="6">
        <v>10</v>
      </c>
      <c r="K871" s="6">
        <v>10</v>
      </c>
      <c r="L871" s="6">
        <v>10</v>
      </c>
      <c r="M871" s="6">
        <v>8</v>
      </c>
      <c r="N871" s="6">
        <v>8</v>
      </c>
      <c r="O871" s="6"/>
      <c r="P871" s="6">
        <v>10</v>
      </c>
      <c r="Q871" s="6">
        <v>10</v>
      </c>
      <c r="R871" s="6"/>
      <c r="S871" s="35">
        <f>SUM(F871:R871)</f>
        <v>84</v>
      </c>
      <c r="T871" s="35">
        <f>COUNT(F871:R871)</f>
        <v>9</v>
      </c>
      <c r="U871" s="36">
        <f>IF(T871&gt;=2,ROUND((IF(T871=2,0.55,IF(T871&lt;=4,0.7,IF(T871&lt;=6,0.8,IF(T871&lt;=9,0.9,1))))*(S871/T871)+(1-(IF(T871=2,0.55,IF(T871&lt;=4,0.7,IF(T871&lt;=6,0.8,IF(T871&lt;=9,0.9,1))))))*$Y$1),1),"")</f>
        <v>9.2</v>
      </c>
      <c r="V871" s="37">
        <v>8.6</v>
      </c>
      <c r="W871" s="38"/>
    </row>
    <row r="872" ht="24" customHeight="1" spans="1:23" x14ac:dyDescent="0.25">
      <c r="A872" s="31">
        <v>1611</v>
      </c>
      <c r="B872" s="32" t="s">
        <v>953</v>
      </c>
      <c r="C872" s="33" t="s">
        <v>24</v>
      </c>
      <c r="D872" s="34">
        <v>2011</v>
      </c>
      <c r="E872" s="34" t="s">
        <v>30</v>
      </c>
      <c r="F872" s="6"/>
      <c r="G872" s="6"/>
      <c r="H872" s="6"/>
      <c r="I872" s="6">
        <v>6</v>
      </c>
      <c r="J872" s="6"/>
      <c r="K872" s="6"/>
      <c r="L872" s="6"/>
      <c r="M872" s="6"/>
      <c r="N872" s="6"/>
      <c r="O872" s="6">
        <v>8</v>
      </c>
      <c r="P872" s="6"/>
      <c r="Q872" s="6"/>
      <c r="R872" s="6"/>
      <c r="S872" s="35">
        <f>SUM(F872:R872)</f>
        <v>14</v>
      </c>
      <c r="T872" s="35">
        <f>COUNT(F872:R872)</f>
        <v>2</v>
      </c>
      <c r="U872" s="36">
        <f>IF(T872&gt;=2,ROUND((IF(T872=2,0.55,IF(T872&lt;=4,0.7,IF(T872&lt;=6,0.8,IF(T872&lt;=9,0.9,1))))*(S872/T872)+(1-(IF(T872=2,0.55,IF(T872&lt;=4,0.7,IF(T872&lt;=6,0.8,IF(T872&lt;=9,0.9,1))))))*$Y$1),1),"")</f>
        <v>7.5</v>
      </c>
      <c r="V872" s="37">
        <v>5</v>
      </c>
      <c r="W872" s="38"/>
    </row>
    <row r="873" ht="24" customHeight="1" spans="1:23" x14ac:dyDescent="0.25">
      <c r="A873" s="31">
        <v>200</v>
      </c>
      <c r="B873" s="32" t="s">
        <v>954</v>
      </c>
      <c r="C873" s="33" t="s">
        <v>24</v>
      </c>
      <c r="D873" s="34">
        <v>2011</v>
      </c>
      <c r="E873" s="34" t="s">
        <v>27</v>
      </c>
      <c r="F873" s="6"/>
      <c r="G873" s="6">
        <v>9</v>
      </c>
      <c r="H873" s="6">
        <v>8</v>
      </c>
      <c r="I873" s="6"/>
      <c r="J873" s="6">
        <v>10</v>
      </c>
      <c r="K873" s="6">
        <v>4</v>
      </c>
      <c r="L873" s="6"/>
      <c r="M873" s="6"/>
      <c r="N873" s="6"/>
      <c r="O873" s="6"/>
      <c r="P873" s="6">
        <v>10</v>
      </c>
      <c r="Q873" s="6">
        <v>4</v>
      </c>
      <c r="R873" s="6"/>
      <c r="S873" s="35">
        <f>SUM(F873:R873)</f>
        <v>45</v>
      </c>
      <c r="T873" s="35">
        <f>COUNT(F873:R873)</f>
        <v>6</v>
      </c>
      <c r="U873" s="36">
        <f>IF(T873&gt;=2,ROUND((IF(T873=2,0.55,IF(T873&lt;=4,0.7,IF(T873&lt;=6,0.8,IF(T873&lt;=9,0.9,1))))*(S873/T873)+(1-(IF(T873=2,0.55,IF(T873&lt;=4,0.7,IF(T873&lt;=6,0.8,IF(T873&lt;=9,0.9,1))))))*$Y$1),1),"")</f>
        <v>7.6</v>
      </c>
      <c r="V873" s="37">
        <v>7.8</v>
      </c>
      <c r="W873" s="38"/>
    </row>
    <row r="874" ht="47.25" customHeight="1" spans="1:23" x14ac:dyDescent="0.25">
      <c r="A874" s="31">
        <v>184</v>
      </c>
      <c r="B874" s="32" t="s">
        <v>955</v>
      </c>
      <c r="C874" s="33" t="s">
        <v>24</v>
      </c>
      <c r="D874" s="34">
        <v>2014</v>
      </c>
      <c r="E874" s="34" t="s">
        <v>30</v>
      </c>
      <c r="F874" s="6"/>
      <c r="G874" s="6"/>
      <c r="H874" s="6"/>
      <c r="I874" s="6"/>
      <c r="J874" s="6"/>
      <c r="K874" s="6">
        <v>8</v>
      </c>
      <c r="L874" s="6"/>
      <c r="M874" s="6"/>
      <c r="N874" s="6"/>
      <c r="O874" s="6"/>
      <c r="P874" s="6"/>
      <c r="Q874" s="6">
        <v>8</v>
      </c>
      <c r="R874" s="6"/>
      <c r="S874" s="35">
        <f>SUM(F874:R874)</f>
        <v>16</v>
      </c>
      <c r="T874" s="35">
        <f>COUNT(F874:R874)</f>
        <v>2</v>
      </c>
      <c r="U874" s="36">
        <f>IF(T874&gt;=2,ROUND((IF(T874=2,0.55,IF(T874&lt;=4,0.7,IF(T874&lt;=6,0.8,IF(T874&lt;=9,0.9,1))))*(S874/T874)+(1-(IF(T874=2,0.55,IF(T874&lt;=4,0.7,IF(T874&lt;=6,0.8,IF(T874&lt;=9,0.9,1))))))*$Y$1),1),"")</f>
        <v>8</v>
      </c>
      <c r="V874" s="37">
        <v>6</v>
      </c>
      <c r="W874" s="38"/>
    </row>
    <row r="875" ht="24" customHeight="1" spans="1:23" x14ac:dyDescent="0.25">
      <c r="A875" s="31">
        <v>1093</v>
      </c>
      <c r="B875" s="32" t="s">
        <v>956</v>
      </c>
      <c r="C875" s="33" t="s">
        <v>24</v>
      </c>
      <c r="D875" s="34">
        <v>2016</v>
      </c>
      <c r="E875" s="34" t="s">
        <v>27</v>
      </c>
      <c r="F875" s="6"/>
      <c r="G875" s="6">
        <v>8</v>
      </c>
      <c r="H875" s="6"/>
      <c r="I875" s="6"/>
      <c r="J875" s="6"/>
      <c r="K875" s="6"/>
      <c r="L875" s="6"/>
      <c r="M875" s="6"/>
      <c r="N875" s="6"/>
      <c r="O875" s="6"/>
      <c r="P875" s="6">
        <v>8</v>
      </c>
      <c r="Q875" s="6"/>
      <c r="R875" s="6"/>
      <c r="S875" s="35">
        <f>SUM(F875:R875)</f>
        <v>16</v>
      </c>
      <c r="T875" s="35">
        <f>COUNT(F875:R875)</f>
        <v>2</v>
      </c>
      <c r="U875" s="36">
        <f>IF(T875&gt;=2,ROUND((IF(T875=2,0.55,IF(T875&lt;=4,0.7,IF(T875&lt;=6,0.8,IF(T875&lt;=9,0.9,1))))*(S875/T875)+(1-(IF(T875=2,0.55,IF(T875&lt;=4,0.7,IF(T875&lt;=6,0.8,IF(T875&lt;=9,0.9,1))))))*$Y$1),1),"")</f>
        <v>8</v>
      </c>
      <c r="V875" s="37">
        <v>7.7</v>
      </c>
      <c r="W875" s="38"/>
    </row>
    <row r="876" ht="24" customHeight="1" spans="1:23" x14ac:dyDescent="0.25">
      <c r="A876" s="31">
        <v>456</v>
      </c>
      <c r="B876" s="32" t="s">
        <v>957</v>
      </c>
      <c r="C876" s="33" t="s">
        <v>24</v>
      </c>
      <c r="D876" s="34">
        <v>1970</v>
      </c>
      <c r="E876" s="34" t="s">
        <v>43</v>
      </c>
      <c r="F876" s="6"/>
      <c r="G876" s="6"/>
      <c r="H876" s="6"/>
      <c r="I876" s="6"/>
      <c r="J876" s="6"/>
      <c r="K876" s="6"/>
      <c r="L876" s="6"/>
      <c r="M876" s="6"/>
      <c r="N876" s="6">
        <v>8</v>
      </c>
      <c r="O876" s="6"/>
      <c r="P876" s="6"/>
      <c r="Q876" s="6"/>
      <c r="R876" s="6"/>
      <c r="S876" s="35">
        <f>SUM(F876:R876)</f>
        <v>8</v>
      </c>
      <c r="T876" s="35">
        <f>COUNT(F876:R876)</f>
        <v>1</v>
      </c>
      <c r="U876" s="36">
        <f>IF(T876&gt;=2,ROUND((IF(T876=2,0.55,IF(T876&lt;=4,0.7,IF(T876&lt;=6,0.8,IF(T876&lt;=9,0.9,1))))*(S876/T876)+(1-(IF(T876=2,0.55,IF(T876&lt;=4,0.7,IF(T876&lt;=6,0.8,IF(T876&lt;=9,0.9,1))))))*$Y$1),1),"")</f>
      </c>
      <c r="V876" s="37">
        <v>6.8</v>
      </c>
      <c r="W876" s="38"/>
    </row>
    <row r="877" ht="24" customHeight="1" spans="1:23" x14ac:dyDescent="0.25">
      <c r="A877" s="31">
        <v>612</v>
      </c>
      <c r="B877" s="32" t="s">
        <v>958</v>
      </c>
      <c r="C877" s="33" t="s">
        <v>24</v>
      </c>
      <c r="D877" s="34">
        <v>2014</v>
      </c>
      <c r="E877" s="34" t="s">
        <v>30</v>
      </c>
      <c r="F877" s="6"/>
      <c r="G877" s="6"/>
      <c r="H877" s="6"/>
      <c r="I877" s="6"/>
      <c r="J877" s="6"/>
      <c r="K877" s="6"/>
      <c r="L877" s="6">
        <v>8</v>
      </c>
      <c r="M877" s="6"/>
      <c r="N877" s="6"/>
      <c r="O877" s="6"/>
      <c r="P877" s="6"/>
      <c r="Q877" s="6"/>
      <c r="R877" s="6"/>
      <c r="S877" s="35">
        <f>SUM(F877:R877)</f>
        <v>8</v>
      </c>
      <c r="T877" s="35">
        <f>COUNT(F877:R877)</f>
        <v>1</v>
      </c>
      <c r="U877" s="36">
        <f>IF(T877&gt;=2,ROUND((IF(T877=2,0.55,IF(T877&lt;=4,0.7,IF(T877&lt;=6,0.8,IF(T877&lt;=9,0.9,1))))*(S877/T877)+(1-(IF(T877=2,0.55,IF(T877&lt;=4,0.7,IF(T877&lt;=6,0.8,IF(T877&lt;=9,0.9,1))))))*$Y$1),1),"")</f>
      </c>
      <c r="V877" s="37">
        <v>6.9</v>
      </c>
      <c r="W877" s="38"/>
    </row>
    <row r="878" ht="24" customHeight="1" spans="1:23" x14ac:dyDescent="0.25">
      <c r="A878" s="31">
        <v>609</v>
      </c>
      <c r="B878" s="32" t="s">
        <v>959</v>
      </c>
      <c r="C878" s="33" t="s">
        <v>24</v>
      </c>
      <c r="D878" s="34">
        <v>2006</v>
      </c>
      <c r="E878" s="34" t="s">
        <v>30</v>
      </c>
      <c r="F878" s="6">
        <v>8</v>
      </c>
      <c r="G878" s="6">
        <v>8</v>
      </c>
      <c r="H878" s="6"/>
      <c r="I878" s="6"/>
      <c r="J878" s="6"/>
      <c r="K878" s="6">
        <v>8</v>
      </c>
      <c r="L878" s="6">
        <v>8</v>
      </c>
      <c r="M878" s="6">
        <v>8</v>
      </c>
      <c r="N878" s="6"/>
      <c r="O878" s="6"/>
      <c r="P878" s="6">
        <v>8</v>
      </c>
      <c r="Q878" s="6">
        <v>8</v>
      </c>
      <c r="R878" s="6"/>
      <c r="S878" s="35">
        <f>SUM(F878:R878)</f>
        <v>56</v>
      </c>
      <c r="T878" s="35">
        <f>COUNT(F878:R878)</f>
        <v>7</v>
      </c>
      <c r="U878" s="36">
        <f>IF(T878&gt;=2,ROUND((IF(T878=2,0.55,IF(T878&lt;=4,0.7,IF(T878&lt;=6,0.8,IF(T878&lt;=9,0.9,1))))*(S878/T878)+(1-(IF(T878=2,0.55,IF(T878&lt;=4,0.7,IF(T878&lt;=6,0.8,IF(T878&lt;=9,0.9,1))))))*$Y$1),1),"")</f>
        <v>8</v>
      </c>
      <c r="V878" s="37">
        <v>7</v>
      </c>
      <c r="W878" s="38"/>
    </row>
    <row r="879" ht="24" customHeight="1" spans="1:23" x14ac:dyDescent="0.25">
      <c r="A879" s="31">
        <v>1692</v>
      </c>
      <c r="B879" s="32" t="s">
        <v>960</v>
      </c>
      <c r="C879" s="33" t="s">
        <v>24</v>
      </c>
      <c r="D879" s="34">
        <v>2014</v>
      </c>
      <c r="E879" s="34" t="s">
        <v>81</v>
      </c>
      <c r="F879" s="6">
        <v>7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35">
        <f>SUM(F879:R879)</f>
        <v>7</v>
      </c>
      <c r="T879" s="35">
        <f>COUNT(F879:R879)</f>
        <v>1</v>
      </c>
      <c r="U879" s="36">
        <f>IF(T879&gt;=2,ROUND((IF(T879=2,0.55,IF(T879&lt;=4,0.7,IF(T879&lt;=6,0.8,IF(T879&lt;=9,0.9,1))))*(S879/T879)+(1-(IF(T879=2,0.55,IF(T879&lt;=4,0.7,IF(T879&lt;=6,0.8,IF(T879&lt;=9,0.9,1))))))*$Y$1),1),"")</f>
      </c>
      <c r="V879" s="37">
        <v>6.7</v>
      </c>
      <c r="W879" s="38"/>
    </row>
    <row r="880" ht="24" customHeight="1" spans="1:23" x14ac:dyDescent="0.25">
      <c r="A880" s="31">
        <v>894</v>
      </c>
      <c r="B880" s="32" t="s">
        <v>961</v>
      </c>
      <c r="C880" s="33" t="s">
        <v>24</v>
      </c>
      <c r="D880" s="34">
        <v>2020</v>
      </c>
      <c r="E880" s="34" t="s">
        <v>27</v>
      </c>
      <c r="F880" s="6"/>
      <c r="G880" s="6"/>
      <c r="H880" s="6"/>
      <c r="I880" s="6"/>
      <c r="J880" s="6"/>
      <c r="K880" s="6">
        <v>6</v>
      </c>
      <c r="L880" s="6">
        <v>8</v>
      </c>
      <c r="M880" s="6"/>
      <c r="N880" s="6"/>
      <c r="O880" s="6"/>
      <c r="P880" s="6"/>
      <c r="Q880" s="6">
        <v>6</v>
      </c>
      <c r="R880" s="6"/>
      <c r="S880" s="35">
        <f>SUM(F880:R880)</f>
        <v>20</v>
      </c>
      <c r="T880" s="35">
        <f>COUNT(F880:R880)</f>
        <v>3</v>
      </c>
      <c r="U880" s="36">
        <f>IF(T880&gt;=2,ROUND((IF(T880=2,0.55,IF(T880&lt;=4,0.7,IF(T880&lt;=6,0.8,IF(T880&lt;=9,0.9,1))))*(S880/T880)+(1-(IF(T880=2,0.55,IF(T880&lt;=4,0.7,IF(T880&lt;=6,0.8,IF(T880&lt;=9,0.9,1))))))*$Y$1),1),"")</f>
        <v>7.1</v>
      </c>
      <c r="V880" s="37">
        <v>6.8</v>
      </c>
      <c r="W880" s="38"/>
    </row>
    <row r="881" ht="24" customHeight="1" spans="1:23" x14ac:dyDescent="0.25">
      <c r="A881" s="31">
        <v>725</v>
      </c>
      <c r="B881" s="32" t="s">
        <v>962</v>
      </c>
      <c r="C881" s="33" t="s">
        <v>24</v>
      </c>
      <c r="D881" s="34">
        <v>2017</v>
      </c>
      <c r="E881" s="34" t="s">
        <v>27</v>
      </c>
      <c r="F881" s="6"/>
      <c r="G881" s="6"/>
      <c r="H881" s="6"/>
      <c r="I881" s="6"/>
      <c r="J881" s="6">
        <v>6</v>
      </c>
      <c r="K881" s="6"/>
      <c r="L881" s="6"/>
      <c r="M881" s="6"/>
      <c r="N881" s="6"/>
      <c r="O881" s="6"/>
      <c r="P881" s="6"/>
      <c r="Q881" s="6"/>
      <c r="R881" s="6"/>
      <c r="S881" s="35">
        <f>SUM(F881:R881)</f>
        <v>6</v>
      </c>
      <c r="T881" s="35">
        <f>COUNT(F881:R881)</f>
        <v>1</v>
      </c>
      <c r="U881" s="36">
        <f>IF(T881&gt;=2,ROUND((IF(T881=2,0.55,IF(T881&lt;=4,0.7,IF(T881&lt;=6,0.8,IF(T881&lt;=9,0.9,1))))*(S881/T881)+(1-(IF(T881=2,0.55,IF(T881&lt;=4,0.7,IF(T881&lt;=6,0.8,IF(T881&lt;=9,0.9,1))))))*$Y$1),1),"")</f>
      </c>
      <c r="V881" s="37">
        <v>6.2</v>
      </c>
      <c r="W881" s="38"/>
    </row>
    <row r="882" ht="24" customHeight="1" spans="1:23" x14ac:dyDescent="0.25">
      <c r="A882" s="31">
        <v>1452</v>
      </c>
      <c r="B882" s="32" t="s">
        <v>963</v>
      </c>
      <c r="C882" s="33" t="s">
        <v>24</v>
      </c>
      <c r="D882" s="34">
        <v>2022</v>
      </c>
      <c r="E882" s="34" t="s">
        <v>30</v>
      </c>
      <c r="F882" s="6">
        <v>8</v>
      </c>
      <c r="G882" s="6"/>
      <c r="H882" s="6"/>
      <c r="I882" s="6"/>
      <c r="J882" s="6">
        <v>8</v>
      </c>
      <c r="K882" s="6">
        <v>8</v>
      </c>
      <c r="L882" s="6">
        <v>8</v>
      </c>
      <c r="M882" s="6"/>
      <c r="N882" s="6"/>
      <c r="O882" s="6">
        <v>8</v>
      </c>
      <c r="P882" s="6"/>
      <c r="Q882" s="6">
        <v>8</v>
      </c>
      <c r="R882" s="6">
        <v>8</v>
      </c>
      <c r="S882" s="35">
        <f>SUM(F882:R882)</f>
        <v>56</v>
      </c>
      <c r="T882" s="35">
        <f>COUNT(F882:R882)</f>
        <v>7</v>
      </c>
      <c r="U882" s="36">
        <f>IF(T882&gt;=2,ROUND((IF(T882=2,0.55,IF(T882&lt;=4,0.7,IF(T882&lt;=6,0.8,IF(T882&lt;=9,0.9,1))))*(S882/T882)+(1-(IF(T882=2,0.55,IF(T882&lt;=4,0.7,IF(T882&lt;=6,0.8,IF(T882&lt;=9,0.9,1))))))*$Y$1),1),"")</f>
        <v>8</v>
      </c>
      <c r="V882" s="37">
        <v>6.6</v>
      </c>
      <c r="W882" s="38"/>
    </row>
    <row r="883" ht="24" customHeight="1" spans="1:23" x14ac:dyDescent="0.25">
      <c r="A883" s="31">
        <v>916</v>
      </c>
      <c r="B883" s="32" t="s">
        <v>964</v>
      </c>
      <c r="C883" s="33" t="s">
        <v>24</v>
      </c>
      <c r="D883" s="34">
        <v>2012</v>
      </c>
      <c r="E883" s="34" t="s">
        <v>27</v>
      </c>
      <c r="F883" s="6">
        <v>8</v>
      </c>
      <c r="G883" s="6">
        <v>8</v>
      </c>
      <c r="H883" s="6">
        <v>8</v>
      </c>
      <c r="I883" s="6"/>
      <c r="J883" s="6"/>
      <c r="K883" s="6">
        <v>8</v>
      </c>
      <c r="L883" s="6">
        <v>8</v>
      </c>
      <c r="M883" s="6"/>
      <c r="N883" s="6"/>
      <c r="O883" s="6">
        <v>8</v>
      </c>
      <c r="P883" s="6"/>
      <c r="Q883" s="6">
        <v>8</v>
      </c>
      <c r="R883" s="6"/>
      <c r="S883" s="35">
        <f>SUM(F883:R883)</f>
        <v>56</v>
      </c>
      <c r="T883" s="35">
        <f>COUNT(F883:R883)</f>
        <v>7</v>
      </c>
      <c r="U883" s="36">
        <f>IF(T883&gt;=2,ROUND((IF(T883=2,0.55,IF(T883&lt;=4,0.7,IF(T883&lt;=6,0.8,IF(T883&lt;=9,0.9,1))))*(S883/T883)+(1-(IF(T883=2,0.55,IF(T883&lt;=4,0.7,IF(T883&lt;=6,0.8,IF(T883&lt;=9,0.9,1))))))*$Y$1),1),"")</f>
        <v>8</v>
      </c>
      <c r="V883" s="37">
        <v>7.5</v>
      </c>
      <c r="W883" s="38"/>
    </row>
    <row r="884" ht="24" customHeight="1" spans="1:23" x14ac:dyDescent="0.25">
      <c r="A884" s="31">
        <v>279</v>
      </c>
      <c r="B884" s="32" t="s">
        <v>965</v>
      </c>
      <c r="C884" s="33" t="s">
        <v>24</v>
      </c>
      <c r="D884" s="34">
        <v>1992</v>
      </c>
      <c r="E884" s="34" t="s">
        <v>25</v>
      </c>
      <c r="F884" s="6">
        <v>8</v>
      </c>
      <c r="G884" s="6">
        <v>8</v>
      </c>
      <c r="H884" s="6"/>
      <c r="I884" s="6"/>
      <c r="J884" s="6">
        <v>8</v>
      </c>
      <c r="K884" s="6">
        <v>8</v>
      </c>
      <c r="L884" s="6">
        <v>8</v>
      </c>
      <c r="M884" s="6"/>
      <c r="N884" s="6"/>
      <c r="O884" s="6"/>
      <c r="P884" s="6">
        <v>8</v>
      </c>
      <c r="Q884" s="6">
        <v>8</v>
      </c>
      <c r="R884" s="6"/>
      <c r="S884" s="35">
        <f>SUM(F884:R884)</f>
        <v>56</v>
      </c>
      <c r="T884" s="35">
        <f>COUNT(F884:R884)</f>
        <v>7</v>
      </c>
      <c r="U884" s="36">
        <f>IF(T884&gt;=2,ROUND((IF(T884=2,0.55,IF(T884&lt;=4,0.7,IF(T884&lt;=6,0.8,IF(T884&lt;=9,0.9,1))))*(S884/T884)+(1-(IF(T884=2,0.55,IF(T884&lt;=4,0.7,IF(T884&lt;=6,0.8,IF(T884&lt;=9,0.9,1))))))*$Y$1),1),"")</f>
        <v>8</v>
      </c>
      <c r="V884" s="37">
        <v>6.8</v>
      </c>
      <c r="W884" s="38"/>
    </row>
    <row r="885" ht="24" customHeight="1" spans="1:23" x14ac:dyDescent="0.25">
      <c r="A885" s="31">
        <v>844</v>
      </c>
      <c r="B885" s="32" t="s">
        <v>966</v>
      </c>
      <c r="C885" s="33" t="s">
        <v>29</v>
      </c>
      <c r="D885" s="34">
        <v>2018</v>
      </c>
      <c r="E885" s="34" t="s">
        <v>30</v>
      </c>
      <c r="F885" s="6"/>
      <c r="G885" s="6"/>
      <c r="H885" s="6"/>
      <c r="I885" s="6"/>
      <c r="J885" s="6">
        <v>8</v>
      </c>
      <c r="K885" s="6"/>
      <c r="L885" s="6"/>
      <c r="M885" s="6"/>
      <c r="N885" s="6"/>
      <c r="O885" s="6"/>
      <c r="P885" s="6"/>
      <c r="Q885" s="6"/>
      <c r="R885" s="6"/>
      <c r="S885" s="35">
        <f>SUM(F885:R885)</f>
        <v>8</v>
      </c>
      <c r="T885" s="35">
        <f>COUNT(F885:R885)</f>
        <v>1</v>
      </c>
      <c r="U885" s="36">
        <f>IF(T885&gt;=2,ROUND((IF(T885=2,0.55,IF(T885&lt;=4,0.7,IF(T885&lt;=6,0.8,IF(T885&lt;=9,0.9,1))))*(S885/T885)+(1-(IF(T885=2,0.55,IF(T885&lt;=4,0.7,IF(T885&lt;=6,0.8,IF(T885&lt;=9,0.9,1))))))*$Y$1),1),"")</f>
      </c>
      <c r="V885" s="37">
        <v>7.7</v>
      </c>
      <c r="W885" s="38"/>
    </row>
    <row r="886" ht="24" customHeight="1" spans="1:23" x14ac:dyDescent="0.25">
      <c r="A886" s="31">
        <v>1581</v>
      </c>
      <c r="B886" s="32" t="s">
        <v>967</v>
      </c>
      <c r="C886" s="33" t="s">
        <v>24</v>
      </c>
      <c r="D886" s="34">
        <v>2022</v>
      </c>
      <c r="E886" s="34" t="s">
        <v>69</v>
      </c>
      <c r="F886" s="6">
        <v>7</v>
      </c>
      <c r="G886" s="6"/>
      <c r="H886" s="6"/>
      <c r="I886" s="6"/>
      <c r="J886" s="6">
        <v>8</v>
      </c>
      <c r="K886" s="6"/>
      <c r="L886" s="6"/>
      <c r="M886" s="6"/>
      <c r="N886" s="6"/>
      <c r="O886" s="6">
        <v>7</v>
      </c>
      <c r="P886" s="6"/>
      <c r="Q886" s="6"/>
      <c r="R886" s="6"/>
      <c r="S886" s="35">
        <f>SUM(F886:R886)</f>
        <v>22</v>
      </c>
      <c r="T886" s="35">
        <f>COUNT(F886:R886)</f>
        <v>3</v>
      </c>
      <c r="U886" s="36">
        <f>IF(T886&gt;=2,ROUND((IF(T886=2,0.55,IF(T886&lt;=4,0.7,IF(T886&lt;=6,0.8,IF(T886&lt;=9,0.9,1))))*(S886/T886)+(1-(IF(T886=2,0.55,IF(T886&lt;=4,0.7,IF(T886&lt;=6,0.8,IF(T886&lt;=9,0.9,1))))))*$Y$1),1),"")</f>
        <v>7.6</v>
      </c>
      <c r="V886" s="37">
        <v>7.2</v>
      </c>
      <c r="W886" s="38"/>
    </row>
    <row r="887" ht="24" customHeight="1" spans="1:23" x14ac:dyDescent="0.25">
      <c r="A887" s="40">
        <v>2407</v>
      </c>
      <c r="B887" s="32" t="s">
        <v>968</v>
      </c>
      <c r="C887" s="33" t="s">
        <v>24</v>
      </c>
      <c r="D887" s="34">
        <v>2025</v>
      </c>
      <c r="E887" s="41"/>
      <c r="F887" s="6">
        <v>7</v>
      </c>
      <c r="G887" s="6">
        <v>7</v>
      </c>
      <c r="H887" s="6"/>
      <c r="I887" s="6">
        <v>9</v>
      </c>
      <c r="J887" s="6">
        <v>7</v>
      </c>
      <c r="K887" s="6">
        <v>9</v>
      </c>
      <c r="L887" s="6">
        <v>8</v>
      </c>
      <c r="M887" s="6"/>
      <c r="N887" s="6"/>
      <c r="O887" s="6"/>
      <c r="P887" s="6">
        <v>7</v>
      </c>
      <c r="Q887" s="6">
        <v>9</v>
      </c>
      <c r="R887" s="6"/>
      <c r="S887" s="35">
        <f>SUM(F887:R887)</f>
        <v>63</v>
      </c>
      <c r="T887" s="35">
        <f>COUNT(F887:R887)</f>
        <v>8</v>
      </c>
      <c r="U887" s="36">
        <f>IF(T887&gt;=2,ROUND((IF(T887=2,0.55,IF(T887&lt;=4,0.7,IF(T887&lt;=6,0.8,IF(T887&lt;=9,0.9,1))))*(S887/T887)+(1-(IF(T887=2,0.55,IF(T887&lt;=4,0.7,IF(T887&lt;=6,0.8,IF(T887&lt;=9,0.9,1))))))*$Y$1),1),"")</f>
        <v>7.9</v>
      </c>
      <c r="V887" s="37">
        <v>7.2</v>
      </c>
      <c r="W887" s="38"/>
    </row>
    <row r="888" ht="24" customHeight="1" spans="1:23" x14ac:dyDescent="0.25">
      <c r="A888" s="31">
        <v>1597</v>
      </c>
      <c r="B888" s="32" t="s">
        <v>969</v>
      </c>
      <c r="C888" s="33" t="s">
        <v>29</v>
      </c>
      <c r="D888" s="34">
        <v>2023</v>
      </c>
      <c r="E888" s="34" t="s">
        <v>30</v>
      </c>
      <c r="F888" s="6">
        <v>7</v>
      </c>
      <c r="G888" s="6"/>
      <c r="H888" s="6"/>
      <c r="I888" s="6"/>
      <c r="J888" s="6">
        <v>8</v>
      </c>
      <c r="K888" s="6"/>
      <c r="L888" s="6">
        <v>8</v>
      </c>
      <c r="M888" s="6">
        <v>8</v>
      </c>
      <c r="N888" s="6">
        <v>8</v>
      </c>
      <c r="O888" s="6"/>
      <c r="P888" s="6"/>
      <c r="Q888" s="6"/>
      <c r="R888" s="6"/>
      <c r="S888" s="35">
        <f>SUM(F888:R888)</f>
        <v>39</v>
      </c>
      <c r="T888" s="35">
        <f>COUNT(F888:R888)</f>
        <v>5</v>
      </c>
      <c r="U888" s="36">
        <f>IF(T888&gt;=2,ROUND((IF(T888=2,0.55,IF(T888&lt;=4,0.7,IF(T888&lt;=6,0.8,IF(T888&lt;=9,0.9,1))))*(S888/T888)+(1-(IF(T888=2,0.55,IF(T888&lt;=4,0.7,IF(T888&lt;=6,0.8,IF(T888&lt;=9,0.9,1))))))*$Y$1),1),"")</f>
        <v>7.9</v>
      </c>
      <c r="V888" s="37">
        <v>7.4</v>
      </c>
      <c r="W888" s="38"/>
    </row>
    <row r="889" ht="24" customHeight="1" spans="1:23" x14ac:dyDescent="0.25">
      <c r="A889" s="31">
        <v>954</v>
      </c>
      <c r="B889" s="32" t="s">
        <v>970</v>
      </c>
      <c r="C889" s="33" t="s">
        <v>114</v>
      </c>
      <c r="D889" s="34">
        <v>2003</v>
      </c>
      <c r="E889" s="34" t="s">
        <v>25</v>
      </c>
      <c r="F889" s="6"/>
      <c r="G889" s="6">
        <v>8</v>
      </c>
      <c r="H889" s="6"/>
      <c r="I889" s="6"/>
      <c r="J889" s="6">
        <v>8</v>
      </c>
      <c r="K889" s="6"/>
      <c r="L889" s="6"/>
      <c r="M889" s="6"/>
      <c r="N889" s="6"/>
      <c r="O889" s="6"/>
      <c r="P889" s="6">
        <v>8</v>
      </c>
      <c r="Q889" s="6"/>
      <c r="R889" s="6"/>
      <c r="S889" s="35">
        <f>SUM(F889:R889)</f>
        <v>24</v>
      </c>
      <c r="T889" s="35">
        <f>COUNT(F889:R889)</f>
        <v>3</v>
      </c>
      <c r="U889" s="36">
        <f>IF(T889&gt;=2,ROUND((IF(T889=2,0.55,IF(T889&lt;=4,0.7,IF(T889&lt;=6,0.8,IF(T889&lt;=9,0.9,1))))*(S889/T889)+(1-(IF(T889=2,0.55,IF(T889&lt;=4,0.7,IF(T889&lt;=6,0.8,IF(T889&lt;=9,0.9,1))))))*$Y$1),1),"")</f>
        <v>8</v>
      </c>
      <c r="V889" s="37">
        <v>7.6</v>
      </c>
      <c r="W889" s="38"/>
    </row>
    <row r="890" ht="24" customHeight="1" spans="1:23" x14ac:dyDescent="0.25">
      <c r="A890" s="31">
        <v>87</v>
      </c>
      <c r="B890" s="32" t="s">
        <v>971</v>
      </c>
      <c r="C890" s="33" t="s">
        <v>24</v>
      </c>
      <c r="D890" s="34">
        <v>1997</v>
      </c>
      <c r="E890" s="34" t="s">
        <v>179</v>
      </c>
      <c r="F890" s="6">
        <v>10</v>
      </c>
      <c r="G890" s="6">
        <v>8</v>
      </c>
      <c r="H890" s="6"/>
      <c r="I890" s="6">
        <v>10</v>
      </c>
      <c r="J890" s="6"/>
      <c r="K890" s="6">
        <v>6</v>
      </c>
      <c r="L890" s="6">
        <v>10</v>
      </c>
      <c r="M890" s="6">
        <v>10</v>
      </c>
      <c r="N890" s="6"/>
      <c r="O890" s="6"/>
      <c r="P890" s="6">
        <v>10</v>
      </c>
      <c r="Q890" s="6">
        <v>6</v>
      </c>
      <c r="R890" s="6"/>
      <c r="S890" s="35">
        <f>SUM(F890:R890)</f>
        <v>70</v>
      </c>
      <c r="T890" s="35">
        <f>COUNT(F890:R890)</f>
        <v>8</v>
      </c>
      <c r="U890" s="36">
        <f>IF(T890&gt;=2,ROUND((IF(T890=2,0.55,IF(T890&lt;=4,0.7,IF(T890&lt;=6,0.8,IF(T890&lt;=9,0.9,1))))*(S890/T890)+(1-(IF(T890=2,0.55,IF(T890&lt;=4,0.7,IF(T890&lt;=6,0.8,IF(T890&lt;=9,0.9,1))))))*$Y$1),1),"")</f>
        <v>8.7</v>
      </c>
      <c r="V890" s="37">
        <v>7.5</v>
      </c>
      <c r="W890" s="38"/>
    </row>
    <row r="891" ht="24" customHeight="1" spans="1:23" x14ac:dyDescent="0.25">
      <c r="A891" s="31">
        <v>515</v>
      </c>
      <c r="B891" s="32" t="s">
        <v>972</v>
      </c>
      <c r="C891" s="33" t="s">
        <v>24</v>
      </c>
      <c r="D891" s="34">
        <v>2014</v>
      </c>
      <c r="E891" s="34" t="s">
        <v>106</v>
      </c>
      <c r="F891" s="6"/>
      <c r="G891" s="6">
        <v>8</v>
      </c>
      <c r="H891" s="6"/>
      <c r="I891" s="6"/>
      <c r="J891" s="6"/>
      <c r="K891" s="6"/>
      <c r="L891" s="6"/>
      <c r="M891" s="6"/>
      <c r="N891" s="6"/>
      <c r="O891" s="6"/>
      <c r="P891" s="6">
        <v>8</v>
      </c>
      <c r="Q891" s="6"/>
      <c r="R891" s="6"/>
      <c r="S891" s="35">
        <f>SUM(F891:R891)</f>
        <v>16</v>
      </c>
      <c r="T891" s="35">
        <f>COUNT(F891:R891)</f>
        <v>2</v>
      </c>
      <c r="U891" s="36">
        <f>IF(T891&gt;=2,ROUND((IF(T891=2,0.55,IF(T891&lt;=4,0.7,IF(T891&lt;=6,0.8,IF(T891&lt;=9,0.9,1))))*(S891/T891)+(1-(IF(T891=2,0.55,IF(T891&lt;=4,0.7,IF(T891&lt;=6,0.8,IF(T891&lt;=9,0.9,1))))))*$Y$1),1),"")</f>
        <v>8</v>
      </c>
      <c r="V891" s="37">
        <v>7.8</v>
      </c>
      <c r="W891" s="38"/>
    </row>
    <row r="892" ht="47.25" customHeight="1" spans="1:23" x14ac:dyDescent="0.25">
      <c r="A892" s="31">
        <v>1690</v>
      </c>
      <c r="B892" s="32" t="s">
        <v>973</v>
      </c>
      <c r="C892" s="33" t="s">
        <v>24</v>
      </c>
      <c r="D892" s="34">
        <v>2023</v>
      </c>
      <c r="E892" s="34" t="s">
        <v>30</v>
      </c>
      <c r="F892" s="6">
        <v>8</v>
      </c>
      <c r="G892" s="6"/>
      <c r="H892" s="6"/>
      <c r="I892" s="6">
        <v>8</v>
      </c>
      <c r="J892" s="6">
        <v>8</v>
      </c>
      <c r="K892" s="6">
        <v>8</v>
      </c>
      <c r="L892" s="6"/>
      <c r="M892" s="6"/>
      <c r="N892" s="6"/>
      <c r="O892" s="6">
        <v>8</v>
      </c>
      <c r="P892" s="6"/>
      <c r="Q892" s="6">
        <v>8</v>
      </c>
      <c r="R892" s="6"/>
      <c r="S892" s="35">
        <f>SUM(F892:R892)</f>
        <v>48</v>
      </c>
      <c r="T892" s="35">
        <f>COUNT(F892:R892)</f>
        <v>6</v>
      </c>
      <c r="U892" s="36">
        <f>IF(T892&gt;=2,ROUND((IF(T892=2,0.55,IF(T892&lt;=4,0.7,IF(T892&lt;=6,0.8,IF(T892&lt;=9,0.9,1))))*(S892/T892)+(1-(IF(T892=2,0.55,IF(T892&lt;=4,0.7,IF(T892&lt;=6,0.8,IF(T892&lt;=9,0.9,1))))))*$Y$1),1),"")</f>
        <v>8</v>
      </c>
      <c r="V892" s="37">
        <v>7.1</v>
      </c>
      <c r="W892" s="38"/>
    </row>
    <row r="893" ht="24" customHeight="1" spans="1:23" x14ac:dyDescent="0.25">
      <c r="A893" s="31">
        <v>2478</v>
      </c>
      <c r="B893" s="32" t="s">
        <v>974</v>
      </c>
      <c r="C893" s="33" t="s">
        <v>24</v>
      </c>
      <c r="D893" s="34">
        <v>2025</v>
      </c>
      <c r="E893" s="41"/>
      <c r="F893" s="6">
        <v>9</v>
      </c>
      <c r="G893" s="6">
        <v>7</v>
      </c>
      <c r="H893" s="6">
        <v>9</v>
      </c>
      <c r="I893" s="6">
        <v>10</v>
      </c>
      <c r="J893" s="6">
        <v>10</v>
      </c>
      <c r="K893" s="6">
        <v>9</v>
      </c>
      <c r="L893" s="6">
        <v>10</v>
      </c>
      <c r="M893" s="6"/>
      <c r="N893" s="6">
        <v>9</v>
      </c>
      <c r="O893" s="6"/>
      <c r="P893" s="6"/>
      <c r="Q893" s="6">
        <v>9</v>
      </c>
      <c r="R893" s="6">
        <v>10</v>
      </c>
      <c r="S893" s="35">
        <f>SUM(F893:R893)</f>
        <v>92</v>
      </c>
      <c r="T893" s="35">
        <f>COUNT(F893:R893)</f>
        <v>10</v>
      </c>
      <c r="U893" s="36">
        <f>IF(T893&gt;=2,ROUND((IF(T893=2,0.55,IF(T893&lt;=4,0.7,IF(T893&lt;=6,0.8,IF(T893&lt;=9,0.9,1))))*(S893/T893)+(1-(IF(T893=2,0.55,IF(T893&lt;=4,0.7,IF(T893&lt;=6,0.8,IF(T893&lt;=9,0.9,1))))))*$Y$1),1),"")</f>
        <v>9.2</v>
      </c>
      <c r="V893" s="37">
        <v>7.3</v>
      </c>
      <c r="W893" s="38"/>
    </row>
    <row r="894" ht="24" customHeight="1" spans="1:23" x14ac:dyDescent="0.25">
      <c r="A894" s="40">
        <v>2324</v>
      </c>
      <c r="B894" s="32" t="s">
        <v>975</v>
      </c>
      <c r="C894" s="33" t="s">
        <v>24</v>
      </c>
      <c r="D894" s="34">
        <v>2020</v>
      </c>
      <c r="E894" s="41"/>
      <c r="F894" s="6"/>
      <c r="G894" s="6">
        <v>8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35">
        <f>SUM(F894:R894)</f>
        <v>8</v>
      </c>
      <c r="T894" s="35">
        <f>COUNT(F894:R894)</f>
        <v>1</v>
      </c>
      <c r="U894" s="36">
        <f>IF(T894&gt;=2,ROUND((IF(T894=2,0.55,IF(T894&lt;=4,0.7,IF(T894&lt;=6,0.8,IF(T894&lt;=9,0.9,1))))*(S894/T894)+(1-(IF(T894=2,0.55,IF(T894&lt;=4,0.7,IF(T894&lt;=6,0.8,IF(T894&lt;=9,0.9,1))))))*$Y$1),1),"")</f>
      </c>
      <c r="V894" s="37">
        <v>7.3</v>
      </c>
      <c r="W894" s="38"/>
    </row>
    <row r="895" ht="24" customHeight="1" spans="1:23" x14ac:dyDescent="0.25">
      <c r="A895" s="31">
        <v>290</v>
      </c>
      <c r="B895" s="32" t="s">
        <v>976</v>
      </c>
      <c r="C895" s="33" t="s">
        <v>24</v>
      </c>
      <c r="D895" s="34">
        <v>2002</v>
      </c>
      <c r="E895" s="34" t="s">
        <v>30</v>
      </c>
      <c r="F895" s="6">
        <v>8</v>
      </c>
      <c r="G895" s="6"/>
      <c r="H895" s="6">
        <v>8</v>
      </c>
      <c r="I895" s="6"/>
      <c r="J895" s="6">
        <v>8</v>
      </c>
      <c r="K895" s="6">
        <v>8</v>
      </c>
      <c r="L895" s="6"/>
      <c r="M895" s="6">
        <v>8</v>
      </c>
      <c r="N895" s="6"/>
      <c r="O895" s="6">
        <v>8</v>
      </c>
      <c r="P895" s="6"/>
      <c r="Q895" s="6">
        <v>8</v>
      </c>
      <c r="R895" s="6"/>
      <c r="S895" s="35">
        <f>SUM(F895:R895)</f>
        <v>56</v>
      </c>
      <c r="T895" s="35">
        <f>COUNT(F895:R895)</f>
        <v>7</v>
      </c>
      <c r="U895" s="36">
        <f>IF(T895&gt;=2,ROUND((IF(T895=2,0.55,IF(T895&lt;=4,0.7,IF(T895&lt;=6,0.8,IF(T895&lt;=9,0.9,1))))*(S895/T895)+(1-(IF(T895=2,0.55,IF(T895&lt;=4,0.7,IF(T895&lt;=6,0.8,IF(T895&lt;=9,0.9,1))))))*$Y$1),1),"")</f>
        <v>8</v>
      </c>
      <c r="V895" s="37">
        <v>5.8</v>
      </c>
      <c r="W895" s="38"/>
    </row>
    <row r="896" ht="24" customHeight="1" spans="1:23" x14ac:dyDescent="0.25">
      <c r="A896" s="47">
        <v>1387</v>
      </c>
      <c r="B896" s="32" t="s">
        <v>977</v>
      </c>
      <c r="C896" s="48" t="s">
        <v>24</v>
      </c>
      <c r="D896" s="49">
        <v>2018</v>
      </c>
      <c r="E896" s="49" t="s">
        <v>30</v>
      </c>
      <c r="F896" s="6">
        <v>9</v>
      </c>
      <c r="G896" s="6"/>
      <c r="H896" s="6">
        <v>8</v>
      </c>
      <c r="I896" s="6">
        <v>8</v>
      </c>
      <c r="J896" s="6">
        <v>10</v>
      </c>
      <c r="K896" s="6"/>
      <c r="L896" s="6">
        <v>10</v>
      </c>
      <c r="M896" s="6">
        <v>10</v>
      </c>
      <c r="N896" s="6">
        <v>10</v>
      </c>
      <c r="O896" s="6">
        <v>8</v>
      </c>
      <c r="P896" s="6">
        <v>8</v>
      </c>
      <c r="Q896" s="6"/>
      <c r="R896" s="6"/>
      <c r="S896" s="50">
        <f>SUM(F896:R896)</f>
        <v>81</v>
      </c>
      <c r="T896" s="50">
        <f>COUNT(F896:R896)</f>
        <v>9</v>
      </c>
      <c r="U896" s="36">
        <f>IF(T896&gt;=2,ROUND((IF(T896=2,0.55,IF(T896&lt;=4,0.7,IF(T896&lt;=6,0.8,IF(T896&lt;=9,0.9,1))))*(S896/T896)+(1-(IF(T896=2,0.55,IF(T896&lt;=4,0.7,IF(T896&lt;=6,0.8,IF(T896&lt;=9,0.9,1))))))*$Y$1),1),"")</f>
        <v>8.9</v>
      </c>
      <c r="V896" s="37">
        <v>7.1</v>
      </c>
      <c r="W896" s="38" t="s">
        <v>44</v>
      </c>
    </row>
    <row r="897" ht="24" customHeight="1" spans="1:23" x14ac:dyDescent="0.25">
      <c r="A897" s="47">
        <v>1074</v>
      </c>
      <c r="B897" s="32" t="s">
        <v>978</v>
      </c>
      <c r="C897" s="48" t="s">
        <v>24</v>
      </c>
      <c r="D897" s="49">
        <v>2018</v>
      </c>
      <c r="E897" s="49" t="s">
        <v>760</v>
      </c>
      <c r="F897" s="6">
        <v>8</v>
      </c>
      <c r="G897" s="6">
        <v>8</v>
      </c>
      <c r="H897" s="6">
        <v>8</v>
      </c>
      <c r="I897" s="6">
        <v>10</v>
      </c>
      <c r="J897" s="6">
        <v>10</v>
      </c>
      <c r="K897" s="6">
        <v>10</v>
      </c>
      <c r="L897" s="6">
        <v>10</v>
      </c>
      <c r="M897" s="6"/>
      <c r="N897" s="6"/>
      <c r="O897" s="6">
        <v>10</v>
      </c>
      <c r="P897" s="6">
        <v>6</v>
      </c>
      <c r="Q897" s="6">
        <v>10</v>
      </c>
      <c r="R897" s="6">
        <v>8</v>
      </c>
      <c r="S897" s="50">
        <f>SUM(F897:R897)</f>
        <v>98</v>
      </c>
      <c r="T897" s="50">
        <f>COUNT(F897:R897)</f>
        <v>11</v>
      </c>
      <c r="U897" s="36">
        <f>IF(T897&gt;=2,ROUND((IF(T897=2,0.55,IF(T897&lt;=4,0.7,IF(T897&lt;=6,0.8,IF(T897&lt;=9,0.9,1))))*(S897/T897)+(1-(IF(T897=2,0.55,IF(T897&lt;=4,0.7,IF(T897&lt;=6,0.8,IF(T897&lt;=9,0.9,1))))))*$Y$1),1),"")</f>
        <v>8.9</v>
      </c>
      <c r="V897" s="37">
        <v>7.7</v>
      </c>
      <c r="W897" s="38" t="s">
        <v>44</v>
      </c>
    </row>
    <row r="898" ht="24" customHeight="1" spans="1:23" x14ac:dyDescent="0.25">
      <c r="A898" s="31">
        <v>1950</v>
      </c>
      <c r="B898" s="32" t="s">
        <v>979</v>
      </c>
      <c r="C898" s="33" t="s">
        <v>24</v>
      </c>
      <c r="D898" s="34">
        <v>2024</v>
      </c>
      <c r="E898" s="34" t="s">
        <v>30</v>
      </c>
      <c r="F898" s="6">
        <v>8</v>
      </c>
      <c r="G898" s="6"/>
      <c r="H898" s="6">
        <v>8</v>
      </c>
      <c r="I898" s="6"/>
      <c r="J898" s="6">
        <v>9</v>
      </c>
      <c r="K898" s="6"/>
      <c r="L898" s="6">
        <v>9</v>
      </c>
      <c r="M898" s="6"/>
      <c r="N898" s="6"/>
      <c r="O898" s="6">
        <v>8</v>
      </c>
      <c r="P898" s="6">
        <v>8</v>
      </c>
      <c r="Q898" s="6"/>
      <c r="R898" s="6"/>
      <c r="S898" s="35">
        <f>SUM(F898:R898)</f>
        <v>50</v>
      </c>
      <c r="T898" s="35">
        <f>COUNT(F898:R898)</f>
        <v>6</v>
      </c>
      <c r="U898" s="36">
        <f>IF(T898&gt;=2,ROUND((IF(T898=2,0.55,IF(T898&lt;=4,0.7,IF(T898&lt;=6,0.8,IF(T898&lt;=9,0.9,1))))*(S898/T898)+(1-(IF(T898=2,0.55,IF(T898&lt;=4,0.7,IF(T898&lt;=6,0.8,IF(T898&lt;=9,0.9,1))))))*$Y$1),1),"")</f>
        <v>8.3</v>
      </c>
      <c r="V898" s="37">
        <v>7.5</v>
      </c>
      <c r="W898" s="38"/>
    </row>
    <row r="899" ht="24" customHeight="1" spans="1:23" x14ac:dyDescent="0.25">
      <c r="A899" s="31">
        <v>964</v>
      </c>
      <c r="B899" s="32" t="s">
        <v>980</v>
      </c>
      <c r="C899" s="33" t="s">
        <v>24</v>
      </c>
      <c r="D899" s="34">
        <v>2009</v>
      </c>
      <c r="E899" s="34" t="s">
        <v>27</v>
      </c>
      <c r="F899" s="6"/>
      <c r="G899" s="6"/>
      <c r="H899" s="6"/>
      <c r="I899" s="6"/>
      <c r="J899" s="6"/>
      <c r="K899" s="6">
        <v>8</v>
      </c>
      <c r="L899" s="6"/>
      <c r="M899" s="6"/>
      <c r="N899" s="6"/>
      <c r="O899" s="6"/>
      <c r="P899" s="6"/>
      <c r="Q899" s="6">
        <v>8</v>
      </c>
      <c r="R899" s="6"/>
      <c r="S899" s="35">
        <f>SUM(F899:R899)</f>
        <v>16</v>
      </c>
      <c r="T899" s="35">
        <f>COUNT(F899:R899)</f>
        <v>2</v>
      </c>
      <c r="U899" s="36">
        <f>IF(T899&gt;=2,ROUND((IF(T899=2,0.55,IF(T899&lt;=4,0.7,IF(T899&lt;=6,0.8,IF(T899&lt;=9,0.9,1))))*(S899/T899)+(1-(IF(T899=2,0.55,IF(T899&lt;=4,0.7,IF(T899&lt;=6,0.8,IF(T899&lt;=9,0.9,1))))))*$Y$1),1),"")</f>
        <v>8</v>
      </c>
      <c r="V899" s="37">
        <v>6.3</v>
      </c>
      <c r="W899" s="38"/>
    </row>
    <row r="900" ht="24" customHeight="1" spans="1:23" x14ac:dyDescent="0.25">
      <c r="A900" s="31">
        <v>281</v>
      </c>
      <c r="B900" s="32" t="s">
        <v>981</v>
      </c>
      <c r="C900" s="33" t="s">
        <v>24</v>
      </c>
      <c r="D900" s="34">
        <v>2017</v>
      </c>
      <c r="E900" s="34" t="s">
        <v>30</v>
      </c>
      <c r="F900" s="6"/>
      <c r="G900" s="6"/>
      <c r="H900" s="6">
        <v>6</v>
      </c>
      <c r="I900" s="6"/>
      <c r="J900" s="6">
        <v>8</v>
      </c>
      <c r="K900" s="6">
        <v>6</v>
      </c>
      <c r="L900" s="6">
        <v>6</v>
      </c>
      <c r="M900" s="6"/>
      <c r="N900" s="6"/>
      <c r="O900" s="6"/>
      <c r="P900" s="6"/>
      <c r="Q900" s="6">
        <v>6</v>
      </c>
      <c r="R900" s="6"/>
      <c r="S900" s="35">
        <f>SUM(F900:R900)</f>
        <v>32</v>
      </c>
      <c r="T900" s="35">
        <f>COUNT(F900:R900)</f>
        <v>5</v>
      </c>
      <c r="U900" s="36">
        <f>IF(T900&gt;=2,ROUND((IF(T900=2,0.55,IF(T900&lt;=4,0.7,IF(T900&lt;=6,0.8,IF(T900&lt;=9,0.9,1))))*(S900/T900)+(1-(IF(T900=2,0.55,IF(T900&lt;=4,0.7,IF(T900&lt;=6,0.8,IF(T900&lt;=9,0.9,1))))))*$Y$1),1),"")</f>
        <v>6.7</v>
      </c>
      <c r="V900" s="37"/>
      <c r="W900" s="38"/>
    </row>
    <row r="901" ht="24" customHeight="1" spans="1:23" x14ac:dyDescent="0.25">
      <c r="A901" s="31">
        <v>153</v>
      </c>
      <c r="B901" s="32" t="s">
        <v>982</v>
      </c>
      <c r="C901" s="33" t="s">
        <v>24</v>
      </c>
      <c r="D901" s="34">
        <v>2000</v>
      </c>
      <c r="E901" s="34" t="s">
        <v>137</v>
      </c>
      <c r="F901" s="6"/>
      <c r="G901" s="6">
        <v>8</v>
      </c>
      <c r="H901" s="6"/>
      <c r="I901" s="6"/>
      <c r="J901" s="6">
        <v>8</v>
      </c>
      <c r="K901" s="6">
        <v>8</v>
      </c>
      <c r="L901" s="6"/>
      <c r="M901" s="6"/>
      <c r="N901" s="6"/>
      <c r="O901" s="6"/>
      <c r="P901" s="6"/>
      <c r="Q901" s="6">
        <v>8</v>
      </c>
      <c r="R901" s="6"/>
      <c r="S901" s="35">
        <f>SUM(F901:R901)</f>
        <v>32</v>
      </c>
      <c r="T901" s="35">
        <f>COUNT(F901:R901)</f>
        <v>4</v>
      </c>
      <c r="U901" s="36">
        <f>IF(T901&gt;=2,ROUND((IF(T901=2,0.55,IF(T901&lt;=4,0.7,IF(T901&lt;=6,0.8,IF(T901&lt;=9,0.9,1))))*(S901/T901)+(1-(IF(T901=2,0.55,IF(T901&lt;=4,0.7,IF(T901&lt;=6,0.8,IF(T901&lt;=9,0.9,1))))))*$Y$1),1),"")</f>
        <v>8</v>
      </c>
      <c r="V901" s="37">
        <v>7.9</v>
      </c>
      <c r="W901" s="38"/>
    </row>
    <row r="902" ht="24" customHeight="1" spans="1:23" x14ac:dyDescent="0.25">
      <c r="A902" s="31">
        <v>1131</v>
      </c>
      <c r="B902" s="32" t="s">
        <v>983</v>
      </c>
      <c r="C902" s="33" t="s">
        <v>24</v>
      </c>
      <c r="D902" s="34">
        <v>2008</v>
      </c>
      <c r="E902" s="34" t="s">
        <v>27</v>
      </c>
      <c r="F902" s="6"/>
      <c r="G902" s="6"/>
      <c r="H902" s="6"/>
      <c r="I902" s="6"/>
      <c r="J902" s="6"/>
      <c r="K902" s="6"/>
      <c r="L902" s="6"/>
      <c r="M902" s="6"/>
      <c r="N902" s="6"/>
      <c r="O902" s="6">
        <v>10</v>
      </c>
      <c r="P902" s="6"/>
      <c r="Q902" s="6"/>
      <c r="R902" s="6"/>
      <c r="S902" s="35">
        <f>SUM(F902:R902)</f>
        <v>10</v>
      </c>
      <c r="T902" s="35">
        <f>COUNT(F902:R902)</f>
        <v>1</v>
      </c>
      <c r="U902" s="36">
        <f>IF(T902&gt;=2,ROUND((IF(T902=2,0.55,IF(T902&lt;=4,0.7,IF(T902&lt;=6,0.8,IF(T902&lt;=9,0.9,1))))*(S902/T902)+(1-(IF(T902=2,0.55,IF(T902&lt;=4,0.7,IF(T902&lt;=6,0.8,IF(T902&lt;=9,0.9,1))))))*$Y$1),1),"")</f>
      </c>
      <c r="V902" s="37">
        <v>7.1</v>
      </c>
      <c r="W902" s="38"/>
    </row>
    <row r="903" ht="24" customHeight="1" spans="1:23" x14ac:dyDescent="0.25">
      <c r="A903" s="31">
        <v>514</v>
      </c>
      <c r="B903" s="32" t="s">
        <v>984</v>
      </c>
      <c r="C903" s="33" t="s">
        <v>24</v>
      </c>
      <c r="D903" s="34">
        <v>2011</v>
      </c>
      <c r="E903" s="34" t="s">
        <v>43</v>
      </c>
      <c r="F903" s="6"/>
      <c r="G903" s="6">
        <v>8</v>
      </c>
      <c r="H903" s="6"/>
      <c r="I903" s="6"/>
      <c r="J903" s="6"/>
      <c r="K903" s="6"/>
      <c r="L903" s="6"/>
      <c r="M903" s="6"/>
      <c r="N903" s="6"/>
      <c r="O903" s="6"/>
      <c r="P903" s="6">
        <v>8</v>
      </c>
      <c r="Q903" s="6"/>
      <c r="R903" s="6"/>
      <c r="S903" s="35">
        <f>SUM(F903:R903)</f>
        <v>16</v>
      </c>
      <c r="T903" s="35">
        <f>COUNT(F903:R903)</f>
        <v>2</v>
      </c>
      <c r="U903" s="36">
        <f>IF(T903&gt;=2,ROUND((IF(T903=2,0.55,IF(T903&lt;=4,0.7,IF(T903&lt;=6,0.8,IF(T903&lt;=9,0.9,1))))*(S903/T903)+(1-(IF(T903=2,0.55,IF(T903&lt;=4,0.7,IF(T903&lt;=6,0.8,IF(T903&lt;=9,0.9,1))))))*$Y$1),1),"")</f>
        <v>8</v>
      </c>
      <c r="V903" s="37">
        <v>7.1</v>
      </c>
      <c r="W903" s="38"/>
    </row>
    <row r="904" ht="24" customHeight="1" spans="1:23" x14ac:dyDescent="0.25">
      <c r="A904" s="40">
        <v>2155</v>
      </c>
      <c r="B904" s="32" t="s">
        <v>985</v>
      </c>
      <c r="C904" s="33" t="s">
        <v>24</v>
      </c>
      <c r="D904" s="34">
        <v>2005</v>
      </c>
      <c r="E904" s="41"/>
      <c r="F904" s="6"/>
      <c r="G904" s="6">
        <v>7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35">
        <f>SUM(F904:R904)</f>
        <v>7</v>
      </c>
      <c r="T904" s="35">
        <f>COUNT(F904:R904)</f>
        <v>1</v>
      </c>
      <c r="U904" s="36">
        <f>IF(T904&gt;=2,ROUND((IF(T904=2,0.55,IF(T904&lt;=4,0.7,IF(T904&lt;=6,0.8,IF(T904&lt;=9,0.9,1))))*(S904/T904)+(1-(IF(T904=2,0.55,IF(T904&lt;=4,0.7,IF(T904&lt;=6,0.8,IF(T904&lt;=9,0.9,1))))))*$Y$1),1),"")</f>
      </c>
      <c r="V904" s="37">
        <v>6.9</v>
      </c>
      <c r="W904" s="38"/>
    </row>
    <row r="905" ht="24" customHeight="1" spans="1:23" x14ac:dyDescent="0.25">
      <c r="A905" s="31">
        <v>156</v>
      </c>
      <c r="B905" s="32" t="s">
        <v>986</v>
      </c>
      <c r="C905" s="33" t="s">
        <v>24</v>
      </c>
      <c r="D905" s="34">
        <v>2017</v>
      </c>
      <c r="E905" s="34" t="s">
        <v>30</v>
      </c>
      <c r="F905" s="6">
        <v>8</v>
      </c>
      <c r="G905" s="6">
        <v>8</v>
      </c>
      <c r="H905" s="6">
        <v>6</v>
      </c>
      <c r="I905" s="6">
        <v>8</v>
      </c>
      <c r="J905" s="6">
        <v>8</v>
      </c>
      <c r="K905" s="6">
        <v>10</v>
      </c>
      <c r="L905" s="6">
        <v>8</v>
      </c>
      <c r="M905" s="6">
        <v>6</v>
      </c>
      <c r="N905" s="6">
        <v>6</v>
      </c>
      <c r="O905" s="6">
        <v>8</v>
      </c>
      <c r="P905" s="6">
        <v>8</v>
      </c>
      <c r="Q905" s="6">
        <v>10</v>
      </c>
      <c r="R905" s="6">
        <v>10</v>
      </c>
      <c r="S905" s="35">
        <f>SUM(F905:R905)</f>
        <v>104</v>
      </c>
      <c r="T905" s="35">
        <f>COUNT(F905:R905)</f>
        <v>13</v>
      </c>
      <c r="U905" s="36">
        <f>IF(T905&gt;=2,ROUND((IF(T905=2,0.55,IF(T905&lt;=4,0.7,IF(T905&lt;=6,0.8,IF(T905&lt;=9,0.9,1))))*(S905/T905)+(1-(IF(T905=2,0.55,IF(T905&lt;=4,0.7,IF(T905&lt;=6,0.8,IF(T905&lt;=9,0.9,1))))))*$Y$1),1),"")</f>
        <v>8</v>
      </c>
      <c r="V905" s="37">
        <v>6.9</v>
      </c>
      <c r="W905" s="38"/>
    </row>
    <row r="906" ht="24" customHeight="1" spans="1:23" x14ac:dyDescent="0.25">
      <c r="A906" s="31">
        <v>1856</v>
      </c>
      <c r="B906" s="32" t="s">
        <v>987</v>
      </c>
      <c r="C906" s="33" t="s">
        <v>24</v>
      </c>
      <c r="D906" s="34">
        <v>2015</v>
      </c>
      <c r="E906" s="34" t="s">
        <v>25</v>
      </c>
      <c r="F906" s="6"/>
      <c r="G906" s="6">
        <v>6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35">
        <f>SUM(F906:R906)</f>
        <v>6</v>
      </c>
      <c r="T906" s="35">
        <f>COUNT(F906:R906)</f>
        <v>1</v>
      </c>
      <c r="U906" s="36">
        <f>IF(T906&gt;=2,ROUND((IF(T906=2,0.55,IF(T906&lt;=4,0.7,IF(T906&lt;=6,0.8,IF(T906&lt;=9,0.9,1))))*(S906/T906)+(1-(IF(T906=2,0.55,IF(T906&lt;=4,0.7,IF(T906&lt;=6,0.8,IF(T906&lt;=9,0.9,1))))))*$Y$1),1),"")</f>
      </c>
      <c r="V906" s="37">
        <v>7.6</v>
      </c>
      <c r="W906" s="38"/>
    </row>
    <row r="907" ht="24" customHeight="1" spans="1:23" x14ac:dyDescent="0.25">
      <c r="A907" s="40">
        <v>2350</v>
      </c>
      <c r="B907" s="32" t="s">
        <v>988</v>
      </c>
      <c r="C907" s="33" t="s">
        <v>24</v>
      </c>
      <c r="D907" s="34">
        <v>2023</v>
      </c>
      <c r="E907" s="41"/>
      <c r="F907" s="6"/>
      <c r="G907" s="6"/>
      <c r="H907" s="6"/>
      <c r="I907" s="6"/>
      <c r="J907" s="6"/>
      <c r="K907" s="6"/>
      <c r="L907" s="6"/>
      <c r="M907" s="6">
        <v>7</v>
      </c>
      <c r="N907" s="6"/>
      <c r="O907" s="6"/>
      <c r="P907" s="6"/>
      <c r="Q907" s="6"/>
      <c r="R907" s="6"/>
      <c r="S907" s="35">
        <f>SUM(F907:R907)</f>
        <v>7</v>
      </c>
      <c r="T907" s="35">
        <f>COUNT(F907:R907)</f>
        <v>1</v>
      </c>
      <c r="U907" s="36">
        <f>IF(T907&gt;=2,ROUND((IF(T907=2,0.55,IF(T907&lt;=4,0.7,IF(T907&lt;=6,0.8,IF(T907&lt;=9,0.9,1))))*(S907/T907)+(1-(IF(T907=2,0.55,IF(T907&lt;=4,0.7,IF(T907&lt;=6,0.8,IF(T907&lt;=9,0.9,1))))))*$Y$1),1),"")</f>
      </c>
      <c r="V907" s="37">
        <v>6.1</v>
      </c>
      <c r="W907" s="38"/>
    </row>
    <row r="908" ht="24" customHeight="1" spans="1:23" x14ac:dyDescent="0.25">
      <c r="A908" s="31">
        <v>2026</v>
      </c>
      <c r="B908" s="32" t="s">
        <v>989</v>
      </c>
      <c r="C908" s="33" t="s">
        <v>29</v>
      </c>
      <c r="D908" s="34">
        <v>2004</v>
      </c>
      <c r="E908" s="41"/>
      <c r="F908" s="6"/>
      <c r="G908" s="6"/>
      <c r="H908" s="6">
        <v>8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35">
        <f>SUM(F908:R908)</f>
        <v>8</v>
      </c>
      <c r="T908" s="35">
        <f>COUNT(F908:R908)</f>
        <v>1</v>
      </c>
      <c r="U908" s="36">
        <f>IF(T908&gt;=2,ROUND((IF(T908=2,0.55,IF(T908&lt;=4,0.7,IF(T908&lt;=6,0.8,IF(T908&lt;=9,0.9,1))))*(S908/T908)+(1-(IF(T908=2,0.55,IF(T908&lt;=4,0.7,IF(T908&lt;=6,0.8,IF(T908&lt;=9,0.9,1))))))*$Y$1),1),"")</f>
      </c>
      <c r="V908" s="37">
        <v>8.5</v>
      </c>
      <c r="W908" s="38"/>
    </row>
    <row r="909" ht="24" customHeight="1" spans="1:23" x14ac:dyDescent="0.25">
      <c r="A909" s="31">
        <v>662</v>
      </c>
      <c r="B909" s="32" t="s">
        <v>990</v>
      </c>
      <c r="C909" s="33" t="s">
        <v>24</v>
      </c>
      <c r="D909" s="34">
        <v>2016</v>
      </c>
      <c r="E909" s="34" t="s">
        <v>52</v>
      </c>
      <c r="F909" s="6"/>
      <c r="G909" s="6"/>
      <c r="H909" s="6"/>
      <c r="I909" s="6"/>
      <c r="J909" s="6"/>
      <c r="K909" s="6">
        <v>6</v>
      </c>
      <c r="L909" s="6"/>
      <c r="M909" s="6"/>
      <c r="N909" s="6"/>
      <c r="O909" s="6"/>
      <c r="P909" s="6"/>
      <c r="Q909" s="6">
        <v>6</v>
      </c>
      <c r="R909" s="6"/>
      <c r="S909" s="35">
        <f>SUM(F909:R909)</f>
        <v>12</v>
      </c>
      <c r="T909" s="35">
        <f>COUNT(F909:R909)</f>
        <v>2</v>
      </c>
      <c r="U909" s="36">
        <f>IF(T909&gt;=2,ROUND((IF(T909=2,0.55,IF(T909&lt;=4,0.7,IF(T909&lt;=6,0.8,IF(T909&lt;=9,0.9,1))))*(S909/T909)+(1-(IF(T909=2,0.55,IF(T909&lt;=4,0.7,IF(T909&lt;=6,0.8,IF(T909&lt;=9,0.9,1))))))*$Y$1),1),"")</f>
        <v>6.9</v>
      </c>
      <c r="V909" s="37">
        <v>6.1</v>
      </c>
      <c r="W909" s="38"/>
    </row>
    <row r="910" ht="24" customHeight="1" spans="1:23" x14ac:dyDescent="0.25">
      <c r="A910" s="31">
        <v>1679</v>
      </c>
      <c r="B910" s="32" t="s">
        <v>991</v>
      </c>
      <c r="C910" s="33" t="s">
        <v>29</v>
      </c>
      <c r="D910" s="34">
        <v>2020</v>
      </c>
      <c r="E910" s="34" t="s">
        <v>81</v>
      </c>
      <c r="F910" s="6"/>
      <c r="G910" s="6"/>
      <c r="H910" s="6"/>
      <c r="I910" s="6"/>
      <c r="J910" s="6"/>
      <c r="K910" s="6"/>
      <c r="L910" s="6">
        <v>10</v>
      </c>
      <c r="M910" s="6"/>
      <c r="N910" s="6"/>
      <c r="O910" s="6"/>
      <c r="P910" s="6"/>
      <c r="Q910" s="6"/>
      <c r="R910" s="6"/>
      <c r="S910" s="35">
        <f>SUM(F910:R910)</f>
        <v>10</v>
      </c>
      <c r="T910" s="35">
        <f>COUNT(F910:R910)</f>
        <v>1</v>
      </c>
      <c r="U910" s="36">
        <f>IF(T910&gt;=2,ROUND((IF(T910=2,0.55,IF(T910&lt;=4,0.7,IF(T910&lt;=6,0.8,IF(T910&lt;=9,0.9,1))))*(S910/T910)+(1-(IF(T910=2,0.55,IF(T910&lt;=4,0.7,IF(T910&lt;=6,0.8,IF(T910&lt;=9,0.9,1))))))*$Y$1),1),"")</f>
      </c>
      <c r="V910" s="37">
        <v>8.4</v>
      </c>
      <c r="W910" s="38"/>
    </row>
    <row r="911" ht="24" customHeight="1" spans="1:23" x14ac:dyDescent="0.25">
      <c r="A911" s="31">
        <v>1751</v>
      </c>
      <c r="B911" s="32" t="s">
        <v>992</v>
      </c>
      <c r="C911" s="33" t="s">
        <v>24</v>
      </c>
      <c r="D911" s="34">
        <v>2023</v>
      </c>
      <c r="E911" s="34" t="s">
        <v>81</v>
      </c>
      <c r="F911" s="6"/>
      <c r="G911" s="6"/>
      <c r="H911" s="6"/>
      <c r="I911" s="6"/>
      <c r="J911" s="6">
        <v>5</v>
      </c>
      <c r="K911" s="6"/>
      <c r="L911" s="6"/>
      <c r="M911" s="6"/>
      <c r="N911" s="6"/>
      <c r="O911" s="6"/>
      <c r="P911" s="6"/>
      <c r="Q911" s="6"/>
      <c r="R911" s="6"/>
      <c r="S911" s="35">
        <f>SUM(F911:R911)</f>
        <v>5</v>
      </c>
      <c r="T911" s="35">
        <f>COUNT(F911:R911)</f>
        <v>1</v>
      </c>
      <c r="U911" s="36">
        <f>IF(T911&gt;=2,ROUND((IF(T911=2,0.55,IF(T911&lt;=4,0.7,IF(T911&lt;=6,0.8,IF(T911&lt;=9,0.9,1))))*(S911/T911)+(1-(IF(T911=2,0.55,IF(T911&lt;=4,0.7,IF(T911&lt;=6,0.8,IF(T911&lt;=9,0.9,1))))))*$Y$1),1),"")</f>
      </c>
      <c r="V911" s="37">
        <v>5.7</v>
      </c>
      <c r="W911" s="38"/>
    </row>
    <row r="912" ht="24" customHeight="1" spans="1:23" x14ac:dyDescent="0.25">
      <c r="A912" s="31">
        <v>2033</v>
      </c>
      <c r="B912" s="32" t="s">
        <v>993</v>
      </c>
      <c r="C912" s="33" t="s">
        <v>24</v>
      </c>
      <c r="D912" s="34">
        <v>2025</v>
      </c>
      <c r="E912" s="41"/>
      <c r="F912" s="6">
        <v>8</v>
      </c>
      <c r="G912" s="6"/>
      <c r="H912" s="6"/>
      <c r="I912" s="6">
        <v>8</v>
      </c>
      <c r="J912" s="6"/>
      <c r="K912" s="6"/>
      <c r="L912" s="6">
        <v>7</v>
      </c>
      <c r="M912" s="6">
        <v>8</v>
      </c>
      <c r="N912" s="6"/>
      <c r="O912" s="6">
        <v>8</v>
      </c>
      <c r="P912" s="6"/>
      <c r="Q912" s="6"/>
      <c r="R912" s="6"/>
      <c r="S912" s="35">
        <f>SUM(F912:R912)</f>
        <v>39</v>
      </c>
      <c r="T912" s="35">
        <f>COUNT(F912:R912)</f>
        <v>5</v>
      </c>
      <c r="U912" s="36">
        <f>IF(T912&gt;=2,ROUND((IF(T912=2,0.55,IF(T912&lt;=4,0.7,IF(T912&lt;=6,0.8,IF(T912&lt;=9,0.9,1))))*(S912/T912)+(1-(IF(T912=2,0.55,IF(T912&lt;=4,0.7,IF(T912&lt;=6,0.8,IF(T912&lt;=9,0.9,1))))))*$Y$1),1),"")</f>
        <v>7.9</v>
      </c>
      <c r="V912" s="37">
        <v>6.8</v>
      </c>
      <c r="W912" s="38"/>
    </row>
    <row r="913" ht="24" customHeight="1" spans="1:23" x14ac:dyDescent="0.25">
      <c r="A913" s="42">
        <v>953</v>
      </c>
      <c r="B913" s="32" t="s">
        <v>994</v>
      </c>
      <c r="C913" s="43" t="s">
        <v>114</v>
      </c>
      <c r="D913" s="44">
        <v>2020</v>
      </c>
      <c r="E913" s="44" t="s">
        <v>25</v>
      </c>
      <c r="F913" s="6">
        <v>6</v>
      </c>
      <c r="G913" s="6">
        <v>8</v>
      </c>
      <c r="H913" s="6">
        <v>8</v>
      </c>
      <c r="I913" s="6">
        <v>6</v>
      </c>
      <c r="J913" s="6">
        <v>8</v>
      </c>
      <c r="K913" s="6">
        <v>8</v>
      </c>
      <c r="L913" s="6">
        <v>8</v>
      </c>
      <c r="M913" s="6">
        <v>6</v>
      </c>
      <c r="N913" s="6">
        <v>8</v>
      </c>
      <c r="O913" s="6"/>
      <c r="P913" s="6">
        <v>8</v>
      </c>
      <c r="Q913" s="6">
        <v>8</v>
      </c>
      <c r="R913" s="6">
        <v>6</v>
      </c>
      <c r="S913" s="45">
        <f>SUM(F913:R913)</f>
        <v>88</v>
      </c>
      <c r="T913" s="45">
        <f>COUNT(F913:R913)</f>
        <v>12</v>
      </c>
      <c r="U913" s="36">
        <f>IF(T913&gt;=2,ROUND((IF(T913=2,0.55,IF(T913&lt;=4,0.7,IF(T913&lt;=6,0.8,IF(T913&lt;=9,0.9,1))))*(S913/T913)+(1-(IF(T913=2,0.55,IF(T913&lt;=4,0.7,IF(T913&lt;=6,0.8,IF(T913&lt;=9,0.9,1))))))*$Y$1),1),"")</f>
        <v>7.3</v>
      </c>
      <c r="V913" s="37">
        <v>7.3</v>
      </c>
      <c r="W913" s="38" t="s">
        <v>44</v>
      </c>
    </row>
    <row r="914" ht="24" customHeight="1" spans="1:23" x14ac:dyDescent="0.25">
      <c r="A914" s="40">
        <v>2079</v>
      </c>
      <c r="B914" s="32" t="s">
        <v>995</v>
      </c>
      <c r="C914" s="33" t="s">
        <v>24</v>
      </c>
      <c r="D914" s="34">
        <v>1977</v>
      </c>
      <c r="E914" s="41"/>
      <c r="F914" s="6"/>
      <c r="G914" s="6">
        <v>7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35">
        <f>SUM(F914:R914)</f>
        <v>7</v>
      </c>
      <c r="T914" s="35">
        <f>COUNT(F914:R914)</f>
        <v>1</v>
      </c>
      <c r="U914" s="36">
        <f>IF(T914&gt;=2,ROUND((IF(T914=2,0.55,IF(T914&lt;=4,0.7,IF(T914&lt;=6,0.8,IF(T914&lt;=9,0.9,1))))*(S914/T914)+(1-(IF(T914=2,0.55,IF(T914&lt;=4,0.7,IF(T914&lt;=6,0.8,IF(T914&lt;=9,0.9,1))))))*$Y$1),1),"")</f>
      </c>
      <c r="V914" s="37">
        <v>7.9</v>
      </c>
      <c r="W914" s="38"/>
    </row>
    <row r="915" ht="24" customHeight="1" spans="1:23" s="39" customFormat="1" x14ac:dyDescent="0.25">
      <c r="A915" s="31">
        <v>620</v>
      </c>
      <c r="B915" s="32" t="s">
        <v>996</v>
      </c>
      <c r="C915" s="33" t="s">
        <v>24</v>
      </c>
      <c r="D915" s="34">
        <v>2008</v>
      </c>
      <c r="E915" s="34" t="s">
        <v>52</v>
      </c>
      <c r="F915" s="6"/>
      <c r="G915" s="6"/>
      <c r="H915" s="6"/>
      <c r="I915" s="6"/>
      <c r="J915" s="6"/>
      <c r="K915" s="6"/>
      <c r="L915" s="6">
        <v>4</v>
      </c>
      <c r="M915" s="6"/>
      <c r="N915" s="6"/>
      <c r="O915" s="6"/>
      <c r="P915" s="6"/>
      <c r="Q915" s="6"/>
      <c r="R915" s="6"/>
      <c r="S915" s="35">
        <f>SUM(F915:R915)</f>
        <v>4</v>
      </c>
      <c r="T915" s="35">
        <f>COUNT(F915:R915)</f>
        <v>1</v>
      </c>
      <c r="U915" s="36">
        <f>IF(T915&gt;=2,ROUND((IF(T915=2,0.55,IF(T915&lt;=4,0.7,IF(T915&lt;=6,0.8,IF(T915&lt;=9,0.9,1))))*(S915/T915)+(1-(IF(T915=2,0.55,IF(T915&lt;=4,0.7,IF(T915&lt;=6,0.8,IF(T915&lt;=9,0.9,1))))))*$Y$1),1),"")</f>
      </c>
      <c r="V915" s="37">
        <v>6</v>
      </c>
      <c r="W915" s="38"/>
    </row>
    <row r="916" ht="24" customHeight="1" spans="1:23" x14ac:dyDescent="0.25">
      <c r="A916" s="31">
        <v>1419</v>
      </c>
      <c r="B916" s="32" t="s">
        <v>997</v>
      </c>
      <c r="C916" s="33" t="s">
        <v>24</v>
      </c>
      <c r="D916" s="34">
        <v>2022</v>
      </c>
      <c r="E916" s="34" t="s">
        <v>141</v>
      </c>
      <c r="F916" s="6"/>
      <c r="G916" s="6"/>
      <c r="H916" s="6"/>
      <c r="I916" s="6"/>
      <c r="J916" s="6">
        <v>8</v>
      </c>
      <c r="K916" s="6"/>
      <c r="L916" s="6"/>
      <c r="M916" s="6"/>
      <c r="N916" s="6"/>
      <c r="O916" s="6">
        <v>6</v>
      </c>
      <c r="P916" s="6"/>
      <c r="Q916" s="6"/>
      <c r="R916" s="6"/>
      <c r="S916" s="35">
        <f>SUM(F916:R916)</f>
        <v>14</v>
      </c>
      <c r="T916" s="35">
        <f>COUNT(F916:R916)</f>
        <v>2</v>
      </c>
      <c r="U916" s="36">
        <f>IF(T916&gt;=2,ROUND((IF(T916=2,0.55,IF(T916&lt;=4,0.7,IF(T916&lt;=6,0.8,IF(T916&lt;=9,0.9,1))))*(S916/T916)+(1-(IF(T916=2,0.55,IF(T916&lt;=4,0.7,IF(T916&lt;=6,0.8,IF(T916&lt;=9,0.9,1))))))*$Y$1),1),"")</f>
        <v>7.5</v>
      </c>
      <c r="V916" s="37">
        <v>6.9</v>
      </c>
      <c r="W916" s="38"/>
    </row>
    <row r="917" ht="24" customHeight="1" spans="1:23" x14ac:dyDescent="0.25">
      <c r="A917" s="31">
        <v>1790</v>
      </c>
      <c r="B917" s="32" t="s">
        <v>998</v>
      </c>
      <c r="C917" s="33" t="s">
        <v>29</v>
      </c>
      <c r="D917" s="34">
        <v>2024</v>
      </c>
      <c r="E917" s="34" t="s">
        <v>30</v>
      </c>
      <c r="F917" s="6">
        <v>8</v>
      </c>
      <c r="G917" s="6"/>
      <c r="H917" s="6"/>
      <c r="I917" s="6"/>
      <c r="J917" s="6"/>
      <c r="K917" s="6"/>
      <c r="L917" s="6"/>
      <c r="M917" s="6">
        <v>8</v>
      </c>
      <c r="N917" s="6"/>
      <c r="O917" s="6">
        <v>9</v>
      </c>
      <c r="P917" s="6"/>
      <c r="Q917" s="6"/>
      <c r="R917" s="6"/>
      <c r="S917" s="35">
        <f>SUM(F917:R917)</f>
        <v>25</v>
      </c>
      <c r="T917" s="35">
        <f>COUNT(F917:R917)</f>
        <v>3</v>
      </c>
      <c r="U917" s="36">
        <f>IF(T917&gt;=2,ROUND((IF(T917=2,0.55,IF(T917&lt;=4,0.7,IF(T917&lt;=6,0.8,IF(T917&lt;=9,0.9,1))))*(S917/T917)+(1-(IF(T917=2,0.55,IF(T917&lt;=4,0.7,IF(T917&lt;=6,0.8,IF(T917&lt;=9,0.9,1))))))*$Y$1),1),"")</f>
        <v>8.3</v>
      </c>
      <c r="V917" s="37">
        <v>6.6</v>
      </c>
      <c r="W917" s="38"/>
    </row>
    <row r="918" ht="24" customHeight="1" spans="1:23" x14ac:dyDescent="0.25">
      <c r="A918" s="31">
        <v>1058</v>
      </c>
      <c r="B918" s="32" t="s">
        <v>999</v>
      </c>
      <c r="C918" s="33" t="s">
        <v>24</v>
      </c>
      <c r="D918" s="34">
        <v>2007</v>
      </c>
      <c r="E918" s="34" t="s">
        <v>30</v>
      </c>
      <c r="F918" s="6">
        <v>8</v>
      </c>
      <c r="G918" s="6"/>
      <c r="H918" s="6">
        <v>8</v>
      </c>
      <c r="I918" s="6"/>
      <c r="J918" s="6">
        <v>8</v>
      </c>
      <c r="K918" s="6">
        <v>8</v>
      </c>
      <c r="L918" s="6"/>
      <c r="M918" s="6">
        <v>8</v>
      </c>
      <c r="N918" s="6">
        <v>7</v>
      </c>
      <c r="O918" s="6"/>
      <c r="P918" s="6"/>
      <c r="Q918" s="6">
        <v>8</v>
      </c>
      <c r="R918" s="6"/>
      <c r="S918" s="35">
        <f>SUM(F918:R918)</f>
        <v>55</v>
      </c>
      <c r="T918" s="35">
        <f>COUNT(F918:R918)</f>
        <v>7</v>
      </c>
      <c r="U918" s="36">
        <f>IF(T918&gt;=2,ROUND((IF(T918=2,0.55,IF(T918&lt;=4,0.7,IF(T918&lt;=6,0.8,IF(T918&lt;=9,0.9,1))))*(S918/T918)+(1-(IF(T918=2,0.55,IF(T918&lt;=4,0.7,IF(T918&lt;=6,0.8,IF(T918&lt;=9,0.9,1))))))*$Y$1),1),"")</f>
        <v>7.9</v>
      </c>
      <c r="V918" s="37">
        <v>7.1</v>
      </c>
      <c r="W918" s="38"/>
    </row>
    <row r="919" ht="24" customHeight="1" spans="1:23" x14ac:dyDescent="0.25">
      <c r="A919" s="42">
        <v>1206</v>
      </c>
      <c r="B919" s="32" t="s">
        <v>1000</v>
      </c>
      <c r="C919" s="43" t="s">
        <v>24</v>
      </c>
      <c r="D919" s="44">
        <v>2021</v>
      </c>
      <c r="E919" s="44" t="s">
        <v>27</v>
      </c>
      <c r="F919" s="6">
        <v>8</v>
      </c>
      <c r="G919" s="6">
        <v>8</v>
      </c>
      <c r="H919" s="6">
        <v>8</v>
      </c>
      <c r="I919" s="6">
        <v>8</v>
      </c>
      <c r="J919" s="6">
        <v>8</v>
      </c>
      <c r="K919" s="6">
        <v>10</v>
      </c>
      <c r="L919" s="6">
        <v>8</v>
      </c>
      <c r="M919" s="6">
        <v>8</v>
      </c>
      <c r="N919" s="6">
        <v>8</v>
      </c>
      <c r="O919" s="6">
        <v>8</v>
      </c>
      <c r="P919" s="6">
        <v>8</v>
      </c>
      <c r="Q919" s="6">
        <v>10</v>
      </c>
      <c r="R919" s="6">
        <v>10</v>
      </c>
      <c r="S919" s="45">
        <f>SUM(F919:R919)</f>
        <v>110</v>
      </c>
      <c r="T919" s="45">
        <f>COUNT(F919:R919)</f>
        <v>13</v>
      </c>
      <c r="U919" s="36">
        <f>IF(T919&gt;=2,ROUND((IF(T919=2,0.55,IF(T919&lt;=4,0.7,IF(T919&lt;=6,0.8,IF(T919&lt;=9,0.9,1))))*(S919/T919)+(1-(IF(T919=2,0.55,IF(T919&lt;=4,0.7,IF(T919&lt;=6,0.8,IF(T919&lt;=9,0.9,1))))))*$Y$1),1),"")</f>
        <v>8.5</v>
      </c>
      <c r="V919" s="37">
        <v>8</v>
      </c>
      <c r="W919" s="38" t="s">
        <v>44</v>
      </c>
    </row>
    <row r="920" ht="24" customHeight="1" spans="1:23" x14ac:dyDescent="0.25">
      <c r="A920" s="31">
        <v>189</v>
      </c>
      <c r="B920" s="32" t="s">
        <v>1001</v>
      </c>
      <c r="C920" s="33" t="s">
        <v>24</v>
      </c>
      <c r="D920" s="34">
        <v>2018</v>
      </c>
      <c r="E920" s="34" t="s">
        <v>79</v>
      </c>
      <c r="F920" s="6"/>
      <c r="G920" s="6"/>
      <c r="H920" s="6">
        <v>8</v>
      </c>
      <c r="I920" s="6"/>
      <c r="J920" s="6">
        <v>8</v>
      </c>
      <c r="K920" s="6">
        <v>8</v>
      </c>
      <c r="L920" s="6"/>
      <c r="M920" s="6"/>
      <c r="N920" s="6"/>
      <c r="O920" s="6"/>
      <c r="P920" s="6"/>
      <c r="Q920" s="6">
        <v>8</v>
      </c>
      <c r="R920" s="6"/>
      <c r="S920" s="35">
        <f>SUM(F920:R920)</f>
        <v>32</v>
      </c>
      <c r="T920" s="35">
        <f>COUNT(F920:R920)</f>
        <v>4</v>
      </c>
      <c r="U920" s="36">
        <f>IF(T920&gt;=2,ROUND((IF(T920=2,0.55,IF(T920&lt;=4,0.7,IF(T920&lt;=6,0.8,IF(T920&lt;=9,0.9,1))))*(S920/T920)+(1-(IF(T920=2,0.55,IF(T920&lt;=4,0.7,IF(T920&lt;=6,0.8,IF(T920&lt;=9,0.9,1))))))*$Y$1),1),"")</f>
        <v>8</v>
      </c>
      <c r="V920" s="37">
        <v>6.9</v>
      </c>
      <c r="W920" s="38"/>
    </row>
    <row r="921" ht="24" customHeight="1" spans="1:23" x14ac:dyDescent="0.25">
      <c r="A921" s="31">
        <v>175</v>
      </c>
      <c r="B921" s="32" t="s">
        <v>1002</v>
      </c>
      <c r="C921" s="33" t="s">
        <v>24</v>
      </c>
      <c r="D921" s="34">
        <v>1973</v>
      </c>
      <c r="E921" s="34" t="s">
        <v>33</v>
      </c>
      <c r="F921" s="6"/>
      <c r="G921" s="6">
        <v>10</v>
      </c>
      <c r="H921" s="6"/>
      <c r="I921" s="6"/>
      <c r="J921" s="6"/>
      <c r="K921" s="6"/>
      <c r="L921" s="6"/>
      <c r="M921" s="6"/>
      <c r="N921" s="6"/>
      <c r="O921" s="6"/>
      <c r="P921" s="6">
        <v>8</v>
      </c>
      <c r="Q921" s="6"/>
      <c r="R921" s="6"/>
      <c r="S921" s="35">
        <f>SUM(F921:R921)</f>
        <v>18</v>
      </c>
      <c r="T921" s="35">
        <f>COUNT(F921:R921)</f>
        <v>2</v>
      </c>
      <c r="U921" s="36">
        <f>IF(T921&gt;=2,ROUND((IF(T921=2,0.55,IF(T921&lt;=4,0.7,IF(T921&lt;=6,0.8,IF(T921&lt;=9,0.9,1))))*(S921/T921)+(1-(IF(T921=2,0.55,IF(T921&lt;=4,0.7,IF(T921&lt;=6,0.8,IF(T921&lt;=9,0.9,1))))))*$Y$1),1),"")</f>
        <v>8.6</v>
      </c>
      <c r="V921" s="37">
        <v>7</v>
      </c>
      <c r="W921" s="38"/>
    </row>
    <row r="922" ht="24" customHeight="1" spans="1:23" x14ac:dyDescent="0.25">
      <c r="A922" s="31">
        <v>1020</v>
      </c>
      <c r="B922" s="32" t="s">
        <v>1003</v>
      </c>
      <c r="C922" s="33" t="s">
        <v>24</v>
      </c>
      <c r="D922" s="34">
        <v>2020</v>
      </c>
      <c r="E922" s="34" t="s">
        <v>27</v>
      </c>
      <c r="F922" s="6"/>
      <c r="G922" s="6"/>
      <c r="H922" s="6"/>
      <c r="I922" s="6"/>
      <c r="J922" s="6">
        <v>6</v>
      </c>
      <c r="K922" s="6"/>
      <c r="L922" s="6"/>
      <c r="M922" s="6"/>
      <c r="N922" s="6"/>
      <c r="O922" s="6"/>
      <c r="P922" s="6"/>
      <c r="Q922" s="6"/>
      <c r="R922" s="6"/>
      <c r="S922" s="35">
        <f>SUM(F922:R922)</f>
        <v>6</v>
      </c>
      <c r="T922" s="35">
        <f>COUNT(F922:R922)</f>
        <v>1</v>
      </c>
      <c r="U922" s="36">
        <f>IF(T922&gt;=2,ROUND((IF(T922=2,0.55,IF(T922&lt;=4,0.7,IF(T922&lt;=6,0.8,IF(T922&lt;=9,0.9,1))))*(S922/T922)+(1-(IF(T922=2,0.55,IF(T922&lt;=4,0.7,IF(T922&lt;=6,0.8,IF(T922&lt;=9,0.9,1))))))*$Y$1),1),"")</f>
      </c>
      <c r="V922" s="37">
        <v>6.2</v>
      </c>
      <c r="W922" s="38"/>
    </row>
    <row r="923" ht="24" customHeight="1" spans="1:23" x14ac:dyDescent="0.25">
      <c r="A923" s="31">
        <v>1885</v>
      </c>
      <c r="B923" s="32" t="s">
        <v>1004</v>
      </c>
      <c r="C923" s="33" t="s">
        <v>24</v>
      </c>
      <c r="D923" s="34">
        <v>2024</v>
      </c>
      <c r="E923" s="34" t="s">
        <v>30</v>
      </c>
      <c r="F923" s="6"/>
      <c r="G923" s="6"/>
      <c r="H923" s="6"/>
      <c r="I923" s="6"/>
      <c r="J923" s="6"/>
      <c r="K923" s="6"/>
      <c r="L923" s="6"/>
      <c r="M923" s="6"/>
      <c r="N923" s="6"/>
      <c r="O923" s="6">
        <v>6</v>
      </c>
      <c r="P923" s="6"/>
      <c r="Q923" s="6"/>
      <c r="R923" s="6"/>
      <c r="S923" s="35">
        <f>SUM(F923:R923)</f>
        <v>6</v>
      </c>
      <c r="T923" s="35">
        <f>COUNT(F923:R923)</f>
        <v>1</v>
      </c>
      <c r="U923" s="36">
        <f>IF(T923&gt;=2,ROUND((IF(T923=2,0.55,IF(T923&lt;=4,0.7,IF(T923&lt;=6,0.8,IF(T923&lt;=9,0.9,1))))*(S923/T923)+(1-(IF(T923=2,0.55,IF(T923&lt;=4,0.7,IF(T923&lt;=6,0.8,IF(T923&lt;=9,0.9,1))))))*$Y$1),1),"")</f>
      </c>
      <c r="V923" s="37">
        <v>6.3</v>
      </c>
      <c r="W923" s="38"/>
    </row>
    <row r="924" ht="24" customHeight="1" spans="1:23" x14ac:dyDescent="0.25">
      <c r="A924" s="31">
        <v>1121</v>
      </c>
      <c r="B924" s="32" t="s">
        <v>1005</v>
      </c>
      <c r="C924" s="33" t="s">
        <v>114</v>
      </c>
      <c r="D924" s="34">
        <v>2021</v>
      </c>
      <c r="E924" s="34" t="s">
        <v>30</v>
      </c>
      <c r="F924" s="6"/>
      <c r="G924" s="6"/>
      <c r="H924" s="6"/>
      <c r="I924" s="6"/>
      <c r="J924" s="6"/>
      <c r="K924" s="6"/>
      <c r="L924" s="6"/>
      <c r="M924" s="6"/>
      <c r="N924" s="6"/>
      <c r="O924" s="6">
        <v>6</v>
      </c>
      <c r="P924" s="6"/>
      <c r="Q924" s="6"/>
      <c r="R924" s="6"/>
      <c r="S924" s="35">
        <f>SUM(F924:R924)</f>
        <v>6</v>
      </c>
      <c r="T924" s="35">
        <f>COUNT(F924:R924)</f>
        <v>1</v>
      </c>
      <c r="U924" s="36">
        <f>IF(T924&gt;=2,ROUND((IF(T924=2,0.55,IF(T924&lt;=4,0.7,IF(T924&lt;=6,0.8,IF(T924&lt;=9,0.9,1))))*(S924/T924)+(1-(IF(T924=2,0.55,IF(T924&lt;=4,0.7,IF(T924&lt;=6,0.8,IF(T924&lt;=9,0.9,1))))))*$Y$1),1),"")</f>
      </c>
      <c r="V924" s="37">
        <v>5.4</v>
      </c>
      <c r="W924" s="38"/>
    </row>
    <row r="925" ht="24" customHeight="1" spans="1:23" x14ac:dyDescent="0.25">
      <c r="A925" s="31">
        <v>596</v>
      </c>
      <c r="B925" s="32" t="s">
        <v>1006</v>
      </c>
      <c r="C925" s="33" t="s">
        <v>24</v>
      </c>
      <c r="D925" s="34">
        <v>2016</v>
      </c>
      <c r="E925" s="34" t="s">
        <v>30</v>
      </c>
      <c r="F925" s="6"/>
      <c r="G925" s="6"/>
      <c r="H925" s="6"/>
      <c r="I925" s="6"/>
      <c r="J925" s="6">
        <v>10</v>
      </c>
      <c r="K925" s="6"/>
      <c r="L925" s="6"/>
      <c r="M925" s="6"/>
      <c r="N925" s="6"/>
      <c r="O925" s="6"/>
      <c r="P925" s="6"/>
      <c r="Q925" s="6"/>
      <c r="R925" s="6"/>
      <c r="S925" s="35">
        <f>SUM(F925:R925)</f>
        <v>10</v>
      </c>
      <c r="T925" s="35">
        <f>COUNT(F925:R925)</f>
        <v>1</v>
      </c>
      <c r="U925" s="36">
        <f>IF(T925&gt;=2,ROUND((IF(T925=2,0.55,IF(T925&lt;=4,0.7,IF(T925&lt;=6,0.8,IF(T925&lt;=9,0.9,1))))*(S925/T925)+(1-(IF(T925=2,0.55,IF(T925&lt;=4,0.7,IF(T925&lt;=6,0.8,IF(T925&lt;=9,0.9,1))))))*$Y$1),1),"")</f>
      </c>
      <c r="V925" s="37">
        <v>7</v>
      </c>
      <c r="W925" s="38"/>
    </row>
    <row r="926" ht="24" customHeight="1" spans="1:23" x14ac:dyDescent="0.25">
      <c r="A926" s="31">
        <v>629</v>
      </c>
      <c r="B926" s="32" t="s">
        <v>1007</v>
      </c>
      <c r="C926" s="33" t="s">
        <v>24</v>
      </c>
      <c r="D926" s="34">
        <v>2015</v>
      </c>
      <c r="E926" s="34" t="s">
        <v>30</v>
      </c>
      <c r="F926" s="6"/>
      <c r="G926" s="6"/>
      <c r="H926" s="6">
        <v>8</v>
      </c>
      <c r="I926" s="6"/>
      <c r="J926" s="6"/>
      <c r="K926" s="6"/>
      <c r="L926" s="6">
        <v>8</v>
      </c>
      <c r="M926" s="6"/>
      <c r="N926" s="6"/>
      <c r="O926" s="6"/>
      <c r="P926" s="6"/>
      <c r="Q926" s="6"/>
      <c r="R926" s="6">
        <v>6</v>
      </c>
      <c r="S926" s="35">
        <f>SUM(F926:R926)</f>
        <v>22</v>
      </c>
      <c r="T926" s="35">
        <f>COUNT(F926:R926)</f>
        <v>3</v>
      </c>
      <c r="U926" s="36">
        <f>IF(T926&gt;=2,ROUND((IF(T926=2,0.55,IF(T926&lt;=4,0.7,IF(T926&lt;=6,0.8,IF(T926&lt;=9,0.9,1))))*(S926/T926)+(1-(IF(T926=2,0.55,IF(T926&lt;=4,0.7,IF(T926&lt;=6,0.8,IF(T926&lt;=9,0.9,1))))))*$Y$1),1),"")</f>
        <v>7.6</v>
      </c>
      <c r="V926" s="37">
        <v>6.9</v>
      </c>
      <c r="W926" s="38"/>
    </row>
    <row r="927" ht="24" customHeight="1" spans="1:23" x14ac:dyDescent="0.25">
      <c r="A927" s="31">
        <v>815</v>
      </c>
      <c r="B927" s="32" t="s">
        <v>1008</v>
      </c>
      <c r="C927" s="33" t="s">
        <v>24</v>
      </c>
      <c r="D927" s="34">
        <v>1967</v>
      </c>
      <c r="E927" s="34" t="s">
        <v>27</v>
      </c>
      <c r="F927" s="6"/>
      <c r="G927" s="6"/>
      <c r="H927" s="6"/>
      <c r="I927" s="6"/>
      <c r="J927" s="6"/>
      <c r="K927" s="6">
        <v>8</v>
      </c>
      <c r="L927" s="6"/>
      <c r="M927" s="6"/>
      <c r="N927" s="6"/>
      <c r="O927" s="6"/>
      <c r="P927" s="6"/>
      <c r="Q927" s="6">
        <v>8</v>
      </c>
      <c r="R927" s="6"/>
      <c r="S927" s="35">
        <f>SUM(F927:R927)</f>
        <v>16</v>
      </c>
      <c r="T927" s="35">
        <f>COUNT(F927:R927)</f>
        <v>2</v>
      </c>
      <c r="U927" s="36">
        <f>IF(T927&gt;=2,ROUND((IF(T927=2,0.55,IF(T927&lt;=4,0.7,IF(T927&lt;=6,0.8,IF(T927&lt;=9,0.9,1))))*(S927/T927)+(1-(IF(T927=2,0.55,IF(T927&lt;=4,0.7,IF(T927&lt;=6,0.8,IF(T927&lt;=9,0.9,1))))))*$Y$1),1),"")</f>
        <v>8</v>
      </c>
      <c r="V927" s="37">
        <v>7.9</v>
      </c>
      <c r="W927" s="38"/>
    </row>
    <row r="928" ht="24" customHeight="1" spans="1:23" x14ac:dyDescent="0.25">
      <c r="A928" s="31">
        <v>512</v>
      </c>
      <c r="B928" s="32" t="s">
        <v>1009</v>
      </c>
      <c r="C928" s="33" t="s">
        <v>24</v>
      </c>
      <c r="D928" s="34">
        <v>2008</v>
      </c>
      <c r="E928" s="34" t="s">
        <v>25</v>
      </c>
      <c r="F928" s="6"/>
      <c r="G928" s="6">
        <v>8</v>
      </c>
      <c r="H928" s="6"/>
      <c r="I928" s="6"/>
      <c r="J928" s="6"/>
      <c r="K928" s="6"/>
      <c r="L928" s="6"/>
      <c r="M928" s="6"/>
      <c r="N928" s="6"/>
      <c r="O928" s="6"/>
      <c r="P928" s="6">
        <v>8</v>
      </c>
      <c r="Q928" s="6"/>
      <c r="R928" s="6"/>
      <c r="S928" s="35">
        <f>SUM(F928:R928)</f>
        <v>16</v>
      </c>
      <c r="T928" s="35">
        <f>COUNT(F928:R928)</f>
        <v>2</v>
      </c>
      <c r="U928" s="36">
        <f>IF(T928&gt;=2,ROUND((IF(T928=2,0.55,IF(T928&lt;=4,0.7,IF(T928&lt;=6,0.8,IF(T928&lt;=9,0.9,1))))*(S928/T928)+(1-(IF(T928=2,0.55,IF(T928&lt;=4,0.7,IF(T928&lt;=6,0.8,IF(T928&lt;=9,0.9,1))))))*$Y$1),1),"")</f>
        <v>8</v>
      </c>
      <c r="V928" s="37">
        <v>6.3</v>
      </c>
      <c r="W928" s="38"/>
    </row>
    <row r="929" ht="24" customHeight="1" spans="1:23" x14ac:dyDescent="0.25">
      <c r="A929" s="31">
        <v>979</v>
      </c>
      <c r="B929" s="32" t="s">
        <v>1010</v>
      </c>
      <c r="C929" s="33" t="s">
        <v>24</v>
      </c>
      <c r="D929" s="34">
        <v>2020</v>
      </c>
      <c r="E929" s="34" t="s">
        <v>30</v>
      </c>
      <c r="F929" s="6"/>
      <c r="G929" s="6"/>
      <c r="H929" s="6"/>
      <c r="I929" s="6"/>
      <c r="J929" s="6">
        <v>6</v>
      </c>
      <c r="K929" s="6"/>
      <c r="L929" s="6"/>
      <c r="M929" s="6"/>
      <c r="N929" s="6"/>
      <c r="O929" s="6"/>
      <c r="P929" s="6"/>
      <c r="Q929" s="6"/>
      <c r="R929" s="6"/>
      <c r="S929" s="35">
        <f>SUM(F929:R929)</f>
        <v>6</v>
      </c>
      <c r="T929" s="35">
        <f>COUNT(F929:R929)</f>
        <v>1</v>
      </c>
      <c r="U929" s="36">
        <f>IF(T929&gt;=2,ROUND((IF(T929=2,0.55,IF(T929&lt;=4,0.7,IF(T929&lt;=6,0.8,IF(T929&lt;=9,0.9,1))))*(S929/T929)+(1-(IF(T929=2,0.55,IF(T929&lt;=4,0.7,IF(T929&lt;=6,0.8,IF(T929&lt;=9,0.9,1))))))*$Y$1),1),"")</f>
      </c>
      <c r="V929" s="37">
        <v>6.5</v>
      </c>
      <c r="W929" s="38"/>
    </row>
    <row r="930" ht="24" customHeight="1" spans="1:23" s="39" customFormat="1" x14ac:dyDescent="0.25">
      <c r="A930" s="31">
        <v>1887</v>
      </c>
      <c r="B930" s="32" t="s">
        <v>1011</v>
      </c>
      <c r="C930" s="33" t="s">
        <v>29</v>
      </c>
      <c r="D930" s="34">
        <v>2024</v>
      </c>
      <c r="E930" s="34" t="s">
        <v>48</v>
      </c>
      <c r="F930" s="6">
        <v>7</v>
      </c>
      <c r="G930" s="6"/>
      <c r="H930" s="6"/>
      <c r="I930" s="6"/>
      <c r="J930" s="6">
        <v>8</v>
      </c>
      <c r="K930" s="6"/>
      <c r="L930" s="6">
        <v>7</v>
      </c>
      <c r="M930" s="6">
        <v>8</v>
      </c>
      <c r="N930" s="6"/>
      <c r="O930" s="6"/>
      <c r="P930" s="6"/>
      <c r="Q930" s="6"/>
      <c r="R930" s="6"/>
      <c r="S930" s="35">
        <f>SUM(F930:R930)</f>
        <v>30</v>
      </c>
      <c r="T930" s="35">
        <f>COUNT(F930:R930)</f>
        <v>4</v>
      </c>
      <c r="U930" s="36">
        <f>IF(T930&gt;=2,ROUND((IF(T930=2,0.55,IF(T930&lt;=4,0.7,IF(T930&lt;=6,0.8,IF(T930&lt;=9,0.9,1))))*(S930/T930)+(1-(IF(T930=2,0.55,IF(T930&lt;=4,0.7,IF(T930&lt;=6,0.8,IF(T930&lt;=9,0.9,1))))))*$Y$1),1),"")</f>
        <v>7.7</v>
      </c>
      <c r="V930" s="37">
        <v>7.7</v>
      </c>
      <c r="W930" s="38"/>
    </row>
    <row r="931" ht="24" customHeight="1" spans="1:23" x14ac:dyDescent="0.25">
      <c r="A931" s="40">
        <v>2373</v>
      </c>
      <c r="B931" s="32" t="s">
        <v>1012</v>
      </c>
      <c r="C931" s="33" t="s">
        <v>29</v>
      </c>
      <c r="D931" s="34">
        <v>2025</v>
      </c>
      <c r="E931" s="41"/>
      <c r="F931" s="6">
        <v>7</v>
      </c>
      <c r="G931" s="6"/>
      <c r="H931" s="6"/>
      <c r="I931" s="6"/>
      <c r="J931" s="6"/>
      <c r="K931" s="6"/>
      <c r="L931" s="6">
        <v>7</v>
      </c>
      <c r="M931" s="6"/>
      <c r="N931" s="6"/>
      <c r="O931" s="6"/>
      <c r="P931" s="6"/>
      <c r="Q931" s="6"/>
      <c r="R931" s="6"/>
      <c r="S931" s="35">
        <f>SUM(F931:R931)</f>
        <v>14</v>
      </c>
      <c r="T931" s="35">
        <f>COUNT(F931:R931)</f>
        <v>2</v>
      </c>
      <c r="U931" s="36">
        <f>IF(T931&gt;=2,ROUND((IF(T931=2,0.55,IF(T931&lt;=4,0.7,IF(T931&lt;=6,0.8,IF(T931&lt;=9,0.9,1))))*(S931/T931)+(1-(IF(T931=2,0.55,IF(T931&lt;=4,0.7,IF(T931&lt;=6,0.8,IF(T931&lt;=9,0.9,1))))))*$Y$1),1),"")</f>
        <v>7.5</v>
      </c>
      <c r="V931" s="37">
        <v>6.4</v>
      </c>
      <c r="W931" s="38"/>
    </row>
    <row r="932" ht="24" customHeight="1" spans="1:23" x14ac:dyDescent="0.25">
      <c r="A932" s="40">
        <v>2237</v>
      </c>
      <c r="B932" s="32" t="s">
        <v>1013</v>
      </c>
      <c r="C932" s="33" t="s">
        <v>24</v>
      </c>
      <c r="D932" s="34">
        <v>2009</v>
      </c>
      <c r="E932" s="41"/>
      <c r="F932" s="6"/>
      <c r="G932" s="6">
        <v>7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35">
        <f>SUM(F932:R932)</f>
        <v>7</v>
      </c>
      <c r="T932" s="35">
        <f>COUNT(F932:R932)</f>
        <v>1</v>
      </c>
      <c r="U932" s="36">
        <f>IF(T932&gt;=2,ROUND((IF(T932=2,0.55,IF(T932&lt;=4,0.7,IF(T932&lt;=6,0.8,IF(T932&lt;=9,0.9,1))))*(S932/T932)+(1-(IF(T932=2,0.55,IF(T932&lt;=4,0.7,IF(T932&lt;=6,0.8,IF(T932&lt;=9,0.9,1))))))*$Y$1),1),"")</f>
      </c>
      <c r="V932" s="37">
        <v>5.8</v>
      </c>
      <c r="W932" s="38"/>
    </row>
    <row r="933" ht="24" customHeight="1" spans="1:23" x14ac:dyDescent="0.25">
      <c r="A933" s="40">
        <v>2105</v>
      </c>
      <c r="B933" s="32" t="s">
        <v>1014</v>
      </c>
      <c r="C933" s="33" t="s">
        <v>24</v>
      </c>
      <c r="D933" s="34">
        <v>1999</v>
      </c>
      <c r="E933" s="41"/>
      <c r="F933" s="6"/>
      <c r="G933" s="6">
        <v>6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35">
        <f>SUM(F933:R933)</f>
        <v>6</v>
      </c>
      <c r="T933" s="35">
        <f>COUNT(F933:R933)</f>
        <v>1</v>
      </c>
      <c r="U933" s="36">
        <f>IF(T933&gt;=2,ROUND((IF(T933=2,0.55,IF(T933&lt;=4,0.7,IF(T933&lt;=6,0.8,IF(T933&lt;=9,0.9,1))))*(S933/T933)+(1-(IF(T933=2,0.55,IF(T933&lt;=4,0.7,IF(T933&lt;=6,0.8,IF(T933&lt;=9,0.9,1))))))*$Y$1),1),"")</f>
      </c>
      <c r="V933" s="37">
        <v>6.7</v>
      </c>
      <c r="W933" s="38"/>
    </row>
    <row r="934" ht="24" customHeight="1" spans="1:23" s="39" customFormat="1" x14ac:dyDescent="0.25">
      <c r="A934" s="31">
        <v>400</v>
      </c>
      <c r="B934" s="32" t="s">
        <v>1015</v>
      </c>
      <c r="C934" s="33" t="s">
        <v>24</v>
      </c>
      <c r="D934" s="34">
        <v>2017</v>
      </c>
      <c r="E934" s="34" t="s">
        <v>595</v>
      </c>
      <c r="F934" s="6"/>
      <c r="G934" s="6"/>
      <c r="H934" s="6"/>
      <c r="I934" s="6"/>
      <c r="J934" s="6"/>
      <c r="K934" s="6">
        <v>8</v>
      </c>
      <c r="L934" s="6">
        <v>8</v>
      </c>
      <c r="M934" s="6"/>
      <c r="N934" s="6"/>
      <c r="O934" s="6"/>
      <c r="P934" s="6"/>
      <c r="Q934" s="6">
        <v>8</v>
      </c>
      <c r="R934" s="6"/>
      <c r="S934" s="35">
        <f>SUM(F934:R934)</f>
        <v>24</v>
      </c>
      <c r="T934" s="35">
        <f>COUNT(F934:R934)</f>
        <v>3</v>
      </c>
      <c r="U934" s="36">
        <f>IF(T934&gt;=2,ROUND((IF(T934=2,0.55,IF(T934&lt;=4,0.7,IF(T934&lt;=6,0.8,IF(T934&lt;=9,0.9,1))))*(S934/T934)+(1-(IF(T934=2,0.55,IF(T934&lt;=4,0.7,IF(T934&lt;=6,0.8,IF(T934&lt;=9,0.9,1))))))*$Y$1),1),"")</f>
        <v>8</v>
      </c>
      <c r="V934" s="37">
        <v>6.2</v>
      </c>
      <c r="W934" s="38"/>
    </row>
    <row r="935" ht="24" customHeight="1" spans="1:23" x14ac:dyDescent="0.25">
      <c r="A935" s="31">
        <v>1935</v>
      </c>
      <c r="B935" s="32" t="s">
        <v>1016</v>
      </c>
      <c r="C935" s="33" t="s">
        <v>29</v>
      </c>
      <c r="D935" s="34">
        <v>2022</v>
      </c>
      <c r="E935" s="34" t="s">
        <v>30</v>
      </c>
      <c r="F935" s="6"/>
      <c r="G935" s="6"/>
      <c r="H935" s="6"/>
      <c r="I935" s="6"/>
      <c r="J935" s="6"/>
      <c r="K935" s="6"/>
      <c r="L935" s="6"/>
      <c r="M935" s="6">
        <v>7</v>
      </c>
      <c r="N935" s="6"/>
      <c r="O935" s="6"/>
      <c r="P935" s="6"/>
      <c r="Q935" s="6"/>
      <c r="R935" s="6"/>
      <c r="S935" s="35">
        <f>SUM(F935:R935)</f>
        <v>7</v>
      </c>
      <c r="T935" s="35">
        <f>COUNT(F935:R935)</f>
        <v>1</v>
      </c>
      <c r="U935" s="36">
        <f>IF(T935&gt;=2,ROUND((IF(T935=2,0.55,IF(T935&lt;=4,0.7,IF(T935&lt;=6,0.8,IF(T935&lt;=9,0.9,1))))*(S935/T935)+(1-(IF(T935=2,0.55,IF(T935&lt;=4,0.7,IF(T935&lt;=6,0.8,IF(T935&lt;=9,0.9,1))))))*$Y$1),1),"")</f>
      </c>
      <c r="V935" s="37">
        <v>7.1</v>
      </c>
      <c r="W935" s="38"/>
    </row>
    <row r="936" ht="24" customHeight="1" spans="1:23" x14ac:dyDescent="0.25">
      <c r="A936" s="31">
        <v>1705</v>
      </c>
      <c r="B936" s="32" t="s">
        <v>1017</v>
      </c>
      <c r="C936" s="33" t="s">
        <v>29</v>
      </c>
      <c r="D936" s="34">
        <v>2023</v>
      </c>
      <c r="E936" s="34" t="s">
        <v>30</v>
      </c>
      <c r="F936" s="6"/>
      <c r="G936" s="6"/>
      <c r="H936" s="6">
        <v>7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35">
        <f>SUM(F936:R936)</f>
        <v>7</v>
      </c>
      <c r="T936" s="35">
        <f>COUNT(F936:R936)</f>
        <v>1</v>
      </c>
      <c r="U936" s="36">
        <f>IF(T936&gt;=2,ROUND((IF(T936=2,0.55,IF(T936&lt;=4,0.7,IF(T936&lt;=6,0.8,IF(T936&lt;=9,0.9,1))))*(S936/T936)+(1-(IF(T936=2,0.55,IF(T936&lt;=4,0.7,IF(T936&lt;=6,0.8,IF(T936&lt;=9,0.9,1))))))*$Y$1),1),"")</f>
      </c>
      <c r="V936" s="37">
        <v>7.2</v>
      </c>
      <c r="W936" s="38"/>
    </row>
    <row r="937" ht="24" customHeight="1" spans="1:23" x14ac:dyDescent="0.25">
      <c r="A937" s="31">
        <v>952</v>
      </c>
      <c r="B937" s="32" t="s">
        <v>1018</v>
      </c>
      <c r="C937" s="33" t="s">
        <v>114</v>
      </c>
      <c r="D937" s="34">
        <v>2013</v>
      </c>
      <c r="E937" s="34" t="s">
        <v>179</v>
      </c>
      <c r="F937" s="6"/>
      <c r="G937" s="6">
        <v>8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35">
        <f>SUM(F937:R937)</f>
        <v>8</v>
      </c>
      <c r="T937" s="35">
        <f>COUNT(F937:R937)</f>
        <v>1</v>
      </c>
      <c r="U937" s="36">
        <f>IF(T937&gt;=2,ROUND((IF(T937=2,0.55,IF(T937&lt;=4,0.7,IF(T937&lt;=6,0.8,IF(T937&lt;=9,0.9,1))))*(S937/T937)+(1-(IF(T937=2,0.55,IF(T937&lt;=4,0.7,IF(T937&lt;=6,0.8,IF(T937&lt;=9,0.9,1))))))*$Y$1),1),"")</f>
      </c>
      <c r="V937" s="37">
        <v>7.7</v>
      </c>
      <c r="W937" s="38"/>
    </row>
    <row r="938" ht="24" customHeight="1" spans="1:23" x14ac:dyDescent="0.25">
      <c r="A938" s="31">
        <v>1085</v>
      </c>
      <c r="B938" s="32" t="s">
        <v>1019</v>
      </c>
      <c r="C938" s="33" t="s">
        <v>29</v>
      </c>
      <c r="D938" s="34">
        <v>2021</v>
      </c>
      <c r="E938" s="34" t="s">
        <v>30</v>
      </c>
      <c r="F938" s="6">
        <v>8</v>
      </c>
      <c r="G938" s="6">
        <v>8</v>
      </c>
      <c r="H938" s="6">
        <v>8</v>
      </c>
      <c r="I938" s="6"/>
      <c r="J938" s="6">
        <v>8</v>
      </c>
      <c r="K938" s="6"/>
      <c r="L938" s="6">
        <v>8</v>
      </c>
      <c r="M938" s="6"/>
      <c r="N938" s="6"/>
      <c r="O938" s="6"/>
      <c r="P938" s="6">
        <v>8</v>
      </c>
      <c r="Q938" s="6"/>
      <c r="R938" s="6"/>
      <c r="S938" s="35">
        <f>SUM(F938:R938)</f>
        <v>48</v>
      </c>
      <c r="T938" s="35">
        <f>COUNT(F938:R938)</f>
        <v>6</v>
      </c>
      <c r="U938" s="36">
        <f>IF(T938&gt;=2,ROUND((IF(T938=2,0.55,IF(T938&lt;=4,0.7,IF(T938&lt;=6,0.8,IF(T938&lt;=9,0.9,1))))*(S938/T938)+(1-(IF(T938=2,0.55,IF(T938&lt;=4,0.7,IF(T938&lt;=6,0.8,IF(T938&lt;=9,0.9,1))))))*$Y$1),1),"")</f>
        <v>8</v>
      </c>
      <c r="V938" s="37">
        <v>8.7</v>
      </c>
      <c r="W938" s="38"/>
    </row>
    <row r="939" ht="24" customHeight="1" spans="1:23" x14ac:dyDescent="0.25">
      <c r="A939" s="31">
        <v>1862</v>
      </c>
      <c r="B939" s="32" t="s">
        <v>1020</v>
      </c>
      <c r="C939" s="33" t="s">
        <v>24</v>
      </c>
      <c r="D939" s="34">
        <v>2000</v>
      </c>
      <c r="E939" s="34" t="s">
        <v>25</v>
      </c>
      <c r="F939" s="6"/>
      <c r="G939" s="6">
        <v>8</v>
      </c>
      <c r="H939" s="6"/>
      <c r="I939" s="6"/>
      <c r="J939" s="6"/>
      <c r="K939" s="6"/>
      <c r="L939" s="6">
        <v>7</v>
      </c>
      <c r="M939" s="6"/>
      <c r="N939" s="6"/>
      <c r="O939" s="6"/>
      <c r="P939" s="6"/>
      <c r="Q939" s="6"/>
      <c r="R939" s="6"/>
      <c r="S939" s="35">
        <f>SUM(F939:R939)</f>
        <v>15</v>
      </c>
      <c r="T939" s="35">
        <f>COUNT(F939:R939)</f>
        <v>2</v>
      </c>
      <c r="U939" s="36">
        <f>IF(T939&gt;=2,ROUND((IF(T939=2,0.55,IF(T939&lt;=4,0.7,IF(T939&lt;=6,0.8,IF(T939&lt;=9,0.9,1))))*(S939/T939)+(1-(IF(T939=2,0.55,IF(T939&lt;=4,0.7,IF(T939&lt;=6,0.8,IF(T939&lt;=9,0.9,1))))))*$Y$1),1),"")</f>
        <v>7.8</v>
      </c>
      <c r="V939" s="37">
        <v>7.8</v>
      </c>
      <c r="W939" s="38"/>
    </row>
    <row r="940" ht="24" customHeight="1" spans="1:23" x14ac:dyDescent="0.25">
      <c r="A940" s="31">
        <v>1929</v>
      </c>
      <c r="B940" s="32" t="s">
        <v>1021</v>
      </c>
      <c r="C940" s="33" t="s">
        <v>24</v>
      </c>
      <c r="D940" s="34">
        <v>1987</v>
      </c>
      <c r="E940" s="34" t="s">
        <v>25</v>
      </c>
      <c r="F940" s="6"/>
      <c r="G940" s="6">
        <v>7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35">
        <f>SUM(F940:R940)</f>
        <v>7</v>
      </c>
      <c r="T940" s="35">
        <f>COUNT(F940:R940)</f>
        <v>1</v>
      </c>
      <c r="U940" s="36">
        <f>IF(T940&gt;=2,ROUND((IF(T940=2,0.55,IF(T940&lt;=4,0.7,IF(T940&lt;=6,0.8,IF(T940&lt;=9,0.9,1))))*(S940/T940)+(1-(IF(T940=2,0.55,IF(T940&lt;=4,0.7,IF(T940&lt;=6,0.8,IF(T940&lt;=9,0.9,1))))))*$Y$1),1),"")</f>
      </c>
      <c r="V940" s="37">
        <v>8.2</v>
      </c>
      <c r="W940" s="38"/>
    </row>
    <row r="941" ht="24" customHeight="1" spans="1:23" x14ac:dyDescent="0.25">
      <c r="A941" s="31">
        <v>703</v>
      </c>
      <c r="B941" s="32" t="s">
        <v>1022</v>
      </c>
      <c r="C941" s="33" t="s">
        <v>24</v>
      </c>
      <c r="D941" s="34">
        <v>1989</v>
      </c>
      <c r="E941" s="34" t="s">
        <v>30</v>
      </c>
      <c r="F941" s="6"/>
      <c r="G941" s="6"/>
      <c r="H941" s="6"/>
      <c r="I941" s="6"/>
      <c r="J941" s="6"/>
      <c r="K941" s="6"/>
      <c r="L941" s="6">
        <v>10</v>
      </c>
      <c r="M941" s="6"/>
      <c r="N941" s="6"/>
      <c r="O941" s="6"/>
      <c r="P941" s="6"/>
      <c r="Q941" s="6"/>
      <c r="R941" s="6"/>
      <c r="S941" s="35">
        <f>SUM(F941:R941)</f>
        <v>10</v>
      </c>
      <c r="T941" s="35">
        <f>COUNT(F941:R941)</f>
        <v>1</v>
      </c>
      <c r="U941" s="36">
        <f>IF(T941&gt;=2,ROUND((IF(T941=2,0.55,IF(T941&lt;=4,0.7,IF(T941&lt;=6,0.8,IF(T941&lt;=9,0.9,1))))*(S941/T941)+(1-(IF(T941=2,0.55,IF(T941&lt;=4,0.7,IF(T941&lt;=6,0.8,IF(T941&lt;=9,0.9,1))))))*$Y$1),1),"")</f>
      </c>
      <c r="V941" s="37">
        <v>7.2</v>
      </c>
      <c r="W941" s="38"/>
    </row>
    <row r="942" ht="24" customHeight="1" spans="1:23" x14ac:dyDescent="0.25">
      <c r="A942" s="42">
        <v>152</v>
      </c>
      <c r="B942" s="32" t="s">
        <v>1023</v>
      </c>
      <c r="C942" s="43" t="s">
        <v>24</v>
      </c>
      <c r="D942" s="44">
        <v>2018</v>
      </c>
      <c r="E942" s="44" t="s">
        <v>1024</v>
      </c>
      <c r="F942" s="6">
        <v>10</v>
      </c>
      <c r="G942" s="6">
        <v>9</v>
      </c>
      <c r="H942" s="6">
        <v>10</v>
      </c>
      <c r="I942" s="6">
        <v>10</v>
      </c>
      <c r="J942" s="6">
        <v>10</v>
      </c>
      <c r="K942" s="6">
        <v>10</v>
      </c>
      <c r="L942" s="6">
        <v>10</v>
      </c>
      <c r="M942" s="6">
        <v>10</v>
      </c>
      <c r="N942" s="6">
        <v>10</v>
      </c>
      <c r="O942" s="6">
        <v>8</v>
      </c>
      <c r="P942" s="6">
        <v>8</v>
      </c>
      <c r="Q942" s="6">
        <v>10</v>
      </c>
      <c r="R942" s="6">
        <v>8</v>
      </c>
      <c r="S942" s="45">
        <f>SUM(F942:R942)</f>
        <v>123</v>
      </c>
      <c r="T942" s="45">
        <f>COUNT(F942:R942)</f>
        <v>13</v>
      </c>
      <c r="U942" s="36">
        <f>IF(T942&gt;=2,ROUND((IF(T942=2,0.55,IF(T942&lt;=4,0.7,IF(T942&lt;=6,0.8,IF(T942&lt;=9,0.9,1))))*(S942/T942)+(1-(IF(T942=2,0.55,IF(T942&lt;=4,0.7,IF(T942&lt;=6,0.8,IF(T942&lt;=9,0.9,1))))))*$Y$1),1),"")</f>
        <v>9.5</v>
      </c>
      <c r="V942" s="37">
        <v>7.6</v>
      </c>
      <c r="W942" s="38" t="s">
        <v>44</v>
      </c>
    </row>
    <row r="943" ht="24" customHeight="1" spans="1:23" x14ac:dyDescent="0.25">
      <c r="A943" s="31">
        <v>1746</v>
      </c>
      <c r="B943" s="32" t="s">
        <v>1025</v>
      </c>
      <c r="C943" s="33" t="s">
        <v>24</v>
      </c>
      <c r="D943" s="34">
        <v>1999</v>
      </c>
      <c r="E943" s="34" t="s">
        <v>30</v>
      </c>
      <c r="F943" s="6"/>
      <c r="G943" s="6"/>
      <c r="H943" s="6"/>
      <c r="I943" s="6"/>
      <c r="J943" s="6"/>
      <c r="K943" s="6"/>
      <c r="L943" s="6"/>
      <c r="M943" s="6"/>
      <c r="N943" s="6"/>
      <c r="O943" s="6">
        <v>8</v>
      </c>
      <c r="P943" s="6"/>
      <c r="Q943" s="6"/>
      <c r="R943" s="6"/>
      <c r="S943" s="35">
        <f>SUM(F943:R943)</f>
        <v>8</v>
      </c>
      <c r="T943" s="35">
        <f>COUNT(F943:R943)</f>
        <v>1</v>
      </c>
      <c r="U943" s="36">
        <f>IF(T943&gt;=2,ROUND((IF(T943=2,0.55,IF(T943&lt;=4,0.7,IF(T943&lt;=6,0.8,IF(T943&lt;=9,0.9,1))))*(S943/T943)+(1-(IF(T943=2,0.55,IF(T943&lt;=4,0.7,IF(T943&lt;=6,0.8,IF(T943&lt;=9,0.9,1))))))*$Y$1),1),"")</f>
      </c>
      <c r="V943" s="37">
        <v>6.3</v>
      </c>
      <c r="W943" s="38"/>
    </row>
    <row r="944" ht="24" customHeight="1" spans="1:23" x14ac:dyDescent="0.25">
      <c r="A944" s="31">
        <v>1498</v>
      </c>
      <c r="B944" s="32" t="s">
        <v>1026</v>
      </c>
      <c r="C944" s="33" t="s">
        <v>24</v>
      </c>
      <c r="D944" s="34">
        <v>2022</v>
      </c>
      <c r="E944" s="34" t="s">
        <v>30</v>
      </c>
      <c r="F944" s="6">
        <v>7</v>
      </c>
      <c r="G944" s="6"/>
      <c r="H944" s="6"/>
      <c r="I944" s="6"/>
      <c r="J944" s="6"/>
      <c r="K944" s="6">
        <v>7</v>
      </c>
      <c r="L944" s="6"/>
      <c r="M944" s="6"/>
      <c r="N944" s="6">
        <v>7</v>
      </c>
      <c r="O944" s="6"/>
      <c r="P944" s="6"/>
      <c r="Q944" s="6">
        <v>7</v>
      </c>
      <c r="R944" s="6"/>
      <c r="S944" s="35">
        <f>SUM(F944:R944)</f>
        <v>28</v>
      </c>
      <c r="T944" s="35">
        <f>COUNT(F944:R944)</f>
        <v>4</v>
      </c>
      <c r="U944" s="36">
        <f>IF(T944&gt;=2,ROUND((IF(T944=2,0.55,IF(T944&lt;=4,0.7,IF(T944&lt;=6,0.8,IF(T944&lt;=9,0.9,1))))*(S944/T944)+(1-(IF(T944=2,0.55,IF(T944&lt;=4,0.7,IF(T944&lt;=6,0.8,IF(T944&lt;=9,0.9,1))))))*$Y$1),1),"")</f>
        <v>7.3</v>
      </c>
      <c r="V944" s="37">
        <v>6.6</v>
      </c>
      <c r="W944" s="38"/>
    </row>
    <row r="945" ht="24" customHeight="1" spans="1:23" x14ac:dyDescent="0.25">
      <c r="A945" s="31">
        <v>1528</v>
      </c>
      <c r="B945" s="32" t="s">
        <v>1027</v>
      </c>
      <c r="C945" s="33" t="s">
        <v>29</v>
      </c>
      <c r="D945" s="34">
        <v>2022</v>
      </c>
      <c r="E945" s="34" t="s">
        <v>30</v>
      </c>
      <c r="F945" s="6"/>
      <c r="G945" s="6"/>
      <c r="H945" s="6"/>
      <c r="I945" s="6"/>
      <c r="J945" s="6"/>
      <c r="K945" s="6"/>
      <c r="L945" s="6"/>
      <c r="M945" s="6"/>
      <c r="N945" s="6">
        <v>6</v>
      </c>
      <c r="O945" s="6"/>
      <c r="P945" s="6"/>
      <c r="Q945" s="6"/>
      <c r="R945" s="6"/>
      <c r="S945" s="35">
        <f>SUM(F945:R945)</f>
        <v>6</v>
      </c>
      <c r="T945" s="35">
        <f>COUNT(F945:R945)</f>
        <v>1</v>
      </c>
      <c r="U945" s="36">
        <f>IF(T945&gt;=2,ROUND((IF(T945=2,0.55,IF(T945&lt;=4,0.7,IF(T945&lt;=6,0.8,IF(T945&lt;=9,0.9,1))))*(S945/T945)+(1-(IF(T945=2,0.55,IF(T945&lt;=4,0.7,IF(T945&lt;=6,0.8,IF(T945&lt;=9,0.9,1))))))*$Y$1),1),"")</f>
      </c>
      <c r="V945" s="37">
        <v>7.3</v>
      </c>
      <c r="W945" s="38"/>
    </row>
    <row r="946" ht="24" customHeight="1" spans="1:23" x14ac:dyDescent="0.25">
      <c r="A946" s="31">
        <v>85</v>
      </c>
      <c r="B946" s="32" t="s">
        <v>1028</v>
      </c>
      <c r="C946" s="33" t="s">
        <v>29</v>
      </c>
      <c r="D946" s="34">
        <v>2015</v>
      </c>
      <c r="E946" s="34" t="s">
        <v>30</v>
      </c>
      <c r="F946" s="6">
        <v>6</v>
      </c>
      <c r="G946" s="6"/>
      <c r="H946" s="6"/>
      <c r="I946" s="6"/>
      <c r="J946" s="6"/>
      <c r="K946" s="6">
        <v>10</v>
      </c>
      <c r="L946" s="6">
        <v>8</v>
      </c>
      <c r="M946" s="6"/>
      <c r="N946" s="6"/>
      <c r="O946" s="6"/>
      <c r="P946" s="6"/>
      <c r="Q946" s="6">
        <v>10</v>
      </c>
      <c r="R946" s="6">
        <v>8</v>
      </c>
      <c r="S946" s="35">
        <f>SUM(F946:R946)</f>
        <v>42</v>
      </c>
      <c r="T946" s="35">
        <f>COUNT(F946:R946)</f>
        <v>5</v>
      </c>
      <c r="U946" s="36">
        <f>IF(T946&gt;=2,ROUND((IF(T946=2,0.55,IF(T946&lt;=4,0.7,IF(T946&lt;=6,0.8,IF(T946&lt;=9,0.9,1))))*(S946/T946)+(1-(IF(T946=2,0.55,IF(T946&lt;=4,0.7,IF(T946&lt;=6,0.8,IF(T946&lt;=9,0.9,1))))))*$Y$1),1),"")</f>
        <v>8.3</v>
      </c>
      <c r="V946" s="37">
        <v>8.7</v>
      </c>
      <c r="W946" s="38"/>
    </row>
    <row r="947" ht="24" customHeight="1" spans="1:23" x14ac:dyDescent="0.25">
      <c r="A947" s="31">
        <v>1258</v>
      </c>
      <c r="B947" s="32" t="s">
        <v>1029</v>
      </c>
      <c r="C947" s="33" t="s">
        <v>24</v>
      </c>
      <c r="D947" s="34">
        <v>2022</v>
      </c>
      <c r="E947" s="34" t="s">
        <v>30</v>
      </c>
      <c r="F947" s="6">
        <v>8</v>
      </c>
      <c r="G947" s="6"/>
      <c r="H947" s="6">
        <v>6</v>
      </c>
      <c r="I947" s="6"/>
      <c r="J947" s="6"/>
      <c r="K947" s="6">
        <v>8</v>
      </c>
      <c r="L947" s="6">
        <v>6</v>
      </c>
      <c r="M947" s="6">
        <v>8</v>
      </c>
      <c r="N947" s="6"/>
      <c r="O947" s="6">
        <v>8</v>
      </c>
      <c r="P947" s="6"/>
      <c r="Q947" s="6">
        <v>8</v>
      </c>
      <c r="R947" s="6">
        <v>7</v>
      </c>
      <c r="S947" s="35">
        <f>SUM(F947:R947)</f>
        <v>59</v>
      </c>
      <c r="T947" s="35">
        <f>COUNT(F947:R947)</f>
        <v>8</v>
      </c>
      <c r="U947" s="36">
        <f>IF(T947&gt;=2,ROUND((IF(T947=2,0.55,IF(T947&lt;=4,0.7,IF(T947&lt;=6,0.8,IF(T947&lt;=9,0.9,1))))*(S947/T947)+(1-(IF(T947=2,0.55,IF(T947&lt;=4,0.7,IF(T947&lt;=6,0.8,IF(T947&lt;=9,0.9,1))))))*$Y$1),1),"")</f>
        <v>7.4</v>
      </c>
      <c r="V947" s="37">
        <v>5.7</v>
      </c>
      <c r="W947" s="38"/>
    </row>
    <row r="948" ht="24" customHeight="1" spans="1:23" x14ac:dyDescent="0.25">
      <c r="A948" s="31">
        <v>1693</v>
      </c>
      <c r="B948" s="32" t="s">
        <v>1030</v>
      </c>
      <c r="C948" s="33" t="s">
        <v>24</v>
      </c>
      <c r="D948" s="34">
        <v>2023</v>
      </c>
      <c r="E948" s="34" t="s">
        <v>141</v>
      </c>
      <c r="F948" s="6"/>
      <c r="G948" s="6"/>
      <c r="H948" s="6"/>
      <c r="I948" s="6"/>
      <c r="J948" s="6">
        <v>8</v>
      </c>
      <c r="K948" s="6"/>
      <c r="L948" s="6">
        <v>6</v>
      </c>
      <c r="M948" s="6"/>
      <c r="N948" s="6"/>
      <c r="O948" s="6"/>
      <c r="P948" s="6"/>
      <c r="Q948" s="6"/>
      <c r="R948" s="6"/>
      <c r="S948" s="35">
        <f>SUM(F948:R948)</f>
        <v>14</v>
      </c>
      <c r="T948" s="35">
        <f>COUNT(F948:R948)</f>
        <v>2</v>
      </c>
      <c r="U948" s="36">
        <f>IF(T948&gt;=2,ROUND((IF(T948=2,0.55,IF(T948&lt;=4,0.7,IF(T948&lt;=6,0.8,IF(T948&lt;=9,0.9,1))))*(S948/T948)+(1-(IF(T948=2,0.55,IF(T948&lt;=4,0.7,IF(T948&lt;=6,0.8,IF(T948&lt;=9,0.9,1))))))*$Y$1),1),"")</f>
        <v>7.5</v>
      </c>
      <c r="V948" s="37">
        <v>6.3</v>
      </c>
      <c r="W948" s="38"/>
    </row>
    <row r="949" ht="24" customHeight="1" spans="1:23" x14ac:dyDescent="0.25">
      <c r="A949" s="31">
        <v>2500</v>
      </c>
      <c r="B949" s="32" t="s">
        <v>1031</v>
      </c>
      <c r="C949" s="33" t="s">
        <v>24</v>
      </c>
      <c r="D949" s="34">
        <v>2024</v>
      </c>
      <c r="E949" s="34"/>
      <c r="F949" s="6"/>
      <c r="G949" s="6"/>
      <c r="H949" s="6"/>
      <c r="I949" s="6"/>
      <c r="J949" s="6"/>
      <c r="K949" s="6"/>
      <c r="L949" s="6"/>
      <c r="M949" s="6"/>
      <c r="N949" s="6"/>
      <c r="O949" s="6">
        <v>7</v>
      </c>
      <c r="P949" s="6"/>
      <c r="Q949" s="6"/>
      <c r="R949" s="6"/>
      <c r="S949" s="35">
        <f>SUM(F949:R949)</f>
        <v>7</v>
      </c>
      <c r="T949" s="35">
        <f>COUNT(F949:R949)</f>
        <v>1</v>
      </c>
      <c r="U949" s="36">
        <f>IF(T949&gt;=2,ROUND((IF(T949=2,0.55,IF(T949&lt;=4,0.7,IF(T949&lt;=6,0.8,IF(T949&lt;=9,0.9,1))))*(S949/T949)+(1-(IF(T949=2,0.55,IF(T949&lt;=4,0.7,IF(T949&lt;=6,0.8,IF(T949&lt;=9,0.9,1))))))*$Y$1),1),"")</f>
      </c>
      <c r="V949" s="37">
        <v>5.1</v>
      </c>
      <c r="W949" s="38"/>
    </row>
    <row r="950" ht="24" customHeight="1" spans="1:23" x14ac:dyDescent="0.25">
      <c r="A950" s="31">
        <v>1810</v>
      </c>
      <c r="B950" s="32" t="s">
        <v>1032</v>
      </c>
      <c r="C950" s="33" t="s">
        <v>24</v>
      </c>
      <c r="D950" s="34">
        <v>2015</v>
      </c>
      <c r="E950" s="34" t="s">
        <v>30</v>
      </c>
      <c r="F950" s="6"/>
      <c r="G950" s="6"/>
      <c r="H950" s="6"/>
      <c r="I950" s="6"/>
      <c r="J950" s="6">
        <v>8</v>
      </c>
      <c r="K950" s="6"/>
      <c r="L950" s="6"/>
      <c r="M950" s="6"/>
      <c r="N950" s="6"/>
      <c r="O950" s="6"/>
      <c r="P950" s="6"/>
      <c r="Q950" s="6"/>
      <c r="R950" s="6"/>
      <c r="S950" s="35">
        <f>SUM(F950:R950)</f>
        <v>8</v>
      </c>
      <c r="T950" s="35">
        <f>COUNT(F950:R950)</f>
        <v>1</v>
      </c>
      <c r="U950" s="36">
        <f>IF(T950&gt;=2,ROUND((IF(T950=2,0.55,IF(T950&lt;=4,0.7,IF(T950&lt;=6,0.8,IF(T950&lt;=9,0.9,1))))*(S950/T950)+(1-(IF(T950=2,0.55,IF(T950&lt;=4,0.7,IF(T950&lt;=6,0.8,IF(T950&lt;=9,0.9,1))))))*$Y$1),1),"")</f>
      </c>
      <c r="V950" s="37">
        <v>7</v>
      </c>
      <c r="W950" s="38"/>
    </row>
    <row r="951" ht="24" customHeight="1" spans="1:23" x14ac:dyDescent="0.25">
      <c r="A951" s="42">
        <v>1195</v>
      </c>
      <c r="B951" s="32" t="s">
        <v>1033</v>
      </c>
      <c r="C951" s="43" t="s">
        <v>24</v>
      </c>
      <c r="D951" s="44">
        <v>2021</v>
      </c>
      <c r="E951" s="44" t="s">
        <v>1034</v>
      </c>
      <c r="F951" s="6">
        <v>8</v>
      </c>
      <c r="G951" s="6">
        <v>8</v>
      </c>
      <c r="H951" s="6">
        <v>6</v>
      </c>
      <c r="I951" s="6">
        <v>8</v>
      </c>
      <c r="J951" s="6">
        <v>8</v>
      </c>
      <c r="K951" s="6">
        <v>6</v>
      </c>
      <c r="L951" s="6">
        <v>10</v>
      </c>
      <c r="M951" s="6"/>
      <c r="N951" s="6">
        <v>6</v>
      </c>
      <c r="O951" s="6">
        <v>6</v>
      </c>
      <c r="P951" s="6">
        <v>6</v>
      </c>
      <c r="Q951" s="6">
        <v>6</v>
      </c>
      <c r="R951" s="6">
        <v>8</v>
      </c>
      <c r="S951" s="45">
        <f>SUM(F951:R951)</f>
        <v>86</v>
      </c>
      <c r="T951" s="45">
        <f>COUNT(F951:R951)</f>
        <v>12</v>
      </c>
      <c r="U951" s="36">
        <f>IF(T951&gt;=2,ROUND((IF(T951=2,0.55,IF(T951&lt;=4,0.7,IF(T951&lt;=6,0.8,IF(T951&lt;=9,0.9,1))))*(S951/T951)+(1-(IF(T951=2,0.55,IF(T951&lt;=4,0.7,IF(T951&lt;=6,0.8,IF(T951&lt;=9,0.9,1))))))*$Y$1),1),"")</f>
        <v>7.2</v>
      </c>
      <c r="V951" s="37">
        <v>7.1</v>
      </c>
      <c r="W951" s="38" t="s">
        <v>44</v>
      </c>
    </row>
    <row r="952" ht="24" customHeight="1" spans="1:23" x14ac:dyDescent="0.25">
      <c r="A952" s="31">
        <v>409</v>
      </c>
      <c r="B952" s="32" t="s">
        <v>1035</v>
      </c>
      <c r="C952" s="33" t="s">
        <v>29</v>
      </c>
      <c r="D952" s="34">
        <v>2020</v>
      </c>
      <c r="E952" s="34" t="s">
        <v>30</v>
      </c>
      <c r="F952" s="6">
        <v>8</v>
      </c>
      <c r="G952" s="6"/>
      <c r="H952" s="6">
        <v>8</v>
      </c>
      <c r="I952" s="6"/>
      <c r="J952" s="6">
        <v>8</v>
      </c>
      <c r="K952" s="6"/>
      <c r="L952" s="6"/>
      <c r="M952" s="6">
        <v>8</v>
      </c>
      <c r="N952" s="6">
        <v>8</v>
      </c>
      <c r="O952" s="6"/>
      <c r="P952" s="6"/>
      <c r="Q952" s="6"/>
      <c r="R952" s="6"/>
      <c r="S952" s="35">
        <f>SUM(F952:R952)</f>
        <v>40</v>
      </c>
      <c r="T952" s="35">
        <f>COUNT(F952:R952)</f>
        <v>5</v>
      </c>
      <c r="U952" s="36">
        <f>IF(T952&gt;=2,ROUND((IF(T952=2,0.55,IF(T952&lt;=4,0.7,IF(T952&lt;=6,0.8,IF(T952&lt;=9,0.9,1))))*(S952/T952)+(1-(IF(T952=2,0.55,IF(T952&lt;=4,0.7,IF(T952&lt;=6,0.8,IF(T952&lt;=9,0.9,1))))))*$Y$1),1),"")</f>
        <v>8</v>
      </c>
      <c r="V952" s="37">
        <v>7.2</v>
      </c>
      <c r="W952" s="38"/>
    </row>
    <row r="953" ht="24" customHeight="1" spans="1:23" x14ac:dyDescent="0.25">
      <c r="A953" s="31">
        <v>2048</v>
      </c>
      <c r="B953" s="32" t="s">
        <v>1036</v>
      </c>
      <c r="C953" s="33" t="s">
        <v>29</v>
      </c>
      <c r="D953" s="34">
        <v>2024</v>
      </c>
      <c r="E953" s="41"/>
      <c r="F953" s="6">
        <v>8</v>
      </c>
      <c r="G953" s="6"/>
      <c r="H953" s="6"/>
      <c r="I953" s="6"/>
      <c r="J953" s="6"/>
      <c r="K953" s="6"/>
      <c r="L953" s="6">
        <v>10</v>
      </c>
      <c r="M953" s="6"/>
      <c r="N953" s="6"/>
      <c r="O953" s="6"/>
      <c r="P953" s="6"/>
      <c r="Q953" s="6"/>
      <c r="R953" s="6"/>
      <c r="S953" s="35">
        <f>SUM(F953:R953)</f>
        <v>18</v>
      </c>
      <c r="T953" s="35">
        <f>COUNT(F953:R953)</f>
        <v>2</v>
      </c>
      <c r="U953" s="36">
        <f>IF(T953&gt;=2,ROUND((IF(T953=2,0.55,IF(T953&lt;=4,0.7,IF(T953&lt;=6,0.8,IF(T953&lt;=9,0.9,1))))*(S953/T953)+(1-(IF(T953=2,0.55,IF(T953&lt;=4,0.7,IF(T953&lt;=6,0.8,IF(T953&lt;=9,0.9,1))))))*$Y$1),1),"")</f>
        <v>8.6</v>
      </c>
      <c r="V953" s="37">
        <v>8.2</v>
      </c>
      <c r="W953" s="38"/>
    </row>
    <row r="954" ht="24" customHeight="1" spans="1:23" s="39" customFormat="1" x14ac:dyDescent="0.25">
      <c r="A954" s="31">
        <v>1092</v>
      </c>
      <c r="B954" s="32" t="s">
        <v>1037</v>
      </c>
      <c r="C954" s="33" t="s">
        <v>24</v>
      </c>
      <c r="D954" s="34">
        <v>2006</v>
      </c>
      <c r="E954" s="34" t="s">
        <v>25</v>
      </c>
      <c r="F954" s="6"/>
      <c r="G954" s="6">
        <v>7</v>
      </c>
      <c r="H954" s="6"/>
      <c r="I954" s="6"/>
      <c r="J954" s="6"/>
      <c r="K954" s="6"/>
      <c r="L954" s="6"/>
      <c r="M954" s="6"/>
      <c r="N954" s="6"/>
      <c r="O954" s="6"/>
      <c r="P954" s="6">
        <v>6</v>
      </c>
      <c r="Q954" s="6"/>
      <c r="R954" s="6"/>
      <c r="S954" s="35">
        <f>SUM(F954:R954)</f>
        <v>13</v>
      </c>
      <c r="T954" s="35">
        <f>COUNT(F954:R954)</f>
        <v>2</v>
      </c>
      <c r="U954" s="36">
        <f>IF(T954&gt;=2,ROUND((IF(T954=2,0.55,IF(T954&lt;=4,0.7,IF(T954&lt;=6,0.8,IF(T954&lt;=9,0.9,1))))*(S954/T954)+(1-(IF(T954=2,0.55,IF(T954&lt;=4,0.7,IF(T954&lt;=6,0.8,IF(T954&lt;=9,0.9,1))))))*$Y$1),1),"")</f>
        <v>7.2</v>
      </c>
      <c r="V954" s="37">
        <v>7.5</v>
      </c>
      <c r="W954" s="38"/>
    </row>
    <row r="955" ht="24" customHeight="1" spans="1:23" x14ac:dyDescent="0.25">
      <c r="A955" s="31">
        <v>1015</v>
      </c>
      <c r="B955" s="32" t="s">
        <v>1038</v>
      </c>
      <c r="C955" s="33" t="s">
        <v>24</v>
      </c>
      <c r="D955" s="34">
        <v>2020</v>
      </c>
      <c r="E955" s="34" t="s">
        <v>30</v>
      </c>
      <c r="F955" s="6"/>
      <c r="G955" s="6"/>
      <c r="H955" s="6"/>
      <c r="I955" s="6">
        <v>10</v>
      </c>
      <c r="J955" s="6"/>
      <c r="K955" s="6"/>
      <c r="L955" s="6"/>
      <c r="M955" s="6"/>
      <c r="N955" s="6"/>
      <c r="O955" s="6"/>
      <c r="P955" s="6"/>
      <c r="Q955" s="6"/>
      <c r="R955" s="6"/>
      <c r="S955" s="35">
        <f>SUM(F955:R955)</f>
        <v>10</v>
      </c>
      <c r="T955" s="35">
        <f>COUNT(F955:R955)</f>
        <v>1</v>
      </c>
      <c r="U955" s="36">
        <f>IF(T955&gt;=2,ROUND((IF(T955=2,0.55,IF(T955&lt;=4,0.7,IF(T955&lt;=6,0.8,IF(T955&lt;=9,0.9,1))))*(S955/T955)+(1-(IF(T955=2,0.55,IF(T955&lt;=4,0.7,IF(T955&lt;=6,0.8,IF(T955&lt;=9,0.9,1))))))*$Y$1),1),"")</f>
      </c>
      <c r="V955" s="37">
        <v>5.3</v>
      </c>
      <c r="W955" s="38"/>
    </row>
    <row r="956" ht="24" customHeight="1" spans="1:23" x14ac:dyDescent="0.25">
      <c r="A956" s="47">
        <v>761</v>
      </c>
      <c r="B956" s="32" t="s">
        <v>1039</v>
      </c>
      <c r="C956" s="48" t="s">
        <v>24</v>
      </c>
      <c r="D956" s="49">
        <v>2010</v>
      </c>
      <c r="E956" s="49" t="s">
        <v>27</v>
      </c>
      <c r="F956" s="6">
        <v>7</v>
      </c>
      <c r="G956" s="6">
        <v>7</v>
      </c>
      <c r="H956" s="6"/>
      <c r="I956" s="6">
        <v>7</v>
      </c>
      <c r="J956" s="6">
        <v>8</v>
      </c>
      <c r="K956" s="6">
        <v>8</v>
      </c>
      <c r="L956" s="6">
        <v>8</v>
      </c>
      <c r="M956" s="6">
        <v>8</v>
      </c>
      <c r="N956" s="6">
        <v>8</v>
      </c>
      <c r="O956" s="6">
        <v>7</v>
      </c>
      <c r="P956" s="6">
        <v>7</v>
      </c>
      <c r="Q956" s="6">
        <v>8</v>
      </c>
      <c r="R956" s="6">
        <v>8</v>
      </c>
      <c r="S956" s="50">
        <f>SUM(F956:R956)</f>
        <v>91</v>
      </c>
      <c r="T956" s="50">
        <f>COUNT(F956:R956)</f>
        <v>12</v>
      </c>
      <c r="U956" s="36">
        <f>IF(T956&gt;=2,ROUND((IF(T956=2,0.55,IF(T956&lt;=4,0.7,IF(T956&lt;=6,0.8,IF(T956&lt;=9,0.9,1))))*(S956/T956)+(1-(IF(T956=2,0.55,IF(T956&lt;=4,0.7,IF(T956&lt;=6,0.8,IF(T956&lt;=9,0.9,1))))))*$Y$1),1),"")</f>
        <v>7.6</v>
      </c>
      <c r="V956" s="37">
        <v>7.3</v>
      </c>
      <c r="W956" s="38" t="s">
        <v>44</v>
      </c>
    </row>
    <row r="957" ht="24" customHeight="1" spans="1:23" x14ac:dyDescent="0.25">
      <c r="A957" s="31">
        <v>1237</v>
      </c>
      <c r="B957" s="32" t="s">
        <v>1040</v>
      </c>
      <c r="C957" s="33" t="s">
        <v>29</v>
      </c>
      <c r="D957" s="34">
        <v>2016</v>
      </c>
      <c r="E957" s="34" t="s">
        <v>69</v>
      </c>
      <c r="F957" s="6"/>
      <c r="G957" s="6"/>
      <c r="H957" s="6"/>
      <c r="I957" s="6"/>
      <c r="J957" s="6"/>
      <c r="K957" s="6">
        <v>8</v>
      </c>
      <c r="L957" s="6"/>
      <c r="M957" s="6"/>
      <c r="N957" s="6"/>
      <c r="O957" s="6"/>
      <c r="P957" s="6"/>
      <c r="Q957" s="6">
        <v>8</v>
      </c>
      <c r="R957" s="6"/>
      <c r="S957" s="35">
        <f>SUM(F957:R957)</f>
        <v>16</v>
      </c>
      <c r="T957" s="35">
        <f>COUNT(F957:R957)</f>
        <v>2</v>
      </c>
      <c r="U957" s="36">
        <f>IF(T957&gt;=2,ROUND((IF(T957=2,0.55,IF(T957&lt;=4,0.7,IF(T957&lt;=6,0.8,IF(T957&lt;=9,0.9,1))))*(S957/T957)+(1-(IF(T957=2,0.55,IF(T957&lt;=4,0.7,IF(T957&lt;=6,0.8,IF(T957&lt;=9,0.9,1))))))*$Y$1),1),"")</f>
        <v>8</v>
      </c>
      <c r="V957" s="37">
        <v>7</v>
      </c>
      <c r="W957" s="38"/>
    </row>
    <row r="958" ht="24" customHeight="1" spans="1:23" x14ac:dyDescent="0.25">
      <c r="A958" s="31">
        <v>84</v>
      </c>
      <c r="B958" s="32" t="s">
        <v>1041</v>
      </c>
      <c r="C958" s="33" t="s">
        <v>29</v>
      </c>
      <c r="D958" s="34">
        <v>2020</v>
      </c>
      <c r="E958" s="34" t="s">
        <v>30</v>
      </c>
      <c r="F958" s="6">
        <v>8</v>
      </c>
      <c r="G958" s="6"/>
      <c r="H958" s="6">
        <v>8</v>
      </c>
      <c r="I958" s="6">
        <v>8</v>
      </c>
      <c r="J958" s="6">
        <v>8</v>
      </c>
      <c r="K958" s="6">
        <v>10</v>
      </c>
      <c r="L958" s="6">
        <v>8</v>
      </c>
      <c r="M958" s="6">
        <v>8</v>
      </c>
      <c r="N958" s="6">
        <v>8</v>
      </c>
      <c r="O958" s="6"/>
      <c r="P958" s="6"/>
      <c r="Q958" s="6">
        <v>10</v>
      </c>
      <c r="R958" s="6">
        <v>10</v>
      </c>
      <c r="S958" s="35">
        <f>SUM(F958:R958)</f>
        <v>86</v>
      </c>
      <c r="T958" s="35">
        <f>COUNT(F958:R958)</f>
        <v>10</v>
      </c>
      <c r="U958" s="36">
        <f>IF(T958&gt;=2,ROUND((IF(T958=2,0.55,IF(T958&lt;=4,0.7,IF(T958&lt;=6,0.8,IF(T958&lt;=9,0.9,1))))*(S958/T958)+(1-(IF(T958=2,0.55,IF(T958&lt;=4,0.7,IF(T958&lt;=6,0.8,IF(T958&lt;=9,0.9,1))))))*$Y$1),1),"")</f>
        <v>8.6</v>
      </c>
      <c r="V958" s="37">
        <v>8</v>
      </c>
      <c r="W958" s="38"/>
    </row>
    <row r="959" ht="24" customHeight="1" spans="1:23" x14ac:dyDescent="0.25">
      <c r="A959" s="47">
        <v>1616</v>
      </c>
      <c r="B959" s="32" t="s">
        <v>1042</v>
      </c>
      <c r="C959" s="48" t="s">
        <v>24</v>
      </c>
      <c r="D959" s="49">
        <v>1992</v>
      </c>
      <c r="E959" s="34" t="s">
        <v>27</v>
      </c>
      <c r="F959" s="6">
        <v>8</v>
      </c>
      <c r="G959" s="6"/>
      <c r="H959" s="6">
        <v>8</v>
      </c>
      <c r="I959" s="6">
        <v>6</v>
      </c>
      <c r="J959" s="6">
        <v>8</v>
      </c>
      <c r="K959" s="6"/>
      <c r="L959" s="6"/>
      <c r="M959" s="6">
        <v>9</v>
      </c>
      <c r="N959" s="6">
        <v>9</v>
      </c>
      <c r="O959" s="6">
        <v>8</v>
      </c>
      <c r="P959" s="6"/>
      <c r="Q959" s="6"/>
      <c r="R959" s="6"/>
      <c r="S959" s="50">
        <f>SUM(F959:R959)</f>
        <v>56</v>
      </c>
      <c r="T959" s="50">
        <f>COUNT(F959:R959)</f>
        <v>7</v>
      </c>
      <c r="U959" s="36">
        <f>IF(T959&gt;=2,ROUND((IF(T959=2,0.55,IF(T959&lt;=4,0.7,IF(T959&lt;=6,0.8,IF(T959&lt;=9,0.9,1))))*(S959/T959)+(1-(IF(T959=2,0.55,IF(T959&lt;=4,0.7,IF(T959&lt;=6,0.8,IF(T959&lt;=9,0.9,1))))))*$Y$1),1),"")</f>
        <v>8</v>
      </c>
      <c r="V959" s="37">
        <v>7.2</v>
      </c>
      <c r="W959" s="38" t="s">
        <v>44</v>
      </c>
    </row>
    <row r="960" ht="24" customHeight="1" spans="1:23" x14ac:dyDescent="0.25">
      <c r="A960" s="31">
        <v>1497</v>
      </c>
      <c r="B960" s="32" t="s">
        <v>1043</v>
      </c>
      <c r="C960" s="33" t="s">
        <v>24</v>
      </c>
      <c r="D960" s="34">
        <v>2022</v>
      </c>
      <c r="E960" s="34" t="s">
        <v>30</v>
      </c>
      <c r="F960" s="6">
        <v>7</v>
      </c>
      <c r="G960" s="6">
        <v>8</v>
      </c>
      <c r="H960" s="6"/>
      <c r="I960" s="6">
        <v>6</v>
      </c>
      <c r="J960" s="6">
        <v>8</v>
      </c>
      <c r="K960" s="6">
        <v>7</v>
      </c>
      <c r="L960" s="6"/>
      <c r="M960" s="6"/>
      <c r="N960" s="6">
        <v>8</v>
      </c>
      <c r="O960" s="6"/>
      <c r="P960" s="6"/>
      <c r="Q960" s="6">
        <v>7</v>
      </c>
      <c r="R960" s="6">
        <v>6</v>
      </c>
      <c r="S960" s="35">
        <f>SUM(F960:R960)</f>
        <v>57</v>
      </c>
      <c r="T960" s="35">
        <f>COUNT(F960:R960)</f>
        <v>8</v>
      </c>
      <c r="U960" s="36">
        <f>IF(T960&gt;=2,ROUND((IF(T960=2,0.55,IF(T960&lt;=4,0.7,IF(T960&lt;=6,0.8,IF(T960&lt;=9,0.9,1))))*(S960/T960)+(1-(IF(T960=2,0.55,IF(T960&lt;=4,0.7,IF(T960&lt;=6,0.8,IF(T960&lt;=9,0.9,1))))))*$Y$1),1),"")</f>
        <v>7.2</v>
      </c>
      <c r="V960" s="37">
        <v>7.8</v>
      </c>
      <c r="W960" s="38"/>
    </row>
    <row r="961" ht="24" customHeight="1" spans="1:23" x14ac:dyDescent="0.25">
      <c r="A961" s="42">
        <v>157</v>
      </c>
      <c r="B961" s="32" t="s">
        <v>1044</v>
      </c>
      <c r="C961" s="43" t="s">
        <v>24</v>
      </c>
      <c r="D961" s="44">
        <v>2018</v>
      </c>
      <c r="E961" s="44" t="s">
        <v>30</v>
      </c>
      <c r="F961" s="6">
        <v>8</v>
      </c>
      <c r="G961" s="6">
        <v>8</v>
      </c>
      <c r="H961" s="6">
        <v>6</v>
      </c>
      <c r="I961" s="6">
        <v>8</v>
      </c>
      <c r="J961" s="6">
        <v>8</v>
      </c>
      <c r="K961" s="6">
        <v>8</v>
      </c>
      <c r="L961" s="6">
        <v>6</v>
      </c>
      <c r="M961" s="6">
        <v>8</v>
      </c>
      <c r="N961" s="6">
        <v>8</v>
      </c>
      <c r="O961" s="6"/>
      <c r="P961" s="6">
        <v>8</v>
      </c>
      <c r="Q961" s="6">
        <v>8</v>
      </c>
      <c r="R961" s="6">
        <v>10</v>
      </c>
      <c r="S961" s="45">
        <f>SUM(F961:R961)</f>
        <v>94</v>
      </c>
      <c r="T961" s="45">
        <f>COUNT(F961:R961)</f>
        <v>12</v>
      </c>
      <c r="U961" s="36">
        <f>IF(T961&gt;=2,ROUND((IF(T961=2,0.55,IF(T961&lt;=4,0.7,IF(T961&lt;=6,0.8,IF(T961&lt;=9,0.9,1))))*(S961/T961)+(1-(IF(T961=2,0.55,IF(T961&lt;=4,0.7,IF(T961&lt;=6,0.8,IF(T961&lt;=9,0.9,1))))))*$Y$1),1),"")</f>
        <v>7.8</v>
      </c>
      <c r="V961" s="37">
        <v>6.8</v>
      </c>
      <c r="W961" s="38" t="s">
        <v>44</v>
      </c>
    </row>
    <row r="962" ht="24" customHeight="1" spans="1:23" x14ac:dyDescent="0.25">
      <c r="A962" s="31">
        <v>177</v>
      </c>
      <c r="B962" s="32" t="s">
        <v>1045</v>
      </c>
      <c r="C962" s="33" t="s">
        <v>24</v>
      </c>
      <c r="D962" s="34">
        <v>2016</v>
      </c>
      <c r="E962" s="34" t="s">
        <v>25</v>
      </c>
      <c r="F962" s="6"/>
      <c r="G962" s="6"/>
      <c r="H962" s="6"/>
      <c r="I962" s="6">
        <v>8</v>
      </c>
      <c r="J962" s="6"/>
      <c r="K962" s="6">
        <v>10</v>
      </c>
      <c r="L962" s="6"/>
      <c r="M962" s="6"/>
      <c r="N962" s="6"/>
      <c r="O962" s="6"/>
      <c r="P962" s="6"/>
      <c r="Q962" s="6">
        <v>10</v>
      </c>
      <c r="R962" s="6"/>
      <c r="S962" s="35">
        <f>SUM(F962:R962)</f>
        <v>28</v>
      </c>
      <c r="T962" s="35">
        <f>COUNT(F962:R962)</f>
        <v>3</v>
      </c>
      <c r="U962" s="36">
        <f>IF(T962&gt;=2,ROUND((IF(T962=2,0.55,IF(T962&lt;=4,0.7,IF(T962&lt;=6,0.8,IF(T962&lt;=9,0.9,1))))*(S962/T962)+(1-(IF(T962=2,0.55,IF(T962&lt;=4,0.7,IF(T962&lt;=6,0.8,IF(T962&lt;=9,0.9,1))))))*$Y$1),1),"")</f>
        <v>9</v>
      </c>
      <c r="V962" s="37"/>
      <c r="W962" s="38"/>
    </row>
    <row r="963" ht="24" customHeight="1" spans="1:23" x14ac:dyDescent="0.25">
      <c r="A963" s="31">
        <v>882</v>
      </c>
      <c r="B963" s="32" t="s">
        <v>1046</v>
      </c>
      <c r="C963" s="33" t="s">
        <v>24</v>
      </c>
      <c r="D963" s="34">
        <v>2020</v>
      </c>
      <c r="E963" s="34" t="s">
        <v>30</v>
      </c>
      <c r="F963" s="6"/>
      <c r="G963" s="6"/>
      <c r="H963" s="6"/>
      <c r="I963" s="6"/>
      <c r="J963" s="6"/>
      <c r="K963" s="6"/>
      <c r="L963" s="6">
        <v>6</v>
      </c>
      <c r="M963" s="6"/>
      <c r="N963" s="6"/>
      <c r="O963" s="6"/>
      <c r="P963" s="6"/>
      <c r="Q963" s="6"/>
      <c r="R963" s="6"/>
      <c r="S963" s="35">
        <f>SUM(F963:R963)</f>
        <v>6</v>
      </c>
      <c r="T963" s="35">
        <f>COUNT(F963:R963)</f>
        <v>1</v>
      </c>
      <c r="U963" s="36">
        <f>IF(T963&gt;=2,ROUND((IF(T963=2,0.55,IF(T963&lt;=4,0.7,IF(T963&lt;=6,0.8,IF(T963&lt;=9,0.9,1))))*(S963/T963)+(1-(IF(T963=2,0.55,IF(T963&lt;=4,0.7,IF(T963&lt;=6,0.8,IF(T963&lt;=9,0.9,1))))))*$Y$1),1),"")</f>
      </c>
      <c r="V963" s="37">
        <v>7.2</v>
      </c>
      <c r="W963" s="38"/>
    </row>
    <row r="964" ht="24" customHeight="1" spans="1:23" s="39" customFormat="1" x14ac:dyDescent="0.25">
      <c r="A964" s="31">
        <v>783</v>
      </c>
      <c r="B964" s="32" t="s">
        <v>1047</v>
      </c>
      <c r="C964" s="33" t="s">
        <v>24</v>
      </c>
      <c r="D964" s="34">
        <v>2018</v>
      </c>
      <c r="E964" s="34" t="s">
        <v>30</v>
      </c>
      <c r="F964" s="6"/>
      <c r="G964" s="6"/>
      <c r="H964" s="6"/>
      <c r="I964" s="6"/>
      <c r="J964" s="6">
        <v>8</v>
      </c>
      <c r="K964" s="6"/>
      <c r="L964" s="6"/>
      <c r="M964" s="6"/>
      <c r="N964" s="6"/>
      <c r="O964" s="6"/>
      <c r="P964" s="6"/>
      <c r="Q964" s="6"/>
      <c r="R964" s="6"/>
      <c r="S964" s="35">
        <f>SUM(F964:R964)</f>
        <v>8</v>
      </c>
      <c r="T964" s="35">
        <f>COUNT(F964:R964)</f>
        <v>1</v>
      </c>
      <c r="U964" s="36">
        <f>IF(T964&gt;=2,ROUND((IF(T964=2,0.55,IF(T964&lt;=4,0.7,IF(T964&lt;=6,0.8,IF(T964&lt;=9,0.9,1))))*(S964/T964)+(1-(IF(T964=2,0.55,IF(T964&lt;=4,0.7,IF(T964&lt;=6,0.8,IF(T964&lt;=9,0.9,1))))))*$Y$1),1),"")</f>
      </c>
      <c r="V964" s="37">
        <v>7.3</v>
      </c>
      <c r="W964" s="38"/>
    </row>
    <row r="965" ht="24" customHeight="1" spans="1:23" x14ac:dyDescent="0.25">
      <c r="A965" s="40">
        <v>2204</v>
      </c>
      <c r="B965" s="32" t="s">
        <v>1048</v>
      </c>
      <c r="C965" s="33" t="s">
        <v>24</v>
      </c>
      <c r="D965" s="34">
        <v>2007</v>
      </c>
      <c r="E965" s="41"/>
      <c r="F965" s="6">
        <v>7</v>
      </c>
      <c r="G965" s="6">
        <v>7</v>
      </c>
      <c r="H965" s="6"/>
      <c r="I965" s="6"/>
      <c r="J965" s="6">
        <v>9</v>
      </c>
      <c r="K965" s="6"/>
      <c r="L965" s="6"/>
      <c r="M965" s="6"/>
      <c r="N965" s="6"/>
      <c r="O965" s="6"/>
      <c r="P965" s="6"/>
      <c r="Q965" s="6"/>
      <c r="R965" s="6"/>
      <c r="S965" s="35">
        <f>SUM(F965:R965)</f>
        <v>23</v>
      </c>
      <c r="T965" s="35">
        <f>COUNT(F965:R965)</f>
        <v>3</v>
      </c>
      <c r="U965" s="36">
        <f>IF(T965&gt;=2,ROUND((IF(T965=2,0.55,IF(T965&lt;=4,0.7,IF(T965&lt;=6,0.8,IF(T965&lt;=9,0.9,1))))*(S965/T965)+(1-(IF(T965=2,0.55,IF(T965&lt;=4,0.7,IF(T965&lt;=6,0.8,IF(T965&lt;=9,0.9,1))))))*$Y$1),1),"")</f>
        <v>7.8</v>
      </c>
      <c r="V965" s="37">
        <v>8</v>
      </c>
      <c r="W965" s="38"/>
    </row>
    <row r="966" ht="24" customHeight="1" spans="1:23" x14ac:dyDescent="0.25">
      <c r="A966" s="31">
        <v>1656</v>
      </c>
      <c r="B966" s="32" t="s">
        <v>1049</v>
      </c>
      <c r="C966" s="33" t="s">
        <v>29</v>
      </c>
      <c r="D966" s="34">
        <v>2023</v>
      </c>
      <c r="E966" s="34" t="s">
        <v>30</v>
      </c>
      <c r="F966" s="6">
        <v>8</v>
      </c>
      <c r="G966" s="6"/>
      <c r="H966" s="6"/>
      <c r="I966" s="6"/>
      <c r="J966" s="6"/>
      <c r="K966" s="6"/>
      <c r="L966" s="6">
        <v>10</v>
      </c>
      <c r="M966" s="6"/>
      <c r="N966" s="6"/>
      <c r="O966" s="6"/>
      <c r="P966" s="6"/>
      <c r="Q966" s="6"/>
      <c r="R966" s="6"/>
      <c r="S966" s="35">
        <f>SUM(F966:R966)</f>
        <v>18</v>
      </c>
      <c r="T966" s="35">
        <f>COUNT(F966:R966)</f>
        <v>2</v>
      </c>
      <c r="U966" s="36">
        <f>IF(T966&gt;=2,ROUND((IF(T966=2,0.55,IF(T966&lt;=4,0.7,IF(T966&lt;=6,0.8,IF(T966&lt;=9,0.9,1))))*(S966/T966)+(1-(IF(T966=2,0.55,IF(T966&lt;=4,0.7,IF(T966&lt;=6,0.8,IF(T966&lt;=9,0.9,1))))))*$Y$1),1),"")</f>
        <v>8.6</v>
      </c>
      <c r="V966" s="37">
        <v>8.2</v>
      </c>
      <c r="W966" s="38"/>
    </row>
    <row r="967" ht="24" customHeight="1" spans="1:23" x14ac:dyDescent="0.25">
      <c r="A967" s="40">
        <v>2271</v>
      </c>
      <c r="B967" s="32" t="s">
        <v>1050</v>
      </c>
      <c r="C967" s="33" t="s">
        <v>24</v>
      </c>
      <c r="D967" s="34">
        <v>2011</v>
      </c>
      <c r="E967" s="41"/>
      <c r="F967" s="6"/>
      <c r="G967" s="6">
        <v>7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35">
        <f>SUM(F967:R967)</f>
        <v>7</v>
      </c>
      <c r="T967" s="35">
        <f>COUNT(F967:R967)</f>
        <v>1</v>
      </c>
      <c r="U967" s="36">
        <f>IF(T967&gt;=2,ROUND((IF(T967=2,0.55,IF(T967&lt;=4,0.7,IF(T967&lt;=6,0.8,IF(T967&lt;=9,0.9,1))))*(S967/T967)+(1-(IF(T967=2,0.55,IF(T967&lt;=4,0.7,IF(T967&lt;=6,0.8,IF(T967&lt;=9,0.9,1))))))*$Y$1),1),"")</f>
      </c>
      <c r="V967" s="37">
        <v>7.3</v>
      </c>
      <c r="W967" s="38"/>
    </row>
    <row r="968" ht="24" customHeight="1" spans="1:23" x14ac:dyDescent="0.25">
      <c r="A968" s="31">
        <v>1855</v>
      </c>
      <c r="B968" s="32" t="s">
        <v>1051</v>
      </c>
      <c r="C968" s="33" t="s">
        <v>24</v>
      </c>
      <c r="D968" s="34">
        <v>1996</v>
      </c>
      <c r="E968" s="34" t="s">
        <v>25</v>
      </c>
      <c r="F968" s="6">
        <v>8</v>
      </c>
      <c r="G968" s="6">
        <v>8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35">
        <f>SUM(F968:R968)</f>
        <v>16</v>
      </c>
      <c r="T968" s="35">
        <f>COUNT(F968:R968)</f>
        <v>2</v>
      </c>
      <c r="U968" s="36">
        <f>IF(T968&gt;=2,ROUND((IF(T968=2,0.55,IF(T968&lt;=4,0.7,IF(T968&lt;=6,0.8,IF(T968&lt;=9,0.9,1))))*(S968/T968)+(1-(IF(T968=2,0.55,IF(T968&lt;=4,0.7,IF(T968&lt;=6,0.8,IF(T968&lt;=9,0.9,1))))))*$Y$1),1),"")</f>
        <v>8</v>
      </c>
      <c r="V968" s="37">
        <v>8</v>
      </c>
      <c r="W968" s="38"/>
    </row>
    <row r="969" ht="24" customHeight="1" spans="1:23" x14ac:dyDescent="0.25">
      <c r="A969" s="31">
        <v>234</v>
      </c>
      <c r="B969" s="32" t="s">
        <v>1052</v>
      </c>
      <c r="C969" s="33" t="s">
        <v>24</v>
      </c>
      <c r="D969" s="34">
        <v>2017</v>
      </c>
      <c r="E969" s="34" t="s">
        <v>30</v>
      </c>
      <c r="F969" s="6"/>
      <c r="G969" s="6"/>
      <c r="H969" s="6">
        <v>6</v>
      </c>
      <c r="I969" s="6"/>
      <c r="J969" s="6">
        <v>6</v>
      </c>
      <c r="K969" s="6">
        <v>6</v>
      </c>
      <c r="L969" s="6"/>
      <c r="M969" s="6">
        <v>6</v>
      </c>
      <c r="N969" s="6">
        <v>6</v>
      </c>
      <c r="O969" s="6"/>
      <c r="P969" s="6"/>
      <c r="Q969" s="6">
        <v>6</v>
      </c>
      <c r="R969" s="6"/>
      <c r="S969" s="35">
        <f>SUM(F969:R969)</f>
        <v>36</v>
      </c>
      <c r="T969" s="35">
        <f>COUNT(F969:R969)</f>
        <v>6</v>
      </c>
      <c r="U969" s="36">
        <f>IF(T969&gt;=2,ROUND((IF(T969=2,0.55,IF(T969&lt;=4,0.7,IF(T969&lt;=6,0.8,IF(T969&lt;=9,0.9,1))))*(S969/T969)+(1-(IF(T969=2,0.55,IF(T969&lt;=4,0.7,IF(T969&lt;=6,0.8,IF(T969&lt;=9,0.9,1))))))*$Y$1),1),"")</f>
        <v>6.4</v>
      </c>
      <c r="V969" s="37">
        <v>7.4</v>
      </c>
      <c r="W969" s="38"/>
    </row>
    <row r="970" ht="47.25" customHeight="1" spans="1:23" x14ac:dyDescent="0.25">
      <c r="A970" s="31">
        <v>1227</v>
      </c>
      <c r="B970" s="32" t="s">
        <v>1053</v>
      </c>
      <c r="C970" s="33" t="s">
        <v>24</v>
      </c>
      <c r="D970" s="34">
        <v>2021</v>
      </c>
      <c r="E970" s="34" t="s">
        <v>30</v>
      </c>
      <c r="F970" s="6"/>
      <c r="G970" s="6"/>
      <c r="H970" s="6"/>
      <c r="I970" s="6">
        <v>8</v>
      </c>
      <c r="J970" s="6"/>
      <c r="K970" s="6">
        <v>8</v>
      </c>
      <c r="L970" s="6"/>
      <c r="M970" s="6"/>
      <c r="N970" s="6"/>
      <c r="O970" s="6">
        <v>8</v>
      </c>
      <c r="P970" s="6"/>
      <c r="Q970" s="6">
        <v>8</v>
      </c>
      <c r="R970" s="6">
        <v>8</v>
      </c>
      <c r="S970" s="35">
        <f>SUM(F970:R970)</f>
        <v>40</v>
      </c>
      <c r="T970" s="35">
        <f>COUNT(F970:R970)</f>
        <v>5</v>
      </c>
      <c r="U970" s="36">
        <f>IF(T970&gt;=2,ROUND((IF(T970=2,0.55,IF(T970&lt;=4,0.7,IF(T970&lt;=6,0.8,IF(T970&lt;=9,0.9,1))))*(S970/T970)+(1-(IF(T970=2,0.55,IF(T970&lt;=4,0.7,IF(T970&lt;=6,0.8,IF(T970&lt;=9,0.9,1))))))*$Y$1),1),"")</f>
        <v>8</v>
      </c>
      <c r="V970" s="37">
        <v>6.8</v>
      </c>
      <c r="W970" s="38"/>
    </row>
    <row r="971" ht="24" customHeight="1" spans="1:23" x14ac:dyDescent="0.25">
      <c r="A971" s="40">
        <v>2167</v>
      </c>
      <c r="B971" s="32" t="s">
        <v>1054</v>
      </c>
      <c r="C971" s="33" t="s">
        <v>24</v>
      </c>
      <c r="D971" s="34">
        <v>2005</v>
      </c>
      <c r="E971" s="41"/>
      <c r="F971" s="6"/>
      <c r="G971" s="6">
        <v>7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35">
        <f>SUM(F971:R971)</f>
        <v>7</v>
      </c>
      <c r="T971" s="35">
        <f>COUNT(F971:R971)</f>
        <v>1</v>
      </c>
      <c r="U971" s="36">
        <f>IF(T971&gt;=2,ROUND((IF(T971=2,0.55,IF(T971&lt;=4,0.7,IF(T971&lt;=6,0.8,IF(T971&lt;=9,0.9,1))))*(S971/T971)+(1-(IF(T971=2,0.55,IF(T971&lt;=4,0.7,IF(T971&lt;=6,0.8,IF(T971&lt;=9,0.9,1))))))*$Y$1),1),"")</f>
      </c>
      <c r="V971" s="37">
        <v>7.5</v>
      </c>
      <c r="W971" s="38"/>
    </row>
    <row r="972" ht="24" customHeight="1" spans="1:23" x14ac:dyDescent="0.25">
      <c r="A972" s="31">
        <v>1157</v>
      </c>
      <c r="B972" s="32" t="s">
        <v>1055</v>
      </c>
      <c r="C972" s="33" t="s">
        <v>24</v>
      </c>
      <c r="D972" s="34">
        <v>2015</v>
      </c>
      <c r="E972" s="34" t="s">
        <v>27</v>
      </c>
      <c r="F972" s="6">
        <v>8</v>
      </c>
      <c r="G972" s="6"/>
      <c r="H972" s="6"/>
      <c r="I972" s="6"/>
      <c r="J972" s="6"/>
      <c r="K972" s="6"/>
      <c r="L972" s="6">
        <v>8</v>
      </c>
      <c r="M972" s="6"/>
      <c r="N972" s="6"/>
      <c r="O972" s="6"/>
      <c r="P972" s="6"/>
      <c r="Q972" s="6"/>
      <c r="R972" s="6"/>
      <c r="S972" s="35">
        <f>SUM(F972:R972)</f>
        <v>16</v>
      </c>
      <c r="T972" s="35">
        <f>COUNT(F972:R972)</f>
        <v>2</v>
      </c>
      <c r="U972" s="36">
        <f>IF(T972&gt;=2,ROUND((IF(T972=2,0.55,IF(T972&lt;=4,0.7,IF(T972&lt;=6,0.8,IF(T972&lt;=9,0.9,1))))*(S972/T972)+(1-(IF(T972=2,0.55,IF(T972&lt;=4,0.7,IF(T972&lt;=6,0.8,IF(T972&lt;=9,0.9,1))))))*$Y$1),1),"")</f>
        <v>8</v>
      </c>
      <c r="V972" s="37">
        <v>7.3</v>
      </c>
      <c r="W972" s="38"/>
    </row>
    <row r="973" ht="24" customHeight="1" spans="1:23" x14ac:dyDescent="0.25">
      <c r="A973" s="31">
        <v>856</v>
      </c>
      <c r="B973" s="32" t="s">
        <v>1056</v>
      </c>
      <c r="C973" s="33" t="s">
        <v>24</v>
      </c>
      <c r="D973" s="34">
        <v>2016</v>
      </c>
      <c r="E973" s="34" t="s">
        <v>122</v>
      </c>
      <c r="F973" s="6"/>
      <c r="G973" s="6">
        <v>7</v>
      </c>
      <c r="H973" s="6"/>
      <c r="I973" s="6"/>
      <c r="J973" s="6"/>
      <c r="K973" s="6"/>
      <c r="L973" s="6"/>
      <c r="M973" s="6"/>
      <c r="N973" s="6"/>
      <c r="O973" s="6">
        <v>7</v>
      </c>
      <c r="P973" s="6"/>
      <c r="Q973" s="6"/>
      <c r="R973" s="6"/>
      <c r="S973" s="35">
        <f>SUM(F973:R973)</f>
        <v>14</v>
      </c>
      <c r="T973" s="35">
        <f>COUNT(F973:R973)</f>
        <v>2</v>
      </c>
      <c r="U973" s="36">
        <f>IF(T973&gt;=2,ROUND((IF(T973=2,0.55,IF(T973&lt;=4,0.7,IF(T973&lt;=6,0.8,IF(T973&lt;=9,0.9,1))))*(S973/T973)+(1-(IF(T973=2,0.55,IF(T973&lt;=4,0.7,IF(T973&lt;=6,0.8,IF(T973&lt;=9,0.9,1))))))*$Y$1),1),"")</f>
        <v>7.5</v>
      </c>
      <c r="V973" s="37">
        <v>7.3</v>
      </c>
      <c r="W973" s="38"/>
    </row>
    <row r="974" ht="24" customHeight="1" spans="1:23" s="39" customFormat="1" x14ac:dyDescent="0.25">
      <c r="A974" s="31">
        <v>1482</v>
      </c>
      <c r="B974" s="32" t="s">
        <v>1057</v>
      </c>
      <c r="C974" s="33" t="s">
        <v>29</v>
      </c>
      <c r="D974" s="34">
        <v>2022</v>
      </c>
      <c r="E974" s="34" t="s">
        <v>69</v>
      </c>
      <c r="F974" s="6"/>
      <c r="G974" s="6"/>
      <c r="H974" s="6">
        <v>8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35">
        <f>SUM(F974:R974)</f>
        <v>8</v>
      </c>
      <c r="T974" s="35">
        <f>COUNT(F974:R974)</f>
        <v>1</v>
      </c>
      <c r="U974" s="36">
        <f>IF(T974&gt;=2,ROUND((IF(T974=2,0.55,IF(T974&lt;=4,0.7,IF(T974&lt;=6,0.8,IF(T974&lt;=9,0.9,1))))*(S974/T974)+(1-(IF(T974=2,0.55,IF(T974&lt;=4,0.7,IF(T974&lt;=6,0.8,IF(T974&lt;=9,0.9,1))))))*$Y$1),1),"")</f>
      </c>
      <c r="V974" s="37">
        <v>7.5</v>
      </c>
      <c r="W974" s="38"/>
    </row>
    <row r="975" ht="24" customHeight="1" spans="1:23" x14ac:dyDescent="0.25">
      <c r="A975" s="31">
        <v>1244</v>
      </c>
      <c r="B975" s="32" t="s">
        <v>1058</v>
      </c>
      <c r="C975" s="33" t="s">
        <v>24</v>
      </c>
      <c r="D975" s="34">
        <v>1988</v>
      </c>
      <c r="E975" s="34" t="s">
        <v>30</v>
      </c>
      <c r="F975" s="6"/>
      <c r="G975" s="6"/>
      <c r="H975" s="6"/>
      <c r="I975" s="6"/>
      <c r="J975" s="6">
        <v>6</v>
      </c>
      <c r="K975" s="6"/>
      <c r="L975" s="6">
        <v>6</v>
      </c>
      <c r="M975" s="6"/>
      <c r="N975" s="6"/>
      <c r="O975" s="6"/>
      <c r="P975" s="6"/>
      <c r="Q975" s="6"/>
      <c r="R975" s="6"/>
      <c r="S975" s="35">
        <f>SUM(F975:R975)</f>
        <v>12</v>
      </c>
      <c r="T975" s="35">
        <f>COUNT(F975:R975)</f>
        <v>2</v>
      </c>
      <c r="U975" s="36">
        <f>IF(T975&gt;=2,ROUND((IF(T975=2,0.55,IF(T975&lt;=4,0.7,IF(T975&lt;=6,0.8,IF(T975&lt;=9,0.9,1))))*(S975/T975)+(1-(IF(T975=2,0.55,IF(T975&lt;=4,0.7,IF(T975&lt;=6,0.8,IF(T975&lt;=9,0.9,1))))))*$Y$1),1),"")</f>
        <v>6.9</v>
      </c>
      <c r="V975" s="37">
        <v>7.5</v>
      </c>
      <c r="W975" s="38"/>
    </row>
    <row r="976" ht="24" customHeight="1" spans="1:23" x14ac:dyDescent="0.25">
      <c r="A976" s="31">
        <v>696</v>
      </c>
      <c r="B976" s="32" t="s">
        <v>1059</v>
      </c>
      <c r="C976" s="33" t="s">
        <v>24</v>
      </c>
      <c r="D976" s="34">
        <v>2020</v>
      </c>
      <c r="E976" s="34" t="s">
        <v>30</v>
      </c>
      <c r="F976" s="6"/>
      <c r="G976" s="6"/>
      <c r="H976" s="6"/>
      <c r="I976" s="6"/>
      <c r="J976" s="6"/>
      <c r="K976" s="6">
        <v>4</v>
      </c>
      <c r="L976" s="6"/>
      <c r="M976" s="6"/>
      <c r="N976" s="6"/>
      <c r="O976" s="6"/>
      <c r="P976" s="6"/>
      <c r="Q976" s="6">
        <v>4</v>
      </c>
      <c r="R976" s="6"/>
      <c r="S976" s="35">
        <f>SUM(F976:R976)</f>
        <v>8</v>
      </c>
      <c r="T976" s="35">
        <f>COUNT(F976:R976)</f>
        <v>2</v>
      </c>
      <c r="U976" s="36">
        <f>IF(T976&gt;=2,ROUND((IF(T976=2,0.55,IF(T976&lt;=4,0.7,IF(T976&lt;=6,0.8,IF(T976&lt;=9,0.9,1))))*(S976/T976)+(1-(IF(T976=2,0.55,IF(T976&lt;=4,0.7,IF(T976&lt;=6,0.8,IF(T976&lt;=9,0.9,1))))))*$Y$1),1),"")</f>
        <v>5.8</v>
      </c>
      <c r="V976" s="37">
        <v>5.3</v>
      </c>
      <c r="W976" s="38"/>
    </row>
    <row r="977" ht="24" customHeight="1" spans="1:23" x14ac:dyDescent="0.25">
      <c r="A977" s="31">
        <v>1652</v>
      </c>
      <c r="B977" s="32" t="s">
        <v>1060</v>
      </c>
      <c r="C977" s="33" t="s">
        <v>158</v>
      </c>
      <c r="D977" s="34">
        <v>2012</v>
      </c>
      <c r="E977" s="34" t="s">
        <v>1061</v>
      </c>
      <c r="F977" s="6"/>
      <c r="G977" s="6"/>
      <c r="H977" s="6"/>
      <c r="I977" s="6"/>
      <c r="J977" s="6">
        <v>10</v>
      </c>
      <c r="K977" s="6"/>
      <c r="L977" s="6"/>
      <c r="M977" s="6"/>
      <c r="N977" s="6"/>
      <c r="O977" s="6"/>
      <c r="P977" s="6"/>
      <c r="Q977" s="6"/>
      <c r="R977" s="6"/>
      <c r="S977" s="35">
        <f>SUM(F977:R977)</f>
        <v>10</v>
      </c>
      <c r="T977" s="35">
        <f>COUNT(F977:R977)</f>
        <v>1</v>
      </c>
      <c r="U977" s="36">
        <f>IF(T977&gt;=2,ROUND((IF(T977=2,0.55,IF(T977&lt;=4,0.7,IF(T977&lt;=6,0.8,IF(T977&lt;=9,0.9,1))))*(S977/T977)+(1-(IF(T977=2,0.55,IF(T977&lt;=4,0.7,IF(T977&lt;=6,0.8,IF(T977&lt;=9,0.9,1))))))*$Y$1),1),"")</f>
      </c>
      <c r="V977" s="37">
        <v>8</v>
      </c>
      <c r="W977" s="38"/>
    </row>
    <row r="978" ht="24" customHeight="1" spans="1:23" x14ac:dyDescent="0.25">
      <c r="A978" s="31">
        <v>243</v>
      </c>
      <c r="B978" s="32" t="s">
        <v>1062</v>
      </c>
      <c r="C978" s="33" t="s">
        <v>24</v>
      </c>
      <c r="D978" s="34">
        <v>1979</v>
      </c>
      <c r="E978" s="34" t="s">
        <v>1063</v>
      </c>
      <c r="F978" s="6">
        <v>8</v>
      </c>
      <c r="G978" s="6"/>
      <c r="H978" s="6"/>
      <c r="I978" s="6"/>
      <c r="J978" s="6"/>
      <c r="K978" s="6"/>
      <c r="L978" s="6">
        <v>8</v>
      </c>
      <c r="M978" s="6"/>
      <c r="N978" s="6">
        <v>10</v>
      </c>
      <c r="O978" s="6">
        <v>8</v>
      </c>
      <c r="P978" s="6"/>
      <c r="Q978" s="6"/>
      <c r="R978" s="6"/>
      <c r="S978" s="35">
        <f>SUM(F978:R978)</f>
        <v>34</v>
      </c>
      <c r="T978" s="35">
        <f>COUNT(F978:R978)</f>
        <v>4</v>
      </c>
      <c r="U978" s="36">
        <f>IF(T978&gt;=2,ROUND((IF(T978=2,0.55,IF(T978&lt;=4,0.7,IF(T978&lt;=6,0.8,IF(T978&lt;=9,0.9,1))))*(S978/T978)+(1-(IF(T978=2,0.55,IF(T978&lt;=4,0.7,IF(T978&lt;=6,0.8,IF(T978&lt;=9,0.9,1))))))*$Y$1),1),"")</f>
        <v>8.4</v>
      </c>
      <c r="V978" s="37">
        <v>7.9</v>
      </c>
      <c r="W978" s="38"/>
    </row>
    <row r="979" ht="24" customHeight="1" spans="1:23" x14ac:dyDescent="0.25">
      <c r="A979" s="31">
        <v>83</v>
      </c>
      <c r="B979" s="32" t="s">
        <v>1064</v>
      </c>
      <c r="C979" s="33" t="s">
        <v>24</v>
      </c>
      <c r="D979" s="34">
        <v>2015</v>
      </c>
      <c r="E979" s="34" t="s">
        <v>30</v>
      </c>
      <c r="F979" s="6">
        <v>8</v>
      </c>
      <c r="G979" s="6"/>
      <c r="H979" s="6">
        <v>10</v>
      </c>
      <c r="I979" s="6">
        <v>8</v>
      </c>
      <c r="J979" s="6">
        <v>8</v>
      </c>
      <c r="K979" s="6">
        <v>8</v>
      </c>
      <c r="L979" s="6"/>
      <c r="M979" s="6">
        <v>6</v>
      </c>
      <c r="N979" s="6">
        <v>6</v>
      </c>
      <c r="O979" s="6">
        <v>8</v>
      </c>
      <c r="P979" s="6"/>
      <c r="Q979" s="6">
        <v>8</v>
      </c>
      <c r="R979" s="6"/>
      <c r="S979" s="35">
        <f>SUM(F979:R979)</f>
        <v>70</v>
      </c>
      <c r="T979" s="35">
        <f>COUNT(F979:R979)</f>
        <v>9</v>
      </c>
      <c r="U979" s="36">
        <f>IF(T979&gt;=2,ROUND((IF(T979=2,0.55,IF(T979&lt;=4,0.7,IF(T979&lt;=6,0.8,IF(T979&lt;=9,0.9,1))))*(S979/T979)+(1-(IF(T979=2,0.55,IF(T979&lt;=4,0.7,IF(T979&lt;=6,0.8,IF(T979&lt;=9,0.9,1))))))*$Y$1),1),"")</f>
        <v>7.8</v>
      </c>
      <c r="V979" s="37">
        <v>7.6</v>
      </c>
      <c r="W979" s="38"/>
    </row>
    <row r="980" ht="24" customHeight="1" spans="1:23" x14ac:dyDescent="0.25">
      <c r="A980" s="31">
        <v>2490</v>
      </c>
      <c r="B980" s="32" t="s">
        <v>1065</v>
      </c>
      <c r="C980" s="33" t="s">
        <v>24</v>
      </c>
      <c r="D980" s="34">
        <v>2005</v>
      </c>
      <c r="E980" s="41"/>
      <c r="F980" s="6"/>
      <c r="G980" s="6"/>
      <c r="H980" s="6"/>
      <c r="I980" s="6"/>
      <c r="J980" s="6">
        <v>8</v>
      </c>
      <c r="K980" s="6"/>
      <c r="L980" s="6"/>
      <c r="M980" s="6"/>
      <c r="N980" s="6"/>
      <c r="O980" s="6"/>
      <c r="P980" s="6"/>
      <c r="Q980" s="6"/>
      <c r="R980" s="6"/>
      <c r="S980" s="35">
        <f>SUM(F980:R980)</f>
        <v>8</v>
      </c>
      <c r="T980" s="35">
        <f>COUNT(F980:R980)</f>
        <v>1</v>
      </c>
      <c r="U980" s="36">
        <f>IF(T980&gt;=2,ROUND((IF(T980=2,0.55,IF(T980&lt;=4,0.7,IF(T980&lt;=6,0.8,IF(T980&lt;=9,0.9,1))))*(S980/T980)+(1-(IF(T980=2,0.55,IF(T980&lt;=4,0.7,IF(T980&lt;=6,0.8,IF(T980&lt;=9,0.9,1))))))*$Y$1),1),"")</f>
      </c>
      <c r="V980" s="37">
        <v>7.6</v>
      </c>
      <c r="W980" s="38"/>
    </row>
    <row r="981" ht="47.25" customHeight="1" spans="1:23" x14ac:dyDescent="0.25">
      <c r="A981" s="42">
        <v>154</v>
      </c>
      <c r="B981" s="32" t="s">
        <v>1066</v>
      </c>
      <c r="C981" s="43" t="s">
        <v>24</v>
      </c>
      <c r="D981" s="44">
        <v>1995</v>
      </c>
      <c r="E981" s="44" t="s">
        <v>122</v>
      </c>
      <c r="F981" s="6">
        <v>8</v>
      </c>
      <c r="G981" s="6">
        <v>8</v>
      </c>
      <c r="H981" s="6">
        <v>8</v>
      </c>
      <c r="I981" s="6">
        <v>10</v>
      </c>
      <c r="J981" s="6">
        <v>10</v>
      </c>
      <c r="K981" s="6">
        <v>10</v>
      </c>
      <c r="L981" s="6">
        <v>10</v>
      </c>
      <c r="M981" s="6">
        <v>10</v>
      </c>
      <c r="N981" s="6">
        <v>10</v>
      </c>
      <c r="O981" s="6"/>
      <c r="P981" s="6">
        <v>8</v>
      </c>
      <c r="Q981" s="6">
        <v>10</v>
      </c>
      <c r="R981" s="6">
        <v>10</v>
      </c>
      <c r="S981" s="45">
        <f>SUM(F981:R981)</f>
        <v>112</v>
      </c>
      <c r="T981" s="45">
        <f>COUNT(F981:R981)</f>
        <v>12</v>
      </c>
      <c r="U981" s="36">
        <f>IF(T981&gt;=2,ROUND((IF(T981=2,0.55,IF(T981&lt;=4,0.7,IF(T981&lt;=6,0.8,IF(T981&lt;=9,0.9,1))))*(S981/T981)+(1-(IF(T981=2,0.55,IF(T981&lt;=4,0.7,IF(T981&lt;=6,0.8,IF(T981&lt;=9,0.9,1))))))*$Y$1),1),"")</f>
        <v>9.3</v>
      </c>
      <c r="V981" s="37">
        <v>7.4</v>
      </c>
      <c r="W981" s="38" t="s">
        <v>44</v>
      </c>
    </row>
    <row r="982" ht="24" customHeight="1" spans="1:23" x14ac:dyDescent="0.25">
      <c r="A982" s="31">
        <v>1948</v>
      </c>
      <c r="B982" s="32" t="s">
        <v>1067</v>
      </c>
      <c r="C982" s="33" t="s">
        <v>24</v>
      </c>
      <c r="D982" s="34">
        <v>2001</v>
      </c>
      <c r="E982" s="34" t="s">
        <v>25</v>
      </c>
      <c r="F982" s="6"/>
      <c r="G982" s="6">
        <v>7</v>
      </c>
      <c r="H982" s="6">
        <v>7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35">
        <f>SUM(F982:R982)</f>
        <v>14</v>
      </c>
      <c r="T982" s="35">
        <f>COUNT(F982:R982)</f>
        <v>2</v>
      </c>
      <c r="U982" s="36">
        <f>IF(T982&gt;=2,ROUND((IF(T982=2,0.55,IF(T982&lt;=4,0.7,IF(T982&lt;=6,0.8,IF(T982&lt;=9,0.9,1))))*(S982/T982)+(1-(IF(T982=2,0.55,IF(T982&lt;=4,0.7,IF(T982&lt;=6,0.8,IF(T982&lt;=9,0.9,1))))))*$Y$1),1),"")</f>
        <v>7.5</v>
      </c>
      <c r="V982" s="37">
        <v>7.5</v>
      </c>
      <c r="W982" s="38"/>
    </row>
    <row r="983" ht="24" customHeight="1" spans="1:23" x14ac:dyDescent="0.25">
      <c r="A983" s="31">
        <v>845</v>
      </c>
      <c r="B983" s="32" t="s">
        <v>1068</v>
      </c>
      <c r="C983" s="33" t="s">
        <v>24</v>
      </c>
      <c r="D983" s="34">
        <v>2019</v>
      </c>
      <c r="E983" s="34" t="s">
        <v>30</v>
      </c>
      <c r="F983" s="6"/>
      <c r="G983" s="6"/>
      <c r="H983" s="6"/>
      <c r="I983" s="6"/>
      <c r="J983" s="6"/>
      <c r="K983" s="6"/>
      <c r="L983" s="6"/>
      <c r="M983" s="6"/>
      <c r="N983" s="6">
        <v>6</v>
      </c>
      <c r="O983" s="6"/>
      <c r="P983" s="6"/>
      <c r="Q983" s="6"/>
      <c r="R983" s="6"/>
      <c r="S983" s="35">
        <f>SUM(F983:R983)</f>
        <v>6</v>
      </c>
      <c r="T983" s="35">
        <f>COUNT(F983:R983)</f>
        <v>1</v>
      </c>
      <c r="U983" s="36">
        <f>IF(T983&gt;=2,ROUND((IF(T983=2,0.55,IF(T983&lt;=4,0.7,IF(T983&lt;=6,0.8,IF(T983&lt;=9,0.9,1))))*(S983/T983)+(1-(IF(T983=2,0.55,IF(T983&lt;=4,0.7,IF(T983&lt;=6,0.8,IF(T983&lt;=9,0.9,1))))))*$Y$1),1),"")</f>
      </c>
      <c r="V983" s="37">
        <v>7.1</v>
      </c>
      <c r="W983" s="38"/>
    </row>
    <row r="984" ht="24" customHeight="1" spans="1:23" x14ac:dyDescent="0.25">
      <c r="A984" s="31">
        <v>1289</v>
      </c>
      <c r="B984" s="32" t="s">
        <v>1069</v>
      </c>
      <c r="C984" s="33" t="s">
        <v>24</v>
      </c>
      <c r="D984" s="34">
        <v>2022</v>
      </c>
      <c r="E984" s="34" t="s">
        <v>81</v>
      </c>
      <c r="F984" s="6"/>
      <c r="G984" s="6"/>
      <c r="H984" s="6"/>
      <c r="I984" s="6"/>
      <c r="J984" s="6"/>
      <c r="K984" s="6">
        <v>5</v>
      </c>
      <c r="L984" s="6"/>
      <c r="M984" s="6"/>
      <c r="N984" s="6"/>
      <c r="O984" s="6"/>
      <c r="P984" s="6"/>
      <c r="Q984" s="6">
        <v>5</v>
      </c>
      <c r="R984" s="6"/>
      <c r="S984" s="35">
        <f>SUM(F984:R984)</f>
        <v>10</v>
      </c>
      <c r="T984" s="35">
        <f>COUNT(F984:R984)</f>
        <v>2</v>
      </c>
      <c r="U984" s="36">
        <f>IF(T984&gt;=2,ROUND((IF(T984=2,0.55,IF(T984&lt;=4,0.7,IF(T984&lt;=6,0.8,IF(T984&lt;=9,0.9,1))))*(S984/T984)+(1-(IF(T984=2,0.55,IF(T984&lt;=4,0.7,IF(T984&lt;=6,0.8,IF(T984&lt;=9,0.9,1))))))*$Y$1),1),"")</f>
        <v>6.4</v>
      </c>
      <c r="V984" s="37">
        <v>6.3</v>
      </c>
      <c r="W984" s="38"/>
    </row>
    <row r="985" ht="47.25" customHeight="1" spans="1:23" x14ac:dyDescent="0.25">
      <c r="A985" s="40">
        <v>2065</v>
      </c>
      <c r="B985" s="32" t="s">
        <v>1070</v>
      </c>
      <c r="C985" s="33" t="s">
        <v>24</v>
      </c>
      <c r="D985" s="34">
        <v>1957</v>
      </c>
      <c r="E985" s="41"/>
      <c r="F985" s="6">
        <v>7</v>
      </c>
      <c r="G985" s="6">
        <v>7</v>
      </c>
      <c r="H985" s="6"/>
      <c r="I985" s="6"/>
      <c r="J985" s="6">
        <v>8</v>
      </c>
      <c r="K985" s="6"/>
      <c r="L985" s="6"/>
      <c r="M985" s="6"/>
      <c r="N985" s="6"/>
      <c r="O985" s="6"/>
      <c r="P985" s="6"/>
      <c r="Q985" s="6"/>
      <c r="R985" s="6"/>
      <c r="S985" s="35">
        <f>SUM(F985:R985)</f>
        <v>22</v>
      </c>
      <c r="T985" s="35">
        <f>COUNT(F985:R985)</f>
        <v>3</v>
      </c>
      <c r="U985" s="36">
        <f>IF(T985&gt;=2,ROUND((IF(T985=2,0.55,IF(T985&lt;=4,0.7,IF(T985&lt;=6,0.8,IF(T985&lt;=9,0.9,1))))*(S985/T985)+(1-(IF(T985=2,0.55,IF(T985&lt;=4,0.7,IF(T985&lt;=6,0.8,IF(T985&lt;=9,0.9,1))))))*$Y$1),1),"")</f>
        <v>7.6</v>
      </c>
      <c r="V985" s="37">
        <v>8.1</v>
      </c>
      <c r="W985" s="38"/>
    </row>
    <row r="986" ht="24" customHeight="1" spans="1:23" x14ac:dyDescent="0.25">
      <c r="A986" s="31">
        <v>1175</v>
      </c>
      <c r="B986" s="32" t="s">
        <v>1071</v>
      </c>
      <c r="C986" s="33" t="s">
        <v>24</v>
      </c>
      <c r="D986" s="34">
        <v>2012</v>
      </c>
      <c r="E986" s="34" t="s">
        <v>27</v>
      </c>
      <c r="F986" s="6"/>
      <c r="G986" s="6">
        <v>8</v>
      </c>
      <c r="H986" s="6"/>
      <c r="I986" s="6"/>
      <c r="J986" s="6"/>
      <c r="K986" s="6"/>
      <c r="L986" s="6"/>
      <c r="M986" s="6"/>
      <c r="N986" s="6"/>
      <c r="O986" s="6"/>
      <c r="P986" s="6">
        <v>6</v>
      </c>
      <c r="Q986" s="6"/>
      <c r="R986" s="6"/>
      <c r="S986" s="35">
        <f>SUM(F986:R986)</f>
        <v>14</v>
      </c>
      <c r="T986" s="35">
        <f>COUNT(F986:R986)</f>
        <v>2</v>
      </c>
      <c r="U986" s="36">
        <f>IF(T986&gt;=2,ROUND((IF(T986=2,0.55,IF(T986&lt;=4,0.7,IF(T986&lt;=6,0.8,IF(T986&lt;=9,0.9,1))))*(S986/T986)+(1-(IF(T986=2,0.55,IF(T986&lt;=4,0.7,IF(T986&lt;=6,0.8,IF(T986&lt;=9,0.9,1))))))*$Y$1),1),"")</f>
        <v>7.5</v>
      </c>
      <c r="V986" s="37">
        <v>7.7</v>
      </c>
      <c r="W986" s="38"/>
    </row>
    <row r="987" ht="24" customHeight="1" spans="1:23" x14ac:dyDescent="0.25">
      <c r="A987" s="31">
        <v>625</v>
      </c>
      <c r="B987" s="32" t="s">
        <v>1072</v>
      </c>
      <c r="C987" s="33" t="s">
        <v>24</v>
      </c>
      <c r="D987" s="34">
        <v>2016</v>
      </c>
      <c r="E987" s="34" t="s">
        <v>30</v>
      </c>
      <c r="F987" s="6">
        <v>8</v>
      </c>
      <c r="G987" s="6">
        <v>8</v>
      </c>
      <c r="H987" s="6">
        <v>8</v>
      </c>
      <c r="I987" s="6">
        <v>9</v>
      </c>
      <c r="J987" s="6">
        <v>8</v>
      </c>
      <c r="K987" s="6"/>
      <c r="L987" s="6"/>
      <c r="M987" s="6"/>
      <c r="N987" s="6"/>
      <c r="O987" s="6"/>
      <c r="P987" s="6">
        <v>8</v>
      </c>
      <c r="Q987" s="6"/>
      <c r="R987" s="6"/>
      <c r="S987" s="35">
        <f>SUM(F987:R987)</f>
        <v>49</v>
      </c>
      <c r="T987" s="35">
        <f>COUNT(F987:R987)</f>
        <v>6</v>
      </c>
      <c r="U987" s="36">
        <f>IF(T987&gt;=2,ROUND((IF(T987=2,0.55,IF(T987&lt;=4,0.7,IF(T987&lt;=6,0.8,IF(T987&lt;=9,0.9,1))))*(S987/T987)+(1-(IF(T987=2,0.55,IF(T987&lt;=4,0.7,IF(T987&lt;=6,0.8,IF(T987&lt;=9,0.9,1))))))*$Y$1),1),"")</f>
        <v>8.2</v>
      </c>
      <c r="V987" s="37">
        <v>7.4</v>
      </c>
      <c r="W987" s="38"/>
    </row>
    <row r="988" ht="24" customHeight="1" spans="1:23" x14ac:dyDescent="0.25">
      <c r="A988" s="40">
        <v>2053</v>
      </c>
      <c r="B988" s="32" t="s">
        <v>1073</v>
      </c>
      <c r="C988" s="33" t="s">
        <v>24</v>
      </c>
      <c r="D988" s="34">
        <v>2023</v>
      </c>
      <c r="E988" s="41"/>
      <c r="F988" s="6">
        <v>7</v>
      </c>
      <c r="G988" s="6">
        <v>6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35">
        <f>SUM(F988:R988)</f>
        <v>13</v>
      </c>
      <c r="T988" s="35">
        <f>COUNT(F988:R988)</f>
        <v>2</v>
      </c>
      <c r="U988" s="36">
        <f>IF(T988&gt;=2,ROUND((IF(T988=2,0.55,IF(T988&lt;=4,0.7,IF(T988&lt;=6,0.8,IF(T988&lt;=9,0.9,1))))*(S988/T988)+(1-(IF(T988=2,0.55,IF(T988&lt;=4,0.7,IF(T988&lt;=6,0.8,IF(T988&lt;=9,0.9,1))))))*$Y$1),1),"")</f>
        <v>7.2</v>
      </c>
      <c r="V988" s="37">
        <v>7.8</v>
      </c>
      <c r="W988" s="38"/>
    </row>
    <row r="989" ht="24" customHeight="1" spans="1:23" x14ac:dyDescent="0.25">
      <c r="A989" s="31">
        <v>145</v>
      </c>
      <c r="B989" s="32" t="s">
        <v>1074</v>
      </c>
      <c r="C989" s="33" t="s">
        <v>24</v>
      </c>
      <c r="D989" s="34">
        <v>2017</v>
      </c>
      <c r="E989" s="34" t="s">
        <v>30</v>
      </c>
      <c r="F989" s="6">
        <v>8</v>
      </c>
      <c r="G989" s="6">
        <v>8</v>
      </c>
      <c r="H989" s="6">
        <v>8</v>
      </c>
      <c r="I989" s="6">
        <v>10</v>
      </c>
      <c r="J989" s="6">
        <v>8</v>
      </c>
      <c r="K989" s="6">
        <v>8</v>
      </c>
      <c r="L989" s="6">
        <v>8</v>
      </c>
      <c r="M989" s="6">
        <v>8</v>
      </c>
      <c r="N989" s="6">
        <v>8</v>
      </c>
      <c r="O989" s="6">
        <v>8</v>
      </c>
      <c r="P989" s="6">
        <v>8</v>
      </c>
      <c r="Q989" s="6">
        <v>8</v>
      </c>
      <c r="R989" s="6">
        <v>6</v>
      </c>
      <c r="S989" s="35">
        <f>SUM(F989:R989)</f>
        <v>104</v>
      </c>
      <c r="T989" s="35">
        <f>COUNT(F989:R989)</f>
        <v>13</v>
      </c>
      <c r="U989" s="36">
        <f>IF(T989&gt;=2,ROUND((IF(T989=2,0.55,IF(T989&lt;=4,0.7,IF(T989&lt;=6,0.8,IF(T989&lt;=9,0.9,1))))*(S989/T989)+(1-(IF(T989=2,0.55,IF(T989&lt;=4,0.7,IF(T989&lt;=6,0.8,IF(T989&lt;=9,0.9,1))))))*$Y$1),1),"")</f>
        <v>8</v>
      </c>
      <c r="V989" s="37">
        <v>7.3</v>
      </c>
      <c r="W989" s="38"/>
    </row>
    <row r="990" ht="24" customHeight="1" spans="1:23" x14ac:dyDescent="0.25">
      <c r="A990" s="31">
        <v>1672</v>
      </c>
      <c r="B990" s="32" t="s">
        <v>1075</v>
      </c>
      <c r="C990" s="33" t="s">
        <v>29</v>
      </c>
      <c r="D990" s="34">
        <v>2019</v>
      </c>
      <c r="E990" s="34" t="s">
        <v>30</v>
      </c>
      <c r="F990" s="6">
        <v>8</v>
      </c>
      <c r="G990" s="6"/>
      <c r="H990" s="6">
        <v>8</v>
      </c>
      <c r="I990" s="6"/>
      <c r="J990" s="6">
        <v>7</v>
      </c>
      <c r="K990" s="6"/>
      <c r="L990" s="6"/>
      <c r="M990" s="6">
        <v>8</v>
      </c>
      <c r="N990" s="6"/>
      <c r="O990" s="6"/>
      <c r="P990" s="6"/>
      <c r="Q990" s="6"/>
      <c r="R990" s="6"/>
      <c r="S990" s="35">
        <f>SUM(F990:R990)</f>
        <v>31</v>
      </c>
      <c r="T990" s="35">
        <f>COUNT(F990:R990)</f>
        <v>4</v>
      </c>
      <c r="U990" s="36">
        <f>IF(T990&gt;=2,ROUND((IF(T990=2,0.55,IF(T990&lt;=4,0.7,IF(T990&lt;=6,0.8,IF(T990&lt;=9,0.9,1))))*(S990/T990)+(1-(IF(T990=2,0.55,IF(T990&lt;=4,0.7,IF(T990&lt;=6,0.8,IF(T990&lt;=9,0.9,1))))))*$Y$1),1),"")</f>
        <v>7.9</v>
      </c>
      <c r="V990" s="37">
        <v>7.8</v>
      </c>
      <c r="W990" s="38"/>
    </row>
    <row r="991" ht="24" customHeight="1" spans="1:23" x14ac:dyDescent="0.25">
      <c r="A991" s="31">
        <v>656</v>
      </c>
      <c r="B991" s="32" t="s">
        <v>1076</v>
      </c>
      <c r="C991" s="33" t="s">
        <v>24</v>
      </c>
      <c r="D991" s="34">
        <v>2014</v>
      </c>
      <c r="E991" s="34" t="s">
        <v>27</v>
      </c>
      <c r="F991" s="6"/>
      <c r="G991" s="6">
        <v>8</v>
      </c>
      <c r="H991" s="6"/>
      <c r="I991" s="6"/>
      <c r="J991" s="6"/>
      <c r="K991" s="6"/>
      <c r="L991" s="6"/>
      <c r="M991" s="6"/>
      <c r="N991" s="6"/>
      <c r="O991" s="6"/>
      <c r="P991" s="6">
        <v>6</v>
      </c>
      <c r="Q991" s="6"/>
      <c r="R991" s="6"/>
      <c r="S991" s="35">
        <f>SUM(F991:R991)</f>
        <v>14</v>
      </c>
      <c r="T991" s="35">
        <f>COUNT(F991:R991)</f>
        <v>2</v>
      </c>
      <c r="U991" s="36">
        <f>IF(T991&gt;=2,ROUND((IF(T991=2,0.55,IF(T991&lt;=4,0.7,IF(T991&lt;=6,0.8,IF(T991&lt;=9,0.9,1))))*(S991/T991)+(1-(IF(T991=2,0.55,IF(T991&lt;=4,0.7,IF(T991&lt;=6,0.8,IF(T991&lt;=9,0.9,1))))))*$Y$1),1),"")</f>
        <v>7.5</v>
      </c>
      <c r="V991" s="37">
        <v>8</v>
      </c>
      <c r="W991" s="38"/>
    </row>
    <row r="992" ht="24" customHeight="1" spans="1:23" x14ac:dyDescent="0.25">
      <c r="A992" s="31">
        <v>368</v>
      </c>
      <c r="B992" s="32" t="s">
        <v>1077</v>
      </c>
      <c r="C992" s="33" t="s">
        <v>24</v>
      </c>
      <c r="D992" s="34">
        <v>2003</v>
      </c>
      <c r="E992" s="34" t="s">
        <v>137</v>
      </c>
      <c r="F992" s="6"/>
      <c r="G992" s="6">
        <v>8</v>
      </c>
      <c r="H992" s="6">
        <v>10</v>
      </c>
      <c r="I992" s="6"/>
      <c r="J992" s="6">
        <v>8</v>
      </c>
      <c r="K992" s="6">
        <v>10</v>
      </c>
      <c r="L992" s="6">
        <v>10</v>
      </c>
      <c r="M992" s="6">
        <v>8</v>
      </c>
      <c r="N992" s="6"/>
      <c r="O992" s="6"/>
      <c r="P992" s="6">
        <v>8</v>
      </c>
      <c r="Q992" s="6">
        <v>10</v>
      </c>
      <c r="R992" s="6"/>
      <c r="S992" s="35">
        <f>SUM(F992:R992)</f>
        <v>72</v>
      </c>
      <c r="T992" s="35">
        <f>COUNT(F992:R992)</f>
        <v>8</v>
      </c>
      <c r="U992" s="36">
        <f>IF(T992&gt;=2,ROUND((IF(T992=2,0.55,IF(T992&lt;=4,0.7,IF(T992&lt;=6,0.8,IF(T992&lt;=9,0.9,1))))*(S992/T992)+(1-(IF(T992=2,0.55,IF(T992&lt;=4,0.7,IF(T992&lt;=6,0.8,IF(T992&lt;=9,0.9,1))))))*$Y$1),1),"")</f>
        <v>8.9</v>
      </c>
      <c r="V992" s="37">
        <v>6.9</v>
      </c>
      <c r="W992" s="38"/>
    </row>
    <row r="993" ht="24" customHeight="1" spans="1:23" x14ac:dyDescent="0.25">
      <c r="A993" s="31">
        <v>1062</v>
      </c>
      <c r="B993" s="32" t="s">
        <v>1078</v>
      </c>
      <c r="C993" s="33" t="s">
        <v>24</v>
      </c>
      <c r="D993" s="34">
        <v>1988</v>
      </c>
      <c r="E993" s="34" t="s">
        <v>1061</v>
      </c>
      <c r="F993" s="6">
        <v>9</v>
      </c>
      <c r="G993" s="6">
        <v>8</v>
      </c>
      <c r="H993" s="6"/>
      <c r="I993" s="6"/>
      <c r="J993" s="6"/>
      <c r="K993" s="6"/>
      <c r="L993" s="6"/>
      <c r="M993" s="6"/>
      <c r="N993" s="6">
        <v>10</v>
      </c>
      <c r="O993" s="6"/>
      <c r="P993" s="6">
        <v>10</v>
      </c>
      <c r="Q993" s="6"/>
      <c r="R993" s="6"/>
      <c r="S993" s="35">
        <f>SUM(F993:R993)</f>
        <v>37</v>
      </c>
      <c r="T993" s="35">
        <f>COUNT(F993:R993)</f>
        <v>4</v>
      </c>
      <c r="U993" s="36">
        <f>IF(T993&gt;=2,ROUND((IF(T993=2,0.55,IF(T993&lt;=4,0.7,IF(T993&lt;=6,0.8,IF(T993&lt;=9,0.9,1))))*(S993/T993)+(1-(IF(T993=2,0.55,IF(T993&lt;=4,0.7,IF(T993&lt;=6,0.8,IF(T993&lt;=9,0.9,1))))))*$Y$1),1),"")</f>
        <v>8.9</v>
      </c>
      <c r="V993" s="37">
        <v>7.8</v>
      </c>
      <c r="W993" s="38"/>
    </row>
    <row r="994" ht="24" customHeight="1" spans="1:23" x14ac:dyDescent="0.25">
      <c r="A994" s="31">
        <v>1189</v>
      </c>
      <c r="B994" s="32" t="s">
        <v>1079</v>
      </c>
      <c r="C994" s="33" t="s">
        <v>24</v>
      </c>
      <c r="D994" s="34">
        <v>2019</v>
      </c>
      <c r="E994" s="34" t="s">
        <v>30</v>
      </c>
      <c r="F994" s="6">
        <v>6</v>
      </c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35">
        <f>SUM(F994:R994)</f>
        <v>6</v>
      </c>
      <c r="T994" s="35">
        <f>COUNT(F994:R994)</f>
        <v>1</v>
      </c>
      <c r="U994" s="36">
        <f>IF(T994&gt;=2,ROUND((IF(T994=2,0.55,IF(T994&lt;=4,0.7,IF(T994&lt;=6,0.8,IF(T994&lt;=9,0.9,1))))*(S994/T994)+(1-(IF(T994=2,0.55,IF(T994&lt;=4,0.7,IF(T994&lt;=6,0.8,IF(T994&lt;=9,0.9,1))))))*$Y$1),1),"")</f>
      </c>
      <c r="V994" s="37">
        <v>6.6</v>
      </c>
      <c r="W994" s="38"/>
    </row>
    <row r="995" ht="24" customHeight="1" spans="1:23" x14ac:dyDescent="0.25">
      <c r="A995" s="31">
        <v>1937</v>
      </c>
      <c r="B995" s="32" t="s">
        <v>1080</v>
      </c>
      <c r="C995" s="33" t="s">
        <v>29</v>
      </c>
      <c r="D995" s="34">
        <v>2020</v>
      </c>
      <c r="E995" s="34" t="s">
        <v>25</v>
      </c>
      <c r="F995" s="6"/>
      <c r="G995" s="6"/>
      <c r="H995" s="6">
        <v>8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35">
        <f>SUM(F995:R995)</f>
        <v>8</v>
      </c>
      <c r="T995" s="35">
        <f>COUNT(F995:R995)</f>
        <v>1</v>
      </c>
      <c r="U995" s="36">
        <f>IF(T995&gt;=2,ROUND((IF(T995=2,0.55,IF(T995&lt;=4,0.7,IF(T995&lt;=6,0.8,IF(T995&lt;=9,0.9,1))))*(S995/T995)+(1-(IF(T995=2,0.55,IF(T995&lt;=4,0.7,IF(T995&lt;=6,0.8,IF(T995&lt;=9,0.9,1))))))*$Y$1),1),"")</f>
      </c>
      <c r="V995" s="37">
        <v>7.7</v>
      </c>
      <c r="W995" s="38"/>
    </row>
    <row r="996" ht="24" customHeight="1" spans="1:23" x14ac:dyDescent="0.25">
      <c r="A996" s="31">
        <v>1770</v>
      </c>
      <c r="B996" s="32" t="s">
        <v>1081</v>
      </c>
      <c r="C996" s="33" t="s">
        <v>24</v>
      </c>
      <c r="D996" s="34">
        <v>2006</v>
      </c>
      <c r="E996" s="34" t="s">
        <v>30</v>
      </c>
      <c r="F996" s="6">
        <v>6</v>
      </c>
      <c r="G996" s="6"/>
      <c r="H996" s="6"/>
      <c r="I996" s="6"/>
      <c r="J996" s="6"/>
      <c r="K996" s="6"/>
      <c r="L996" s="6"/>
      <c r="M996" s="6"/>
      <c r="N996" s="6"/>
      <c r="O996" s="6">
        <v>8</v>
      </c>
      <c r="P996" s="6"/>
      <c r="Q996" s="6"/>
      <c r="R996" s="6"/>
      <c r="S996" s="35">
        <f>SUM(F996:R996)</f>
        <v>14</v>
      </c>
      <c r="T996" s="35">
        <f>COUNT(F996:R996)</f>
        <v>2</v>
      </c>
      <c r="U996" s="36">
        <f>IF(T996&gt;=2,ROUND((IF(T996=2,0.55,IF(T996&lt;=4,0.7,IF(T996&lt;=6,0.8,IF(T996&lt;=9,0.9,1))))*(S996/T996)+(1-(IF(T996=2,0.55,IF(T996&lt;=4,0.7,IF(T996&lt;=6,0.8,IF(T996&lt;=9,0.9,1))))))*$Y$1),1),"")</f>
        <v>7.5</v>
      </c>
      <c r="V996" s="37">
        <v>7</v>
      </c>
      <c r="W996" s="38"/>
    </row>
    <row r="997" ht="24" customHeight="1" spans="1:23" x14ac:dyDescent="0.25">
      <c r="A997" s="31">
        <v>2038</v>
      </c>
      <c r="B997" s="32" t="s">
        <v>1082</v>
      </c>
      <c r="C997" s="33" t="s">
        <v>29</v>
      </c>
      <c r="D997" s="34">
        <v>2025</v>
      </c>
      <c r="E997" s="41"/>
      <c r="F997" s="6"/>
      <c r="G997" s="6"/>
      <c r="H997" s="6">
        <v>8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35">
        <f>SUM(F997:R997)</f>
        <v>8</v>
      </c>
      <c r="T997" s="35">
        <f>COUNT(F997:R997)</f>
        <v>1</v>
      </c>
      <c r="U997" s="36">
        <f>IF(T997&gt;=2,ROUND((IF(T997=2,0.55,IF(T997&lt;=4,0.7,IF(T997&lt;=6,0.8,IF(T997&lt;=9,0.9,1))))*(S997/T997)+(1-(IF(T997=2,0.55,IF(T997&lt;=4,0.7,IF(T997&lt;=6,0.8,IF(T997&lt;=9,0.9,1))))))*$Y$1),1),"")</f>
      </c>
      <c r="V997" s="37">
        <v>7.4</v>
      </c>
      <c r="W997" s="38"/>
    </row>
    <row r="998" ht="24" customHeight="1" spans="1:23" x14ac:dyDescent="0.25">
      <c r="A998" s="31">
        <v>1072</v>
      </c>
      <c r="B998" s="32" t="s">
        <v>1083</v>
      </c>
      <c r="C998" s="33" t="s">
        <v>158</v>
      </c>
      <c r="D998" s="34">
        <v>2021</v>
      </c>
      <c r="E998" s="34" t="s">
        <v>30</v>
      </c>
      <c r="F998" s="6"/>
      <c r="G998" s="6"/>
      <c r="H998" s="6"/>
      <c r="I998" s="6"/>
      <c r="J998" s="6"/>
      <c r="K998" s="6"/>
      <c r="L998" s="6">
        <v>8</v>
      </c>
      <c r="M998" s="6"/>
      <c r="N998" s="6"/>
      <c r="O998" s="6"/>
      <c r="P998" s="6"/>
      <c r="Q998" s="6"/>
      <c r="R998" s="6"/>
      <c r="S998" s="35">
        <f>SUM(F998:R998)</f>
        <v>8</v>
      </c>
      <c r="T998" s="35">
        <f>COUNT(F998:R998)</f>
        <v>1</v>
      </c>
      <c r="U998" s="36">
        <f>IF(T998&gt;=2,ROUND((IF(T998=2,0.55,IF(T998&lt;=4,0.7,IF(T998&lt;=6,0.8,IF(T998&lt;=9,0.9,1))))*(S998/T998)+(1-(IF(T998=2,0.55,IF(T998&lt;=4,0.7,IF(T998&lt;=6,0.8,IF(T998&lt;=9,0.9,1))))))*$Y$1),1),"")</f>
      </c>
      <c r="V998" s="37">
        <v>6.6</v>
      </c>
      <c r="W998" s="38"/>
    </row>
    <row r="999" ht="24" customHeight="1" spans="1:23" x14ac:dyDescent="0.25">
      <c r="A999" s="40">
        <v>2307</v>
      </c>
      <c r="B999" s="32" t="s">
        <v>1084</v>
      </c>
      <c r="C999" s="33" t="s">
        <v>24</v>
      </c>
      <c r="D999" s="34">
        <v>2015</v>
      </c>
      <c r="E999" s="41"/>
      <c r="F999" s="6"/>
      <c r="G999" s="6">
        <v>8</v>
      </c>
      <c r="H999" s="6"/>
      <c r="I999" s="6"/>
      <c r="J999" s="6"/>
      <c r="K999" s="6"/>
      <c r="L999" s="6"/>
      <c r="M999" s="6"/>
      <c r="N999" s="6">
        <v>6</v>
      </c>
      <c r="O999" s="6"/>
      <c r="P999" s="6">
        <v>6</v>
      </c>
      <c r="Q999" s="6"/>
      <c r="R999" s="6"/>
      <c r="S999" s="35">
        <f>SUM(F999:R999)</f>
        <v>20</v>
      </c>
      <c r="T999" s="35">
        <f>COUNT(F999:R999)</f>
        <v>3</v>
      </c>
      <c r="U999" s="36">
        <f>IF(T999&gt;=2,ROUND((IF(T999=2,0.55,IF(T999&lt;=4,0.7,IF(T999&lt;=6,0.8,IF(T999&lt;=9,0.9,1))))*(S999/T999)+(1-(IF(T999=2,0.55,IF(T999&lt;=4,0.7,IF(T999&lt;=6,0.8,IF(T999&lt;=9,0.9,1))))))*$Y$1),1),"")</f>
        <v>7.1</v>
      </c>
      <c r="V999" s="37">
        <v>6.6</v>
      </c>
      <c r="W999" s="38"/>
    </row>
    <row r="1000" ht="24" customHeight="1" spans="1:23" x14ac:dyDescent="0.25">
      <c r="A1000" s="31">
        <v>1882</v>
      </c>
      <c r="B1000" s="32" t="s">
        <v>1085</v>
      </c>
      <c r="C1000" s="33" t="s">
        <v>24</v>
      </c>
      <c r="D1000" s="34">
        <v>2010</v>
      </c>
      <c r="E1000" s="34" t="s">
        <v>25</v>
      </c>
      <c r="F1000" s="6">
        <v>7</v>
      </c>
      <c r="G1000" s="6"/>
      <c r="H1000" s="6"/>
      <c r="I1000" s="6"/>
      <c r="J1000" s="6">
        <v>7</v>
      </c>
      <c r="K1000" s="6"/>
      <c r="L1000" s="6"/>
      <c r="M1000" s="6"/>
      <c r="N1000" s="6"/>
      <c r="O1000" s="6"/>
      <c r="P1000" s="6"/>
      <c r="Q1000" s="6"/>
      <c r="R1000" s="6"/>
      <c r="S1000" s="35">
        <f>SUM(F1000:R1000)</f>
        <v>14</v>
      </c>
      <c r="T1000" s="35">
        <f>COUNT(F1000:R1000)</f>
        <v>2</v>
      </c>
      <c r="U1000" s="36">
        <f>IF(T1000&gt;=2,ROUND((IF(T1000=2,0.55,IF(T1000&lt;=4,0.7,IF(T1000&lt;=6,0.8,IF(T1000&lt;=9,0.9,1))))*(S1000/T1000)+(1-(IF(T1000=2,0.55,IF(T1000&lt;=4,0.7,IF(T1000&lt;=6,0.8,IF(T1000&lt;=9,0.9,1))))))*$Y$1),1),"")</f>
        <v>7.5</v>
      </c>
      <c r="V1000" s="37">
        <v>7.2</v>
      </c>
      <c r="W1000" s="38"/>
    </row>
    <row r="1001" ht="24" customHeight="1" spans="1:23" x14ac:dyDescent="0.25">
      <c r="A1001" s="31">
        <v>1066</v>
      </c>
      <c r="B1001" s="32" t="s">
        <v>1086</v>
      </c>
      <c r="C1001" s="33" t="s">
        <v>24</v>
      </c>
      <c r="D1001" s="34">
        <v>2010</v>
      </c>
      <c r="E1001" s="34" t="s">
        <v>27</v>
      </c>
      <c r="F1001" s="6"/>
      <c r="G1001" s="6">
        <v>7</v>
      </c>
      <c r="H1001" s="6"/>
      <c r="I1001" s="6"/>
      <c r="J1001" s="6">
        <v>8</v>
      </c>
      <c r="K1001" s="6"/>
      <c r="L1001" s="6"/>
      <c r="M1001" s="6"/>
      <c r="N1001" s="6"/>
      <c r="O1001" s="6"/>
      <c r="P1001" s="6"/>
      <c r="Q1001" s="6"/>
      <c r="R1001" s="6"/>
      <c r="S1001" s="35">
        <f>SUM(F1001:R1001)</f>
        <v>15</v>
      </c>
      <c r="T1001" s="35">
        <f>COUNT(F1001:R1001)</f>
        <v>2</v>
      </c>
      <c r="U1001" s="36">
        <f>IF(T1001&gt;=2,ROUND((IF(T1001=2,0.55,IF(T1001&lt;=4,0.7,IF(T1001&lt;=6,0.8,IF(T1001&lt;=9,0.9,1))))*(S1001/T1001)+(1-(IF(T1001=2,0.55,IF(T1001&lt;=4,0.7,IF(T1001&lt;=6,0.8,IF(T1001&lt;=9,0.9,1))))))*$Y$1),1),"")</f>
        <v>7.8</v>
      </c>
      <c r="V1001" s="37">
        <v>7</v>
      </c>
      <c r="W1001" s="38"/>
    </row>
    <row r="1002" ht="24" customHeight="1" spans="1:23" x14ac:dyDescent="0.25">
      <c r="A1002" s="31">
        <v>1263</v>
      </c>
      <c r="B1002" s="32" t="s">
        <v>1087</v>
      </c>
      <c r="C1002" s="33" t="s">
        <v>24</v>
      </c>
      <c r="D1002" s="34">
        <v>2021</v>
      </c>
      <c r="E1002" s="34"/>
      <c r="F1002" s="6"/>
      <c r="G1002" s="6"/>
      <c r="H1002" s="6"/>
      <c r="I1002" s="6"/>
      <c r="J1002" s="6"/>
      <c r="K1002" s="6">
        <v>6</v>
      </c>
      <c r="L1002" s="6"/>
      <c r="M1002" s="6"/>
      <c r="N1002" s="6"/>
      <c r="O1002" s="6"/>
      <c r="P1002" s="6"/>
      <c r="Q1002" s="6">
        <v>6</v>
      </c>
      <c r="R1002" s="6"/>
      <c r="S1002" s="35">
        <f>SUM(F1002:R1002)</f>
        <v>12</v>
      </c>
      <c r="T1002" s="35">
        <f>COUNT(F1002:R1002)</f>
        <v>2</v>
      </c>
      <c r="U1002" s="36">
        <f>IF(T1002&gt;=2,ROUND((IF(T1002=2,0.55,IF(T1002&lt;=4,0.7,IF(T1002&lt;=6,0.8,IF(T1002&lt;=9,0.9,1))))*(S1002/T1002)+(1-(IF(T1002=2,0.55,IF(T1002&lt;=4,0.7,IF(T1002&lt;=6,0.8,IF(T1002&lt;=9,0.9,1))))))*$Y$1),1),"")</f>
        <v>6.9</v>
      </c>
      <c r="V1002" s="37">
        <v>5.9</v>
      </c>
      <c r="W1002" s="38"/>
    </row>
    <row r="1003" ht="24" customHeight="1" spans="1:23" x14ac:dyDescent="0.25">
      <c r="A1003" s="31">
        <v>1706</v>
      </c>
      <c r="B1003" s="32" t="s">
        <v>1088</v>
      </c>
      <c r="C1003" s="33" t="s">
        <v>29</v>
      </c>
      <c r="D1003" s="34">
        <v>2023</v>
      </c>
      <c r="E1003" s="34" t="s">
        <v>30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>
        <v>7</v>
      </c>
      <c r="P1003" s="6"/>
      <c r="Q1003" s="6"/>
      <c r="R1003" s="6"/>
      <c r="S1003" s="35">
        <f>SUM(F1003:R1003)</f>
        <v>7</v>
      </c>
      <c r="T1003" s="35">
        <f>COUNT(F1003:R1003)</f>
        <v>1</v>
      </c>
      <c r="U1003" s="36">
        <f>IF(T1003&gt;=2,ROUND((IF(T1003=2,0.55,IF(T1003&lt;=4,0.7,IF(T1003&lt;=6,0.8,IF(T1003&lt;=9,0.9,1))))*(S1003/T1003)+(1-(IF(T1003=2,0.55,IF(T1003&lt;=4,0.7,IF(T1003&lt;=6,0.8,IF(T1003&lt;=9,0.9,1))))))*$Y$1),1),"")</f>
      </c>
      <c r="V1003" s="37">
        <v>6.8</v>
      </c>
      <c r="W1003" s="38"/>
    </row>
    <row r="1004" ht="24" customHeight="1" spans="1:23" x14ac:dyDescent="0.25">
      <c r="A1004" s="31">
        <v>292</v>
      </c>
      <c r="B1004" s="32" t="s">
        <v>1089</v>
      </c>
      <c r="C1004" s="33" t="s">
        <v>24</v>
      </c>
      <c r="D1004" s="34">
        <v>2018</v>
      </c>
      <c r="E1004" s="34" t="s">
        <v>30</v>
      </c>
      <c r="F1004" s="6">
        <v>8</v>
      </c>
      <c r="G1004" s="6"/>
      <c r="H1004" s="6"/>
      <c r="I1004" s="6"/>
      <c r="J1004" s="6">
        <v>8</v>
      </c>
      <c r="K1004" s="6">
        <v>8</v>
      </c>
      <c r="L1004" s="6"/>
      <c r="M1004" s="6"/>
      <c r="N1004" s="6"/>
      <c r="O1004" s="6">
        <v>8</v>
      </c>
      <c r="P1004" s="6"/>
      <c r="Q1004" s="6">
        <v>8</v>
      </c>
      <c r="R1004" s="6"/>
      <c r="S1004" s="35">
        <f>SUM(F1004:R1004)</f>
        <v>40</v>
      </c>
      <c r="T1004" s="35">
        <f>COUNT(F1004:R1004)</f>
        <v>5</v>
      </c>
      <c r="U1004" s="36">
        <f>IF(T1004&gt;=2,ROUND((IF(T1004=2,0.55,IF(T1004&lt;=4,0.7,IF(T1004&lt;=6,0.8,IF(T1004&lt;=9,0.9,1))))*(S1004/T1004)+(1-(IF(T1004=2,0.55,IF(T1004&lt;=4,0.7,IF(T1004&lt;=6,0.8,IF(T1004&lt;=9,0.9,1))))))*$Y$1),1),"")</f>
        <v>8</v>
      </c>
      <c r="V1004" s="37">
        <v>7.1</v>
      </c>
      <c r="W1004" s="38"/>
    </row>
    <row r="1005" ht="24" customHeight="1" spans="1:23" x14ac:dyDescent="0.25">
      <c r="A1005" s="31">
        <v>81</v>
      </c>
      <c r="B1005" s="32" t="s">
        <v>1090</v>
      </c>
      <c r="C1005" s="33" t="s">
        <v>24</v>
      </c>
      <c r="D1005" s="34">
        <v>2019</v>
      </c>
      <c r="E1005" s="34" t="s">
        <v>92</v>
      </c>
      <c r="F1005" s="6">
        <v>8</v>
      </c>
      <c r="G1005" s="6">
        <v>6</v>
      </c>
      <c r="H1005" s="6">
        <v>8</v>
      </c>
      <c r="I1005" s="6"/>
      <c r="J1005" s="6"/>
      <c r="K1005" s="6">
        <v>6</v>
      </c>
      <c r="L1005" s="6">
        <v>6</v>
      </c>
      <c r="M1005" s="6"/>
      <c r="N1005" s="6"/>
      <c r="O1005" s="6"/>
      <c r="P1005" s="6">
        <v>6</v>
      </c>
      <c r="Q1005" s="6">
        <v>6</v>
      </c>
      <c r="R1005" s="6">
        <v>10</v>
      </c>
      <c r="S1005" s="35">
        <f>SUM(F1005:R1005)</f>
        <v>56</v>
      </c>
      <c r="T1005" s="35">
        <f>COUNT(F1005:R1005)</f>
        <v>8</v>
      </c>
      <c r="U1005" s="36">
        <f>IF(T1005&gt;=2,ROUND((IF(T1005=2,0.55,IF(T1005&lt;=4,0.7,IF(T1005&lt;=6,0.8,IF(T1005&lt;=9,0.9,1))))*(S1005/T1005)+(1-(IF(T1005=2,0.55,IF(T1005&lt;=4,0.7,IF(T1005&lt;=6,0.8,IF(T1005&lt;=9,0.9,1))))))*$Y$1),1),"")</f>
        <v>7.1</v>
      </c>
      <c r="V1005" s="37">
        <v>7.1</v>
      </c>
      <c r="W1005" s="38"/>
    </row>
    <row r="1006" ht="24" customHeight="1" spans="1:23" x14ac:dyDescent="0.25">
      <c r="A1006" s="31">
        <v>1609</v>
      </c>
      <c r="B1006" s="32" t="s">
        <v>1091</v>
      </c>
      <c r="C1006" s="33" t="s">
        <v>24</v>
      </c>
      <c r="D1006" s="34">
        <v>2023</v>
      </c>
      <c r="E1006" s="34" t="s">
        <v>27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>
        <v>6</v>
      </c>
      <c r="P1006" s="6"/>
      <c r="Q1006" s="6"/>
      <c r="R1006" s="6"/>
      <c r="S1006" s="35">
        <f>SUM(F1006:R1006)</f>
        <v>6</v>
      </c>
      <c r="T1006" s="35">
        <f>COUNT(F1006:R1006)</f>
        <v>1</v>
      </c>
      <c r="U1006" s="36">
        <f>IF(T1006&gt;=2,ROUND((IF(T1006=2,0.55,IF(T1006&lt;=4,0.7,IF(T1006&lt;=6,0.8,IF(T1006&lt;=9,0.9,1))))*(S1006/T1006)+(1-(IF(T1006=2,0.55,IF(T1006&lt;=4,0.7,IF(T1006&lt;=6,0.8,IF(T1006&lt;=9,0.9,1))))))*$Y$1),1),"")</f>
      </c>
      <c r="V1006" s="37">
        <v>6.1</v>
      </c>
      <c r="W1006" s="38"/>
    </row>
    <row r="1007" ht="24" customHeight="1" spans="1:23" x14ac:dyDescent="0.25">
      <c r="A1007" s="42">
        <v>993</v>
      </c>
      <c r="B1007" s="32" t="s">
        <v>1092</v>
      </c>
      <c r="C1007" s="43" t="s">
        <v>24</v>
      </c>
      <c r="D1007" s="44">
        <v>2020</v>
      </c>
      <c r="E1007" s="44" t="s">
        <v>48</v>
      </c>
      <c r="F1007" s="6">
        <v>8</v>
      </c>
      <c r="G1007" s="6">
        <v>8</v>
      </c>
      <c r="H1007" s="6">
        <v>8</v>
      </c>
      <c r="I1007" s="6">
        <v>8</v>
      </c>
      <c r="J1007" s="6">
        <v>8</v>
      </c>
      <c r="K1007" s="6">
        <v>6</v>
      </c>
      <c r="L1007" s="6">
        <v>8</v>
      </c>
      <c r="M1007" s="6">
        <v>8</v>
      </c>
      <c r="N1007" s="6">
        <v>8</v>
      </c>
      <c r="O1007" s="6">
        <v>8</v>
      </c>
      <c r="P1007" s="6">
        <v>8</v>
      </c>
      <c r="Q1007" s="6">
        <v>6</v>
      </c>
      <c r="R1007" s="6">
        <v>8</v>
      </c>
      <c r="S1007" s="45">
        <f>SUM(F1007:R1007)</f>
        <v>100</v>
      </c>
      <c r="T1007" s="45">
        <f>COUNT(F1007:R1007)</f>
        <v>13</v>
      </c>
      <c r="U1007" s="36">
        <f>IF(T1007&gt;=2,ROUND((IF(T1007=2,0.55,IF(T1007&lt;=4,0.7,IF(T1007&lt;=6,0.8,IF(T1007&lt;=9,0.9,1))))*(S1007/T1007)+(1-(IF(T1007=2,0.55,IF(T1007&lt;=4,0.7,IF(T1007&lt;=6,0.8,IF(T1007&lt;=9,0.9,1))))))*$Y$1),1),"")</f>
        <v>7.7</v>
      </c>
      <c r="V1007" s="37">
        <v>7.4</v>
      </c>
      <c r="W1007" s="38" t="s">
        <v>44</v>
      </c>
    </row>
    <row r="1008" ht="24" customHeight="1" spans="1:23" x14ac:dyDescent="0.25">
      <c r="A1008" s="31">
        <v>1164</v>
      </c>
      <c r="B1008" s="32" t="s">
        <v>1093</v>
      </c>
      <c r="C1008" s="33" t="s">
        <v>24</v>
      </c>
      <c r="D1008" s="34">
        <v>2021</v>
      </c>
      <c r="E1008" s="34" t="s">
        <v>30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>
        <v>6</v>
      </c>
      <c r="P1008" s="6"/>
      <c r="Q1008" s="6"/>
      <c r="R1008" s="6"/>
      <c r="S1008" s="35">
        <f>SUM(F1008:R1008)</f>
        <v>6</v>
      </c>
      <c r="T1008" s="35">
        <f>COUNT(F1008:R1008)</f>
        <v>1</v>
      </c>
      <c r="U1008" s="36">
        <f>IF(T1008&gt;=2,ROUND((IF(T1008=2,0.55,IF(T1008&lt;=4,0.7,IF(T1008&lt;=6,0.8,IF(T1008&lt;=9,0.9,1))))*(S1008/T1008)+(1-(IF(T1008=2,0.55,IF(T1008&lt;=4,0.7,IF(T1008&lt;=6,0.8,IF(T1008&lt;=9,0.9,1))))))*$Y$1),1),"")</f>
      </c>
      <c r="V1008" s="37">
        <v>6.1</v>
      </c>
      <c r="W1008" s="38"/>
    </row>
    <row r="1009" ht="24" customHeight="1" spans="1:23" x14ac:dyDescent="0.25">
      <c r="A1009" s="31">
        <v>1604</v>
      </c>
      <c r="B1009" s="32" t="s">
        <v>1094</v>
      </c>
      <c r="C1009" s="33" t="s">
        <v>24</v>
      </c>
      <c r="D1009" s="34">
        <v>2011</v>
      </c>
      <c r="E1009" s="34" t="s">
        <v>30</v>
      </c>
      <c r="F1009" s="6"/>
      <c r="G1009" s="6"/>
      <c r="H1009" s="6"/>
      <c r="I1009" s="6"/>
      <c r="J1009" s="6"/>
      <c r="K1009" s="6">
        <v>7</v>
      </c>
      <c r="L1009" s="6">
        <v>8</v>
      </c>
      <c r="M1009" s="6"/>
      <c r="N1009" s="6">
        <v>8</v>
      </c>
      <c r="O1009" s="6">
        <v>8</v>
      </c>
      <c r="P1009" s="6"/>
      <c r="Q1009" s="6">
        <v>7</v>
      </c>
      <c r="R1009" s="6"/>
      <c r="S1009" s="35">
        <f>SUM(F1009:R1009)</f>
        <v>38</v>
      </c>
      <c r="T1009" s="35">
        <f>COUNT(F1009:R1009)</f>
        <v>5</v>
      </c>
      <c r="U1009" s="36">
        <f>IF(T1009&gt;=2,ROUND((IF(T1009=2,0.55,IF(T1009&lt;=4,0.7,IF(T1009&lt;=6,0.8,IF(T1009&lt;=9,0.9,1))))*(S1009/T1009)+(1-(IF(T1009=2,0.55,IF(T1009&lt;=4,0.7,IF(T1009&lt;=6,0.8,IF(T1009&lt;=9,0.9,1))))))*$Y$1),1),"")</f>
        <v>7.7</v>
      </c>
      <c r="V1009" s="37">
        <v>7.8</v>
      </c>
      <c r="W1009" s="38"/>
    </row>
    <row r="1010" ht="24" customHeight="1" spans="1:23" x14ac:dyDescent="0.25">
      <c r="A1010" s="40">
        <v>2227</v>
      </c>
      <c r="B1010" s="32" t="s">
        <v>1095</v>
      </c>
      <c r="C1010" s="33" t="s">
        <v>24</v>
      </c>
      <c r="D1010" s="34">
        <v>2008</v>
      </c>
      <c r="E1010" s="41"/>
      <c r="F1010" s="6"/>
      <c r="G1010" s="6">
        <v>7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35">
        <f>SUM(F1010:R1010)</f>
        <v>7</v>
      </c>
      <c r="T1010" s="35">
        <f>COUNT(F1010:R1010)</f>
        <v>1</v>
      </c>
      <c r="U1010" s="36">
        <f>IF(T1010&gt;=2,ROUND((IF(T1010=2,0.55,IF(T1010&lt;=4,0.7,IF(T1010&lt;=6,0.8,IF(T1010&lt;=9,0.9,1))))*(S1010/T1010)+(1-(IF(T1010=2,0.55,IF(T1010&lt;=4,0.7,IF(T1010&lt;=6,0.8,IF(T1010&lt;=9,0.9,1))))))*$Y$1),1),"")</f>
      </c>
      <c r="V1010" s="37">
        <v>7.5</v>
      </c>
      <c r="W1010" s="38"/>
    </row>
    <row r="1011" ht="24" customHeight="1" spans="1:23" x14ac:dyDescent="0.25">
      <c r="A1011" s="31">
        <v>80</v>
      </c>
      <c r="B1011" s="32" t="s">
        <v>1096</v>
      </c>
      <c r="C1011" s="33" t="s">
        <v>24</v>
      </c>
      <c r="D1011" s="34">
        <v>2019</v>
      </c>
      <c r="E1011" s="34" t="s">
        <v>30</v>
      </c>
      <c r="F1011" s="6">
        <v>10</v>
      </c>
      <c r="G1011" s="6">
        <v>8</v>
      </c>
      <c r="H1011" s="6">
        <v>10</v>
      </c>
      <c r="I1011" s="6">
        <v>10</v>
      </c>
      <c r="J1011" s="6">
        <v>6</v>
      </c>
      <c r="K1011" s="6">
        <v>10</v>
      </c>
      <c r="L1011" s="6">
        <v>6</v>
      </c>
      <c r="M1011" s="6">
        <v>10</v>
      </c>
      <c r="N1011" s="6">
        <v>10</v>
      </c>
      <c r="O1011" s="6">
        <v>8</v>
      </c>
      <c r="P1011" s="6">
        <v>6</v>
      </c>
      <c r="Q1011" s="6">
        <v>10</v>
      </c>
      <c r="R1011" s="6">
        <v>10</v>
      </c>
      <c r="S1011" s="35">
        <f>SUM(F1011:R1011)</f>
        <v>114</v>
      </c>
      <c r="T1011" s="35">
        <f>COUNT(F1011:R1011)</f>
        <v>13</v>
      </c>
      <c r="U1011" s="36">
        <f>IF(T1011&gt;=2,ROUND((IF(T1011=2,0.55,IF(T1011&lt;=4,0.7,IF(T1011&lt;=6,0.8,IF(T1011&lt;=9,0.9,1))))*(S1011/T1011)+(1-(IF(T1011=2,0.55,IF(T1011&lt;=4,0.7,IF(T1011&lt;=6,0.8,IF(T1011&lt;=9,0.9,1))))))*$Y$1),1),"")</f>
        <v>8.8</v>
      </c>
      <c r="V1011" s="37">
        <v>8.2</v>
      </c>
      <c r="W1011" s="38"/>
    </row>
    <row r="1012" ht="24" customHeight="1" spans="1:23" x14ac:dyDescent="0.25">
      <c r="A1012" s="31">
        <v>1038</v>
      </c>
      <c r="B1012" s="32" t="s">
        <v>1097</v>
      </c>
      <c r="C1012" s="33" t="s">
        <v>24</v>
      </c>
      <c r="D1012" s="34">
        <v>2021</v>
      </c>
      <c r="E1012" s="34" t="s">
        <v>1034</v>
      </c>
      <c r="F1012" s="6">
        <v>6</v>
      </c>
      <c r="G1012" s="6"/>
      <c r="H1012" s="6"/>
      <c r="I1012" s="6"/>
      <c r="J1012" s="6"/>
      <c r="K1012" s="6"/>
      <c r="L1012" s="6">
        <v>6</v>
      </c>
      <c r="M1012" s="6"/>
      <c r="N1012" s="6"/>
      <c r="O1012" s="6"/>
      <c r="P1012" s="6"/>
      <c r="Q1012" s="6"/>
      <c r="R1012" s="6">
        <v>6</v>
      </c>
      <c r="S1012" s="35">
        <f>SUM(F1012:R1012)</f>
        <v>18</v>
      </c>
      <c r="T1012" s="35">
        <f>COUNT(F1012:R1012)</f>
        <v>3</v>
      </c>
      <c r="U1012" s="36">
        <f>IF(T1012&gt;=2,ROUND((IF(T1012=2,0.55,IF(T1012&lt;=4,0.7,IF(T1012&lt;=6,0.8,IF(T1012&lt;=9,0.9,1))))*(S1012/T1012)+(1-(IF(T1012=2,0.55,IF(T1012&lt;=4,0.7,IF(T1012&lt;=6,0.8,IF(T1012&lt;=9,0.9,1))))))*$Y$1),1),"")</f>
        <v>6.6</v>
      </c>
      <c r="V1012" s="37">
        <v>6.6</v>
      </c>
      <c r="W1012" s="38"/>
    </row>
    <row r="1013" ht="24" customHeight="1" spans="1:23" x14ac:dyDescent="0.25">
      <c r="A1013" s="42">
        <v>1014</v>
      </c>
      <c r="B1013" s="32" t="s">
        <v>1098</v>
      </c>
      <c r="C1013" s="43" t="s">
        <v>24</v>
      </c>
      <c r="D1013" s="44">
        <v>2017</v>
      </c>
      <c r="E1013" s="44" t="s">
        <v>30</v>
      </c>
      <c r="F1013" s="6">
        <v>8</v>
      </c>
      <c r="G1013" s="6">
        <v>8</v>
      </c>
      <c r="H1013" s="6">
        <v>8</v>
      </c>
      <c r="I1013" s="6">
        <v>10</v>
      </c>
      <c r="J1013" s="6">
        <v>8</v>
      </c>
      <c r="K1013" s="6">
        <v>8</v>
      </c>
      <c r="L1013" s="6">
        <v>8</v>
      </c>
      <c r="M1013" s="6">
        <v>8</v>
      </c>
      <c r="N1013" s="6">
        <v>8</v>
      </c>
      <c r="O1013" s="6">
        <v>8</v>
      </c>
      <c r="P1013" s="6">
        <v>8</v>
      </c>
      <c r="Q1013" s="6">
        <v>8</v>
      </c>
      <c r="R1013" s="6"/>
      <c r="S1013" s="45">
        <f>SUM(F1013:R1013)</f>
        <v>98</v>
      </c>
      <c r="T1013" s="45">
        <f>COUNT(F1013:R1013)</f>
        <v>12</v>
      </c>
      <c r="U1013" s="36">
        <f>IF(T1013&gt;=2,ROUND((IF(T1013=2,0.55,IF(T1013&lt;=4,0.7,IF(T1013&lt;=6,0.8,IF(T1013&lt;=9,0.9,1))))*(S1013/T1013)+(1-(IF(T1013=2,0.55,IF(T1013&lt;=4,0.7,IF(T1013&lt;=6,0.8,IF(T1013&lt;=9,0.9,1))))))*$Y$1),1),"")</f>
        <v>8.2</v>
      </c>
      <c r="V1013" s="37">
        <v>6.3</v>
      </c>
      <c r="W1013" s="38" t="s">
        <v>44</v>
      </c>
    </row>
    <row r="1014" ht="24" customHeight="1" spans="1:23" x14ac:dyDescent="0.25">
      <c r="A1014" s="31">
        <v>79</v>
      </c>
      <c r="B1014" s="32" t="s">
        <v>1099</v>
      </c>
      <c r="C1014" s="33" t="s">
        <v>24</v>
      </c>
      <c r="D1014" s="34">
        <v>2013</v>
      </c>
      <c r="E1014" s="34" t="s">
        <v>92</v>
      </c>
      <c r="F1014" s="6"/>
      <c r="G1014" s="6">
        <v>7</v>
      </c>
      <c r="H1014" s="6"/>
      <c r="I1014" s="6"/>
      <c r="J1014" s="6"/>
      <c r="K1014" s="6">
        <v>8</v>
      </c>
      <c r="L1014" s="6">
        <v>8</v>
      </c>
      <c r="M1014" s="6"/>
      <c r="N1014" s="6"/>
      <c r="O1014" s="6"/>
      <c r="P1014" s="6">
        <v>8</v>
      </c>
      <c r="Q1014" s="6">
        <v>8</v>
      </c>
      <c r="R1014" s="6"/>
      <c r="S1014" s="35">
        <f>SUM(F1014:R1014)</f>
        <v>39</v>
      </c>
      <c r="T1014" s="35">
        <f>COUNT(F1014:R1014)</f>
        <v>5</v>
      </c>
      <c r="U1014" s="36">
        <f>IF(T1014&gt;=2,ROUND((IF(T1014=2,0.55,IF(T1014&lt;=4,0.7,IF(T1014&lt;=6,0.8,IF(T1014&lt;=9,0.9,1))))*(S1014/T1014)+(1-(IF(T1014=2,0.55,IF(T1014&lt;=4,0.7,IF(T1014&lt;=6,0.8,IF(T1014&lt;=9,0.9,1))))))*$Y$1),1),"")</f>
        <v>7.9</v>
      </c>
      <c r="V1014" s="37">
        <v>7</v>
      </c>
      <c r="W1014" s="38"/>
    </row>
    <row r="1015" ht="24" customHeight="1" spans="1:23" x14ac:dyDescent="0.25">
      <c r="A1015" s="31">
        <v>2467</v>
      </c>
      <c r="B1015" s="32" t="s">
        <v>1100</v>
      </c>
      <c r="C1015" s="33" t="s">
        <v>24</v>
      </c>
      <c r="D1015" s="34">
        <v>2026</v>
      </c>
      <c r="E1015" s="41"/>
      <c r="F1015" s="6">
        <v>9</v>
      </c>
      <c r="G1015" s="6"/>
      <c r="H1015" s="6">
        <v>10</v>
      </c>
      <c r="I1015" s="6"/>
      <c r="J1015" s="6">
        <v>10</v>
      </c>
      <c r="K1015" s="6"/>
      <c r="L1015" s="6">
        <v>10</v>
      </c>
      <c r="M1015" s="6"/>
      <c r="N1015" s="6"/>
      <c r="O1015" s="6"/>
      <c r="P1015" s="6"/>
      <c r="Q1015" s="6"/>
      <c r="R1015" s="6"/>
      <c r="S1015" s="35">
        <f>SUM(F1015:R1015)</f>
        <v>39</v>
      </c>
      <c r="T1015" s="35">
        <f>COUNT(F1015:R1015)</f>
        <v>4</v>
      </c>
      <c r="U1015" s="36">
        <f>IF(T1015&gt;=2,ROUND((IF(T1015=2,0.55,IF(T1015&lt;=4,0.7,IF(T1015&lt;=6,0.8,IF(T1015&lt;=9,0.9,1))))*(S1015/T1015)+(1-(IF(T1015=2,0.55,IF(T1015&lt;=4,0.7,IF(T1015&lt;=6,0.8,IF(T1015&lt;=9,0.9,1))))))*$Y$1),1),"")</f>
        <v>9.3</v>
      </c>
      <c r="V1015" s="37">
        <v>7.4</v>
      </c>
      <c r="W1015" s="38"/>
    </row>
    <row r="1016" ht="24" customHeight="1" spans="1:23" x14ac:dyDescent="0.25">
      <c r="A1016" s="31">
        <v>432</v>
      </c>
      <c r="B1016" s="32" t="s">
        <v>1101</v>
      </c>
      <c r="C1016" s="33" t="s">
        <v>24</v>
      </c>
      <c r="D1016" s="34">
        <v>2015</v>
      </c>
      <c r="E1016" s="34" t="s">
        <v>1102</v>
      </c>
      <c r="F1016" s="6">
        <v>8</v>
      </c>
      <c r="G1016" s="6">
        <v>7</v>
      </c>
      <c r="H1016" s="6">
        <v>8</v>
      </c>
      <c r="I1016" s="6">
        <v>7</v>
      </c>
      <c r="J1016" s="6">
        <v>8</v>
      </c>
      <c r="K1016" s="6">
        <v>6</v>
      </c>
      <c r="L1016" s="6">
        <v>8</v>
      </c>
      <c r="M1016" s="6"/>
      <c r="N1016" s="6"/>
      <c r="O1016" s="6"/>
      <c r="P1016" s="6">
        <v>8</v>
      </c>
      <c r="Q1016" s="6">
        <v>6</v>
      </c>
      <c r="R1016" s="6"/>
      <c r="S1016" s="35">
        <f>SUM(F1016:R1016)</f>
        <v>66</v>
      </c>
      <c r="T1016" s="35">
        <f>COUNT(F1016:R1016)</f>
        <v>9</v>
      </c>
      <c r="U1016" s="36">
        <f>IF(T1016&gt;=2,ROUND((IF(T1016=2,0.55,IF(T1016&lt;=4,0.7,IF(T1016&lt;=6,0.8,IF(T1016&lt;=9,0.9,1))))*(S1016/T1016)+(1-(IF(T1016=2,0.55,IF(T1016&lt;=4,0.7,IF(T1016&lt;=6,0.8,IF(T1016&lt;=9,0.9,1))))))*$Y$1),1),"")</f>
        <v>7.4</v>
      </c>
      <c r="V1016" s="37">
        <v>7.1</v>
      </c>
      <c r="W1016" s="38"/>
    </row>
    <row r="1017" ht="24" customHeight="1" spans="1:23" x14ac:dyDescent="0.25">
      <c r="A1017" s="31">
        <v>1915</v>
      </c>
      <c r="B1017" s="32" t="s">
        <v>1103</v>
      </c>
      <c r="C1017" s="33" t="s">
        <v>29</v>
      </c>
      <c r="D1017" s="34">
        <v>2022</v>
      </c>
      <c r="E1017" s="34" t="s">
        <v>25</v>
      </c>
      <c r="F1017" s="6">
        <v>7</v>
      </c>
      <c r="G1017" s="6"/>
      <c r="H1017" s="6"/>
      <c r="I1017" s="6"/>
      <c r="J1017" s="6">
        <v>8</v>
      </c>
      <c r="K1017" s="6"/>
      <c r="L1017" s="6"/>
      <c r="M1017" s="6"/>
      <c r="N1017" s="6"/>
      <c r="O1017" s="6"/>
      <c r="P1017" s="6"/>
      <c r="Q1017" s="6"/>
      <c r="R1017" s="6"/>
      <c r="S1017" s="35">
        <f>SUM(F1017:R1017)</f>
        <v>15</v>
      </c>
      <c r="T1017" s="35">
        <f>COUNT(F1017:R1017)</f>
        <v>2</v>
      </c>
      <c r="U1017" s="36">
        <f>IF(T1017&gt;=2,ROUND((IF(T1017=2,0.55,IF(T1017&lt;=4,0.7,IF(T1017&lt;=6,0.8,IF(T1017&lt;=9,0.9,1))))*(S1017/T1017)+(1-(IF(T1017=2,0.55,IF(T1017&lt;=4,0.7,IF(T1017&lt;=6,0.8,IF(T1017&lt;=9,0.9,1))))))*$Y$1),1),"")</f>
        <v>7.8</v>
      </c>
      <c r="V1017" s="37">
        <v>8</v>
      </c>
      <c r="W1017" s="38"/>
    </row>
    <row r="1018" ht="47.25" customHeight="1" spans="1:23" x14ac:dyDescent="0.25">
      <c r="A1018" s="31">
        <v>1577</v>
      </c>
      <c r="B1018" s="32" t="s">
        <v>1104</v>
      </c>
      <c r="C1018" s="33" t="s">
        <v>24</v>
      </c>
      <c r="D1018" s="34">
        <v>2022</v>
      </c>
      <c r="E1018" s="34" t="s">
        <v>30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>
        <v>7</v>
      </c>
      <c r="P1018" s="6"/>
      <c r="Q1018" s="6"/>
      <c r="R1018" s="6"/>
      <c r="S1018" s="35">
        <f>SUM(F1018:R1018)</f>
        <v>7</v>
      </c>
      <c r="T1018" s="35">
        <f>COUNT(F1018:R1018)</f>
        <v>1</v>
      </c>
      <c r="U1018" s="36">
        <f>IF(T1018&gt;=2,ROUND((IF(T1018=2,0.55,IF(T1018&lt;=4,0.7,IF(T1018&lt;=6,0.8,IF(T1018&lt;=9,0.9,1))))*(S1018/T1018)+(1-(IF(T1018=2,0.55,IF(T1018&lt;=4,0.7,IF(T1018&lt;=6,0.8,IF(T1018&lt;=9,0.9,1))))))*$Y$1),1),"")</f>
      </c>
      <c r="V1018" s="37">
        <v>5.8</v>
      </c>
      <c r="W1018" s="38"/>
    </row>
    <row r="1019" ht="24" customHeight="1" spans="1:23" x14ac:dyDescent="0.25">
      <c r="A1019" s="40">
        <v>2353</v>
      </c>
      <c r="B1019" s="32" t="s">
        <v>1105</v>
      </c>
      <c r="C1019" s="33" t="s">
        <v>24</v>
      </c>
      <c r="D1019" s="34">
        <v>2005</v>
      </c>
      <c r="E1019" s="41"/>
      <c r="F1019" s="6">
        <v>8</v>
      </c>
      <c r="G1019" s="6">
        <v>8</v>
      </c>
      <c r="H1019" s="6"/>
      <c r="I1019" s="6"/>
      <c r="J1019" s="6"/>
      <c r="K1019" s="6">
        <v>7</v>
      </c>
      <c r="L1019" s="6"/>
      <c r="M1019" s="6"/>
      <c r="N1019" s="6"/>
      <c r="O1019" s="6"/>
      <c r="P1019" s="6">
        <v>9</v>
      </c>
      <c r="Q1019" s="6">
        <v>7</v>
      </c>
      <c r="R1019" s="6"/>
      <c r="S1019" s="35">
        <f>SUM(F1019:R1019)</f>
        <v>39</v>
      </c>
      <c r="T1019" s="35">
        <f>COUNT(F1019:R1019)</f>
        <v>5</v>
      </c>
      <c r="U1019" s="36">
        <f>IF(T1019&gt;=2,ROUND((IF(T1019=2,0.55,IF(T1019&lt;=4,0.7,IF(T1019&lt;=6,0.8,IF(T1019&lt;=9,0.9,1))))*(S1019/T1019)+(1-(IF(T1019=2,0.55,IF(T1019&lt;=4,0.7,IF(T1019&lt;=6,0.8,IF(T1019&lt;=9,0.9,1))))))*$Y$1),1),"")</f>
        <v>7.9</v>
      </c>
      <c r="V1019" s="37">
        <v>8.2</v>
      </c>
      <c r="W1019" s="38"/>
    </row>
    <row r="1020" ht="24" customHeight="1" spans="1:23" x14ac:dyDescent="0.25">
      <c r="A1020" s="42">
        <v>991</v>
      </c>
      <c r="B1020" s="32" t="s">
        <v>1106</v>
      </c>
      <c r="C1020" s="43" t="s">
        <v>24</v>
      </c>
      <c r="D1020" s="44">
        <v>2020</v>
      </c>
      <c r="E1020" s="44" t="s">
        <v>25</v>
      </c>
      <c r="F1020" s="6">
        <v>10</v>
      </c>
      <c r="G1020" s="6">
        <v>8</v>
      </c>
      <c r="H1020" s="6">
        <v>10</v>
      </c>
      <c r="I1020" s="6">
        <v>6</v>
      </c>
      <c r="J1020" s="6">
        <v>8</v>
      </c>
      <c r="K1020" s="6">
        <v>10</v>
      </c>
      <c r="L1020" s="6">
        <v>8</v>
      </c>
      <c r="M1020" s="6">
        <v>10</v>
      </c>
      <c r="N1020" s="6">
        <v>10</v>
      </c>
      <c r="O1020" s="6">
        <v>8</v>
      </c>
      <c r="P1020" s="6">
        <v>8</v>
      </c>
      <c r="Q1020" s="6">
        <v>10</v>
      </c>
      <c r="R1020" s="6">
        <v>8</v>
      </c>
      <c r="S1020" s="45">
        <f>SUM(F1020:R1020)</f>
        <v>114</v>
      </c>
      <c r="T1020" s="45">
        <f>COUNT(F1020:R1020)</f>
        <v>13</v>
      </c>
      <c r="U1020" s="36">
        <f>IF(T1020&gt;=2,ROUND((IF(T1020=2,0.55,IF(T1020&lt;=4,0.7,IF(T1020&lt;=6,0.8,IF(T1020&lt;=9,0.9,1))))*(S1020/T1020)+(1-(IF(T1020=2,0.55,IF(T1020&lt;=4,0.7,IF(T1020&lt;=6,0.8,IF(T1020&lt;=9,0.9,1))))))*$Y$1),1),"")</f>
        <v>8.8</v>
      </c>
      <c r="V1020" s="37">
        <v>8.2</v>
      </c>
      <c r="W1020" s="38" t="s">
        <v>44</v>
      </c>
    </row>
    <row r="1021" ht="24" customHeight="1" spans="1:23" x14ac:dyDescent="0.25">
      <c r="A1021" s="31">
        <v>1647</v>
      </c>
      <c r="B1021" s="32" t="s">
        <v>1107</v>
      </c>
      <c r="C1021" s="33" t="s">
        <v>24</v>
      </c>
      <c r="D1021" s="34">
        <v>2022</v>
      </c>
      <c r="E1021" s="34" t="s">
        <v>30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>
        <v>8</v>
      </c>
      <c r="P1021" s="6"/>
      <c r="Q1021" s="6"/>
      <c r="R1021" s="6"/>
      <c r="S1021" s="35">
        <f>SUM(F1021:R1021)</f>
        <v>8</v>
      </c>
      <c r="T1021" s="35">
        <f>COUNT(F1021:R1021)</f>
        <v>1</v>
      </c>
      <c r="U1021" s="36">
        <f>IF(T1021&gt;=2,ROUND((IF(T1021=2,0.55,IF(T1021&lt;=4,0.7,IF(T1021&lt;=6,0.8,IF(T1021&lt;=9,0.9,1))))*(S1021/T1021)+(1-(IF(T1021=2,0.55,IF(T1021&lt;=4,0.7,IF(T1021&lt;=6,0.8,IF(T1021&lt;=9,0.9,1))))))*$Y$1),1),"")</f>
      </c>
      <c r="V1021" s="37">
        <v>5.6</v>
      </c>
      <c r="W1021" s="38"/>
    </row>
    <row r="1022" ht="24" customHeight="1" spans="1:23" x14ac:dyDescent="0.25">
      <c r="A1022" s="31">
        <v>942</v>
      </c>
      <c r="B1022" s="32" t="s">
        <v>1108</v>
      </c>
      <c r="C1022" s="33" t="s">
        <v>114</v>
      </c>
      <c r="D1022" s="34">
        <v>2019</v>
      </c>
      <c r="E1022" s="34" t="s">
        <v>27</v>
      </c>
      <c r="F1022" s="6">
        <v>8</v>
      </c>
      <c r="G1022" s="6"/>
      <c r="H1022" s="6"/>
      <c r="I1022" s="6">
        <v>9</v>
      </c>
      <c r="J1022" s="6">
        <v>8</v>
      </c>
      <c r="K1022" s="6">
        <v>10</v>
      </c>
      <c r="L1022" s="6">
        <v>8</v>
      </c>
      <c r="M1022" s="6">
        <v>8</v>
      </c>
      <c r="N1022" s="6">
        <v>8</v>
      </c>
      <c r="O1022" s="6">
        <v>8</v>
      </c>
      <c r="P1022" s="6"/>
      <c r="Q1022" s="6">
        <v>10</v>
      </c>
      <c r="R1022" s="6">
        <v>7</v>
      </c>
      <c r="S1022" s="35">
        <f>SUM(F1022:R1022)</f>
        <v>84</v>
      </c>
      <c r="T1022" s="35">
        <f>COUNT(F1022:R1022)</f>
        <v>10</v>
      </c>
      <c r="U1022" s="36">
        <f>IF(T1022&gt;=2,ROUND((IF(T1022=2,0.55,IF(T1022&lt;=4,0.7,IF(T1022&lt;=6,0.8,IF(T1022&lt;=9,0.9,1))))*(S1022/T1022)+(1-(IF(T1022=2,0.55,IF(T1022&lt;=4,0.7,IF(T1022&lt;=6,0.8,IF(T1022&lt;=9,0.9,1))))))*$Y$1),1),"")</f>
        <v>8.4</v>
      </c>
      <c r="V1022" s="37">
        <v>6.7</v>
      </c>
      <c r="W1022" s="38"/>
    </row>
    <row r="1023" ht="24" customHeight="1" spans="1:23" x14ac:dyDescent="0.25">
      <c r="A1023" s="40">
        <v>2471</v>
      </c>
      <c r="B1023" s="32" t="s">
        <v>1109</v>
      </c>
      <c r="C1023" s="33" t="s">
        <v>24</v>
      </c>
      <c r="D1023" s="34">
        <v>2026</v>
      </c>
      <c r="E1023" s="41"/>
      <c r="F1023" s="6">
        <v>8</v>
      </c>
      <c r="G1023" s="6">
        <v>7</v>
      </c>
      <c r="H1023" s="6">
        <v>8</v>
      </c>
      <c r="I1023" s="6">
        <v>8</v>
      </c>
      <c r="J1023" s="6"/>
      <c r="K1023" s="6"/>
      <c r="L1023" s="6">
        <v>6</v>
      </c>
      <c r="M1023" s="6">
        <v>8</v>
      </c>
      <c r="N1023" s="6"/>
      <c r="O1023" s="6">
        <v>8</v>
      </c>
      <c r="P1023" s="6">
        <v>8</v>
      </c>
      <c r="Q1023" s="6"/>
      <c r="R1023" s="6">
        <v>8</v>
      </c>
      <c r="S1023" s="35">
        <f>SUM(F1023:R1023)</f>
        <v>69</v>
      </c>
      <c r="T1023" s="35">
        <f>COUNT(F1023:R1023)</f>
        <v>9</v>
      </c>
      <c r="U1023" s="36">
        <f>IF(T1023&gt;=2,ROUND((IF(T1023=2,0.55,IF(T1023&lt;=4,0.7,IF(T1023&lt;=6,0.8,IF(T1023&lt;=9,0.9,1))))*(S1023/T1023)+(1-(IF(T1023=2,0.55,IF(T1023&lt;=4,0.7,IF(T1023&lt;=6,0.8,IF(T1023&lt;=9,0.9,1))))))*$Y$1),1),"")</f>
        <v>7.7</v>
      </c>
      <c r="V1023" s="37">
        <v>6.8</v>
      </c>
      <c r="W1023" s="38"/>
    </row>
    <row r="1024" ht="24" customHeight="1" spans="1:23" x14ac:dyDescent="0.25">
      <c r="A1024" s="40">
        <v>2262</v>
      </c>
      <c r="B1024" s="32" t="s">
        <v>1110</v>
      </c>
      <c r="C1024" s="33" t="s">
        <v>24</v>
      </c>
      <c r="D1024" s="34">
        <v>2010</v>
      </c>
      <c r="E1024" s="41"/>
      <c r="F1024" s="6"/>
      <c r="G1024" s="6">
        <v>7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35">
        <f>SUM(F1024:R1024)</f>
        <v>7</v>
      </c>
      <c r="T1024" s="35">
        <f>COUNT(F1024:R1024)</f>
        <v>1</v>
      </c>
      <c r="U1024" s="36">
        <f>IF(T1024&gt;=2,ROUND((IF(T1024=2,0.55,IF(T1024&lt;=4,0.7,IF(T1024&lt;=6,0.8,IF(T1024&lt;=9,0.9,1))))*(S1024/T1024)+(1-(IF(T1024=2,0.55,IF(T1024&lt;=4,0.7,IF(T1024&lt;=6,0.8,IF(T1024&lt;=9,0.9,1))))))*$Y$1),1),"")</f>
      </c>
      <c r="V1024" s="37">
        <v>7.6</v>
      </c>
      <c r="W1024" s="38"/>
    </row>
    <row r="1025" ht="24" customHeight="1" spans="1:23" x14ac:dyDescent="0.25">
      <c r="A1025" s="31">
        <v>1760</v>
      </c>
      <c r="B1025" s="32" t="s">
        <v>1111</v>
      </c>
      <c r="C1025" s="33" t="s">
        <v>29</v>
      </c>
      <c r="D1025" s="34">
        <v>2019</v>
      </c>
      <c r="E1025" s="34" t="s">
        <v>27</v>
      </c>
      <c r="F1025" s="6"/>
      <c r="G1025" s="6"/>
      <c r="H1025" s="6"/>
      <c r="I1025" s="6"/>
      <c r="J1025" s="6"/>
      <c r="K1025" s="6"/>
      <c r="L1025" s="6"/>
      <c r="M1025" s="6">
        <v>8</v>
      </c>
      <c r="N1025" s="6"/>
      <c r="O1025" s="6"/>
      <c r="P1025" s="6"/>
      <c r="Q1025" s="6"/>
      <c r="R1025" s="6"/>
      <c r="S1025" s="35">
        <f>SUM(F1025:R1025)</f>
        <v>8</v>
      </c>
      <c r="T1025" s="35">
        <f>COUNT(F1025:R1025)</f>
        <v>1</v>
      </c>
      <c r="U1025" s="36">
        <f>IF(T1025&gt;=2,ROUND((IF(T1025=2,0.55,IF(T1025&lt;=4,0.7,IF(T1025&lt;=6,0.8,IF(T1025&lt;=9,0.9,1))))*(S1025/T1025)+(1-(IF(T1025=2,0.55,IF(T1025&lt;=4,0.7,IF(T1025&lt;=6,0.8,IF(T1025&lt;=9,0.9,1))))))*$Y$1),1),"")</f>
      </c>
      <c r="V1025" s="37">
        <v>5.9</v>
      </c>
      <c r="W1025" s="38"/>
    </row>
    <row r="1026" ht="24" customHeight="1" spans="1:23" x14ac:dyDescent="0.25">
      <c r="A1026" s="42">
        <v>1119</v>
      </c>
      <c r="B1026" s="32" t="s">
        <v>1112</v>
      </c>
      <c r="C1026" s="43" t="s">
        <v>24</v>
      </c>
      <c r="D1026" s="44">
        <v>2021</v>
      </c>
      <c r="E1026" s="44" t="s">
        <v>30</v>
      </c>
      <c r="F1026" s="6">
        <v>8</v>
      </c>
      <c r="G1026" s="6">
        <v>7</v>
      </c>
      <c r="H1026" s="6"/>
      <c r="I1026" s="6">
        <v>10</v>
      </c>
      <c r="J1026" s="6">
        <v>8</v>
      </c>
      <c r="K1026" s="6">
        <v>8</v>
      </c>
      <c r="L1026" s="6">
        <v>6</v>
      </c>
      <c r="M1026" s="6">
        <v>8</v>
      </c>
      <c r="N1026" s="6">
        <v>8</v>
      </c>
      <c r="O1026" s="6">
        <v>8</v>
      </c>
      <c r="P1026" s="6">
        <v>6</v>
      </c>
      <c r="Q1026" s="6">
        <v>8</v>
      </c>
      <c r="R1026" s="6">
        <v>8</v>
      </c>
      <c r="S1026" s="45">
        <f>SUM(F1026:R1026)</f>
        <v>93</v>
      </c>
      <c r="T1026" s="45">
        <f>COUNT(F1026:R1026)</f>
        <v>12</v>
      </c>
      <c r="U1026" s="36">
        <f>IF(T1026&gt;=2,ROUND((IF(T1026=2,0.55,IF(T1026&lt;=4,0.7,IF(T1026&lt;=6,0.8,IF(T1026&lt;=9,0.9,1))))*(S1026/T1026)+(1-(IF(T1026=2,0.55,IF(T1026&lt;=4,0.7,IF(T1026&lt;=6,0.8,IF(T1026&lt;=9,0.9,1))))))*$Y$1),1),"")</f>
        <v>7.8</v>
      </c>
      <c r="V1026" s="37">
        <v>6.1</v>
      </c>
      <c r="W1026" s="38" t="s">
        <v>44</v>
      </c>
    </row>
    <row r="1027" ht="24" customHeight="1" spans="1:23" x14ac:dyDescent="0.25">
      <c r="A1027" s="31">
        <v>1964</v>
      </c>
      <c r="B1027" s="32" t="s">
        <v>1113</v>
      </c>
      <c r="C1027" s="33" t="s">
        <v>24</v>
      </c>
      <c r="D1027" s="34">
        <v>2024</v>
      </c>
      <c r="E1027" s="34" t="s">
        <v>1114</v>
      </c>
      <c r="F1027" s="6">
        <v>7</v>
      </c>
      <c r="G1027" s="6"/>
      <c r="H1027" s="6">
        <v>7</v>
      </c>
      <c r="I1027" s="6"/>
      <c r="J1027" s="6">
        <v>8</v>
      </c>
      <c r="K1027" s="6">
        <v>7</v>
      </c>
      <c r="L1027" s="6">
        <v>8</v>
      </c>
      <c r="M1027" s="6"/>
      <c r="N1027" s="6"/>
      <c r="O1027" s="6">
        <v>8</v>
      </c>
      <c r="P1027" s="6"/>
      <c r="Q1027" s="6">
        <v>7</v>
      </c>
      <c r="R1027" s="6"/>
      <c r="S1027" s="35">
        <f>SUM(F1027:R1027)</f>
        <v>52</v>
      </c>
      <c r="T1027" s="35">
        <f>COUNT(F1027:R1027)</f>
        <v>7</v>
      </c>
      <c r="U1027" s="36">
        <f>IF(T1027&gt;=2,ROUND((IF(T1027=2,0.55,IF(T1027&lt;=4,0.7,IF(T1027&lt;=6,0.8,IF(T1027&lt;=9,0.9,1))))*(S1027/T1027)+(1-(IF(T1027=2,0.55,IF(T1027&lt;=4,0.7,IF(T1027&lt;=6,0.8,IF(T1027&lt;=9,0.9,1))))))*$Y$1),1),"")</f>
        <v>7.5</v>
      </c>
      <c r="V1027" s="37">
        <v>7.4</v>
      </c>
      <c r="W1027" s="38"/>
    </row>
    <row r="1028" ht="24" customHeight="1" spans="1:23" x14ac:dyDescent="0.25">
      <c r="A1028" s="40">
        <v>2349</v>
      </c>
      <c r="B1028" s="32" t="s">
        <v>1115</v>
      </c>
      <c r="C1028" s="33" t="s">
        <v>24</v>
      </c>
      <c r="D1028" s="34">
        <v>2025</v>
      </c>
      <c r="E1028" s="41"/>
      <c r="F1028" s="6"/>
      <c r="G1028" s="6"/>
      <c r="H1028" s="6"/>
      <c r="I1028" s="6"/>
      <c r="J1028" s="6"/>
      <c r="K1028" s="6"/>
      <c r="L1028" s="6">
        <v>6</v>
      </c>
      <c r="M1028" s="6">
        <v>7</v>
      </c>
      <c r="N1028" s="6"/>
      <c r="O1028" s="6">
        <v>7</v>
      </c>
      <c r="P1028" s="6"/>
      <c r="Q1028" s="6"/>
      <c r="R1028" s="6"/>
      <c r="S1028" s="35">
        <f>SUM(F1028:R1028)</f>
        <v>20</v>
      </c>
      <c r="T1028" s="35">
        <f>COUNT(F1028:R1028)</f>
        <v>3</v>
      </c>
      <c r="U1028" s="36">
        <f>IF(T1028&gt;=2,ROUND((IF(T1028=2,0.55,IF(T1028&lt;=4,0.7,IF(T1028&lt;=6,0.8,IF(T1028&lt;=9,0.9,1))))*(S1028/T1028)+(1-(IF(T1028=2,0.55,IF(T1028&lt;=4,0.7,IF(T1028&lt;=6,0.8,IF(T1028&lt;=9,0.9,1))))))*$Y$1),1),"")</f>
        <v>7.1</v>
      </c>
      <c r="V1028" s="37">
        <v>5.9</v>
      </c>
      <c r="W1028" s="38"/>
    </row>
    <row r="1029" ht="24" customHeight="1" spans="1:23" x14ac:dyDescent="0.25">
      <c r="A1029" s="31">
        <v>1010</v>
      </c>
      <c r="B1029" s="32" t="s">
        <v>1116</v>
      </c>
      <c r="C1029" s="33" t="s">
        <v>29</v>
      </c>
      <c r="D1029" s="34">
        <v>2021</v>
      </c>
      <c r="E1029" s="34" t="s">
        <v>30</v>
      </c>
      <c r="F1029" s="6"/>
      <c r="G1029" s="6"/>
      <c r="H1029" s="6"/>
      <c r="I1029" s="6"/>
      <c r="J1029" s="6">
        <v>8</v>
      </c>
      <c r="K1029" s="6"/>
      <c r="L1029" s="6"/>
      <c r="M1029" s="6"/>
      <c r="N1029" s="6"/>
      <c r="O1029" s="6"/>
      <c r="P1029" s="6"/>
      <c r="Q1029" s="6"/>
      <c r="R1029" s="6"/>
      <c r="S1029" s="35">
        <f>SUM(F1029:R1029)</f>
        <v>8</v>
      </c>
      <c r="T1029" s="35">
        <f>COUNT(F1029:R1029)</f>
        <v>1</v>
      </c>
      <c r="U1029" s="36">
        <f>IF(T1029&gt;=2,ROUND((IF(T1029=2,0.55,IF(T1029&lt;=4,0.7,IF(T1029&lt;=6,0.8,IF(T1029&lt;=9,0.9,1))))*(S1029/T1029)+(1-(IF(T1029=2,0.55,IF(T1029&lt;=4,0.7,IF(T1029&lt;=6,0.8,IF(T1029&lt;=9,0.9,1))))))*$Y$1),1),"")</f>
      </c>
      <c r="V1029" s="37">
        <v>7.4</v>
      </c>
      <c r="W1029" s="38"/>
    </row>
    <row r="1030" ht="24" customHeight="1" spans="1:23" x14ac:dyDescent="0.25">
      <c r="A1030" s="31">
        <v>2024</v>
      </c>
      <c r="B1030" s="32" t="s">
        <v>1117</v>
      </c>
      <c r="C1030" s="33" t="s">
        <v>24</v>
      </c>
      <c r="D1030" s="34">
        <v>2024</v>
      </c>
      <c r="E1030" s="41"/>
      <c r="F1030" s="6"/>
      <c r="G1030" s="6"/>
      <c r="H1030" s="6"/>
      <c r="I1030" s="6"/>
      <c r="J1030" s="6"/>
      <c r="K1030" s="6"/>
      <c r="L1030" s="6"/>
      <c r="M1030" s="6"/>
      <c r="N1030" s="6"/>
      <c r="O1030" s="6">
        <v>8</v>
      </c>
      <c r="P1030" s="6"/>
      <c r="Q1030" s="6"/>
      <c r="R1030" s="6"/>
      <c r="S1030" s="35">
        <f>SUM(F1030:R1030)</f>
        <v>8</v>
      </c>
      <c r="T1030" s="35">
        <f>COUNT(F1030:R1030)</f>
        <v>1</v>
      </c>
      <c r="U1030" s="36">
        <f>IF(T1030&gt;=2,ROUND((IF(T1030=2,0.55,IF(T1030&lt;=4,0.7,IF(T1030&lt;=6,0.8,IF(T1030&lt;=9,0.9,1))))*(S1030/T1030)+(1-(IF(T1030=2,0.55,IF(T1030&lt;=4,0.7,IF(T1030&lt;=6,0.8,IF(T1030&lt;=9,0.9,1))))))*$Y$1),1),"")</f>
      </c>
      <c r="V1030" s="37">
        <v>6.8</v>
      </c>
      <c r="W1030" s="38"/>
    </row>
    <row r="1031" ht="24" customHeight="1" spans="1:23" x14ac:dyDescent="0.25">
      <c r="A1031" s="31">
        <v>78</v>
      </c>
      <c r="B1031" s="32" t="s">
        <v>1118</v>
      </c>
      <c r="C1031" s="33" t="s">
        <v>24</v>
      </c>
      <c r="D1031" s="34">
        <v>2015</v>
      </c>
      <c r="E1031" s="34" t="s">
        <v>33</v>
      </c>
      <c r="F1031" s="6"/>
      <c r="G1031" s="6"/>
      <c r="H1031" s="6"/>
      <c r="I1031" s="6"/>
      <c r="J1031" s="6"/>
      <c r="K1031" s="6">
        <v>10</v>
      </c>
      <c r="L1031" s="6"/>
      <c r="M1031" s="6"/>
      <c r="N1031" s="6"/>
      <c r="O1031" s="6"/>
      <c r="P1031" s="6"/>
      <c r="Q1031" s="6">
        <v>10</v>
      </c>
      <c r="R1031" s="6"/>
      <c r="S1031" s="35">
        <f>SUM(F1031:R1031)</f>
        <v>20</v>
      </c>
      <c r="T1031" s="35">
        <f>COUNT(F1031:R1031)</f>
        <v>2</v>
      </c>
      <c r="U1031" s="36">
        <f>IF(T1031&gt;=2,ROUND((IF(T1031=2,0.55,IF(T1031&lt;=4,0.7,IF(T1031&lt;=6,0.8,IF(T1031&lt;=9,0.9,1))))*(S1031/T1031)+(1-(IF(T1031=2,0.55,IF(T1031&lt;=4,0.7,IF(T1031&lt;=6,0.8,IF(T1031&lt;=9,0.9,1))))))*$Y$1),1),"")</f>
        <v>9.1</v>
      </c>
      <c r="V1031" s="37">
        <v>5.8</v>
      </c>
      <c r="W1031" s="38"/>
    </row>
    <row r="1032" ht="24" customHeight="1" spans="1:23" x14ac:dyDescent="0.25">
      <c r="A1032" s="31">
        <v>1234</v>
      </c>
      <c r="B1032" s="32" t="s">
        <v>1119</v>
      </c>
      <c r="C1032" s="33" t="s">
        <v>29</v>
      </c>
      <c r="D1032" s="34">
        <v>2022</v>
      </c>
      <c r="E1032" s="34" t="s">
        <v>30</v>
      </c>
      <c r="F1032" s="6"/>
      <c r="G1032" s="6"/>
      <c r="H1032" s="6"/>
      <c r="I1032" s="6"/>
      <c r="J1032" s="6"/>
      <c r="K1032" s="6"/>
      <c r="L1032" s="6">
        <v>8</v>
      </c>
      <c r="M1032" s="6"/>
      <c r="N1032" s="6"/>
      <c r="O1032" s="6"/>
      <c r="P1032" s="6"/>
      <c r="Q1032" s="6"/>
      <c r="R1032" s="6"/>
      <c r="S1032" s="35">
        <f>SUM(F1032:R1032)</f>
        <v>8</v>
      </c>
      <c r="T1032" s="35">
        <f>COUNT(F1032:R1032)</f>
        <v>1</v>
      </c>
      <c r="U1032" s="36">
        <f>IF(T1032&gt;=2,ROUND((IF(T1032=2,0.55,IF(T1032&lt;=4,0.7,IF(T1032&lt;=6,0.8,IF(T1032&lt;=9,0.9,1))))*(S1032/T1032)+(1-(IF(T1032=2,0.55,IF(T1032&lt;=4,0.7,IF(T1032&lt;=6,0.8,IF(T1032&lt;=9,0.9,1))))))*$Y$1),1),"")</f>
      </c>
      <c r="V1032" s="37">
        <v>6.9</v>
      </c>
      <c r="W1032" s="38"/>
    </row>
    <row r="1033" ht="24" customHeight="1" spans="1:23" x14ac:dyDescent="0.25">
      <c r="A1033" s="40">
        <v>2136</v>
      </c>
      <c r="B1033" s="32" t="s">
        <v>1120</v>
      </c>
      <c r="C1033" s="33" t="s">
        <v>24</v>
      </c>
      <c r="D1033" s="34">
        <v>2003</v>
      </c>
      <c r="E1033" s="41"/>
      <c r="F1033" s="6"/>
      <c r="G1033" s="6">
        <v>7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35">
        <f>SUM(F1033:R1033)</f>
        <v>7</v>
      </c>
      <c r="T1033" s="35">
        <f>COUNT(F1033:R1033)</f>
        <v>1</v>
      </c>
      <c r="U1033" s="36">
        <f>IF(T1033&gt;=2,ROUND((IF(T1033=2,0.55,IF(T1033&lt;=4,0.7,IF(T1033&lt;=6,0.8,IF(T1033&lt;=9,0.9,1))))*(S1033/T1033)+(1-(IF(T1033=2,0.55,IF(T1033&lt;=4,0.7,IF(T1033&lt;=6,0.8,IF(T1033&lt;=9,0.9,1))))))*$Y$1),1),"")</f>
      </c>
      <c r="V1033" s="37">
        <v>7.5</v>
      </c>
      <c r="W1033" s="38"/>
    </row>
    <row r="1034" ht="24" customHeight="1" spans="1:23" x14ac:dyDescent="0.25">
      <c r="A1034" s="31">
        <v>1075</v>
      </c>
      <c r="B1034" s="32" t="s">
        <v>1121</v>
      </c>
      <c r="C1034" s="33" t="s">
        <v>29</v>
      </c>
      <c r="D1034" s="34">
        <v>2020</v>
      </c>
      <c r="E1034" s="34" t="s">
        <v>30</v>
      </c>
      <c r="F1034" s="6"/>
      <c r="G1034" s="6"/>
      <c r="H1034" s="6"/>
      <c r="I1034" s="6">
        <v>6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35">
        <f>SUM(F1034:R1034)</f>
        <v>6</v>
      </c>
      <c r="T1034" s="35">
        <f>COUNT(F1034:R1034)</f>
        <v>1</v>
      </c>
      <c r="U1034" s="36">
        <f>IF(T1034&gt;=2,ROUND((IF(T1034=2,0.55,IF(T1034&lt;=4,0.7,IF(T1034&lt;=6,0.8,IF(T1034&lt;=9,0.9,1))))*(S1034/T1034)+(1-(IF(T1034=2,0.55,IF(T1034&lt;=4,0.7,IF(T1034&lt;=6,0.8,IF(T1034&lt;=9,0.9,1))))))*$Y$1),1),"")</f>
      </c>
      <c r="V1034" s="37">
        <v>7.6</v>
      </c>
      <c r="W1034" s="38"/>
    </row>
    <row r="1035" ht="24" customHeight="1" spans="1:23" x14ac:dyDescent="0.25">
      <c r="A1035" s="31">
        <v>363</v>
      </c>
      <c r="B1035" s="32" t="s">
        <v>1122</v>
      </c>
      <c r="C1035" s="33" t="s">
        <v>24</v>
      </c>
      <c r="D1035" s="34">
        <v>2013</v>
      </c>
      <c r="E1035" s="34" t="s">
        <v>416</v>
      </c>
      <c r="F1035" s="6"/>
      <c r="G1035" s="6"/>
      <c r="H1035" s="6"/>
      <c r="I1035" s="6"/>
      <c r="J1035" s="6">
        <v>8</v>
      </c>
      <c r="K1035" s="6"/>
      <c r="L1035" s="6">
        <v>8</v>
      </c>
      <c r="M1035" s="6"/>
      <c r="N1035" s="6"/>
      <c r="O1035" s="6"/>
      <c r="P1035" s="6"/>
      <c r="Q1035" s="6"/>
      <c r="R1035" s="6"/>
      <c r="S1035" s="35">
        <f>SUM(F1035:R1035)</f>
        <v>16</v>
      </c>
      <c r="T1035" s="35">
        <f>COUNT(F1035:R1035)</f>
        <v>2</v>
      </c>
      <c r="U1035" s="36">
        <f>IF(T1035&gt;=2,ROUND((IF(T1035=2,0.55,IF(T1035&lt;=4,0.7,IF(T1035&lt;=6,0.8,IF(T1035&lt;=9,0.9,1))))*(S1035/T1035)+(1-(IF(T1035=2,0.55,IF(T1035&lt;=4,0.7,IF(T1035&lt;=6,0.8,IF(T1035&lt;=9,0.9,1))))))*$Y$1),1),"")</f>
        <v>8</v>
      </c>
      <c r="V1035" s="37">
        <v>7.4</v>
      </c>
      <c r="W1035" s="38"/>
    </row>
    <row r="1036" ht="24" customHeight="1" spans="1:23" s="39" customFormat="1" x14ac:dyDescent="0.25">
      <c r="A1036" s="31">
        <v>77</v>
      </c>
      <c r="B1036" s="32" t="s">
        <v>1123</v>
      </c>
      <c r="C1036" s="33" t="s">
        <v>29</v>
      </c>
      <c r="D1036" s="34">
        <v>2015</v>
      </c>
      <c r="E1036" s="34" t="s">
        <v>30</v>
      </c>
      <c r="F1036" s="6">
        <v>8</v>
      </c>
      <c r="G1036" s="6"/>
      <c r="H1036" s="6"/>
      <c r="I1036" s="6">
        <v>10</v>
      </c>
      <c r="J1036" s="6"/>
      <c r="K1036" s="6">
        <v>8</v>
      </c>
      <c r="L1036" s="6"/>
      <c r="M1036" s="6"/>
      <c r="N1036" s="6"/>
      <c r="O1036" s="6">
        <v>10</v>
      </c>
      <c r="P1036" s="6"/>
      <c r="Q1036" s="6">
        <v>8</v>
      </c>
      <c r="R1036" s="6">
        <v>8</v>
      </c>
      <c r="S1036" s="35">
        <f>SUM(F1036:R1036)</f>
        <v>52</v>
      </c>
      <c r="T1036" s="35">
        <f>COUNT(F1036:R1036)</f>
        <v>6</v>
      </c>
      <c r="U1036" s="36">
        <f>IF(T1036&gt;=2,ROUND((IF(T1036=2,0.55,IF(T1036&lt;=4,0.7,IF(T1036&lt;=6,0.8,IF(T1036&lt;=9,0.9,1))))*(S1036/T1036)+(1-(IF(T1036=2,0.55,IF(T1036&lt;=4,0.7,IF(T1036&lt;=6,0.8,IF(T1036&lt;=9,0.9,1))))))*$Y$1),1),"")</f>
        <v>8.6</v>
      </c>
      <c r="V1036" s="37">
        <v>8.6</v>
      </c>
      <c r="W1036" s="38"/>
    </row>
    <row r="1037" ht="24" customHeight="1" spans="1:23" x14ac:dyDescent="0.25">
      <c r="A1037" s="31">
        <v>511</v>
      </c>
      <c r="B1037" s="32" t="s">
        <v>1124</v>
      </c>
      <c r="C1037" s="33" t="s">
        <v>24</v>
      </c>
      <c r="D1037" s="34">
        <v>2005</v>
      </c>
      <c r="E1037" s="34" t="s">
        <v>25</v>
      </c>
      <c r="F1037" s="6"/>
      <c r="G1037" s="6">
        <v>8</v>
      </c>
      <c r="H1037" s="6"/>
      <c r="I1037" s="6"/>
      <c r="J1037" s="6"/>
      <c r="K1037" s="6"/>
      <c r="L1037" s="6"/>
      <c r="M1037" s="6"/>
      <c r="N1037" s="6"/>
      <c r="O1037" s="6"/>
      <c r="P1037" s="6">
        <v>8</v>
      </c>
      <c r="Q1037" s="6"/>
      <c r="R1037" s="6"/>
      <c r="S1037" s="35">
        <f>SUM(F1037:R1037)</f>
        <v>16</v>
      </c>
      <c r="T1037" s="35">
        <f>COUNT(F1037:R1037)</f>
        <v>2</v>
      </c>
      <c r="U1037" s="36">
        <f>IF(T1037&gt;=2,ROUND((IF(T1037=2,0.55,IF(T1037&lt;=4,0.7,IF(T1037&lt;=6,0.8,IF(T1037&lt;=9,0.9,1))))*(S1037/T1037)+(1-(IF(T1037=2,0.55,IF(T1037&lt;=4,0.7,IF(T1037&lt;=6,0.8,IF(T1037&lt;=9,0.9,1))))))*$Y$1),1),"")</f>
        <v>8</v>
      </c>
      <c r="V1037" s="37">
        <v>6.4</v>
      </c>
      <c r="W1037" s="38"/>
    </row>
    <row r="1038" ht="24" customHeight="1" spans="1:23" x14ac:dyDescent="0.25">
      <c r="A1038" s="31">
        <v>336</v>
      </c>
      <c r="B1038" s="32" t="s">
        <v>1125</v>
      </c>
      <c r="C1038" s="33" t="s">
        <v>24</v>
      </c>
      <c r="D1038" s="34">
        <v>2020</v>
      </c>
      <c r="E1038" s="34" t="s">
        <v>30</v>
      </c>
      <c r="F1038" s="6">
        <v>6</v>
      </c>
      <c r="G1038" s="6"/>
      <c r="H1038" s="6"/>
      <c r="I1038" s="6"/>
      <c r="J1038" s="6"/>
      <c r="K1038" s="6"/>
      <c r="L1038" s="6"/>
      <c r="M1038" s="6">
        <v>8</v>
      </c>
      <c r="N1038" s="6"/>
      <c r="O1038" s="6"/>
      <c r="P1038" s="6"/>
      <c r="Q1038" s="6"/>
      <c r="R1038" s="6"/>
      <c r="S1038" s="35">
        <f>SUM(F1038:R1038)</f>
        <v>14</v>
      </c>
      <c r="T1038" s="35">
        <f>COUNT(F1038:R1038)</f>
        <v>2</v>
      </c>
      <c r="U1038" s="36">
        <f>IF(T1038&gt;=2,ROUND((IF(T1038=2,0.55,IF(T1038&lt;=4,0.7,IF(T1038&lt;=6,0.8,IF(T1038&lt;=9,0.9,1))))*(S1038/T1038)+(1-(IF(T1038=2,0.55,IF(T1038&lt;=4,0.7,IF(T1038&lt;=6,0.8,IF(T1038&lt;=9,0.9,1))))))*$Y$1),1),"")</f>
        <v>7.5</v>
      </c>
      <c r="V1038" s="37">
        <v>5.4</v>
      </c>
      <c r="W1038" s="38"/>
    </row>
    <row r="1039" ht="24" customHeight="1" spans="1:23" x14ac:dyDescent="0.25">
      <c r="A1039" s="31">
        <v>1260</v>
      </c>
      <c r="B1039" s="32" t="s">
        <v>1126</v>
      </c>
      <c r="C1039" s="33" t="s">
        <v>29</v>
      </c>
      <c r="D1039" s="34">
        <v>2020</v>
      </c>
      <c r="E1039" s="34" t="s">
        <v>30</v>
      </c>
      <c r="F1039" s="6"/>
      <c r="G1039" s="6"/>
      <c r="H1039" s="6">
        <v>8</v>
      </c>
      <c r="I1039" s="6"/>
      <c r="J1039" s="6"/>
      <c r="K1039" s="6">
        <v>8</v>
      </c>
      <c r="L1039" s="6">
        <v>8</v>
      </c>
      <c r="M1039" s="6">
        <v>8</v>
      </c>
      <c r="N1039" s="6">
        <v>8</v>
      </c>
      <c r="O1039" s="6"/>
      <c r="P1039" s="6"/>
      <c r="Q1039" s="6">
        <v>8</v>
      </c>
      <c r="R1039" s="6"/>
      <c r="S1039" s="35">
        <f>SUM(F1039:R1039)</f>
        <v>48</v>
      </c>
      <c r="T1039" s="35">
        <f>COUNT(F1039:R1039)</f>
        <v>6</v>
      </c>
      <c r="U1039" s="36">
        <f>IF(T1039&gt;=2,ROUND((IF(T1039=2,0.55,IF(T1039&lt;=4,0.7,IF(T1039&lt;=6,0.8,IF(T1039&lt;=9,0.9,1))))*(S1039/T1039)+(1-(IF(T1039=2,0.55,IF(T1039&lt;=4,0.7,IF(T1039&lt;=6,0.8,IF(T1039&lt;=9,0.9,1))))))*$Y$1),1),"")</f>
        <v>8</v>
      </c>
      <c r="V1039" s="37">
        <v>6.4</v>
      </c>
      <c r="W1039" s="38"/>
    </row>
    <row r="1040" ht="24" customHeight="1" spans="1:23" x14ac:dyDescent="0.25">
      <c r="A1040" s="31">
        <v>983</v>
      </c>
      <c r="B1040" s="32" t="s">
        <v>1127</v>
      </c>
      <c r="C1040" s="33" t="s">
        <v>24</v>
      </c>
      <c r="D1040" s="34">
        <v>2018</v>
      </c>
      <c r="E1040" s="34" t="s">
        <v>27</v>
      </c>
      <c r="F1040" s="6"/>
      <c r="G1040" s="6"/>
      <c r="H1040" s="6">
        <v>6</v>
      </c>
      <c r="I1040" s="6"/>
      <c r="J1040" s="6"/>
      <c r="K1040" s="6">
        <v>6</v>
      </c>
      <c r="L1040" s="6"/>
      <c r="M1040" s="6">
        <v>6</v>
      </c>
      <c r="N1040" s="6">
        <v>6</v>
      </c>
      <c r="O1040" s="6"/>
      <c r="P1040" s="6"/>
      <c r="Q1040" s="6">
        <v>6</v>
      </c>
      <c r="R1040" s="6"/>
      <c r="S1040" s="35">
        <f>SUM(F1040:R1040)</f>
        <v>30</v>
      </c>
      <c r="T1040" s="35">
        <f>COUNT(F1040:R1040)</f>
        <v>5</v>
      </c>
      <c r="U1040" s="36">
        <f>IF(T1040&gt;=2,ROUND((IF(T1040=2,0.55,IF(T1040&lt;=4,0.7,IF(T1040&lt;=6,0.8,IF(T1040&lt;=9,0.9,1))))*(S1040/T1040)+(1-(IF(T1040=2,0.55,IF(T1040&lt;=4,0.7,IF(T1040&lt;=6,0.8,IF(T1040&lt;=9,0.9,1))))))*$Y$1),1),"")</f>
        <v>6.4</v>
      </c>
      <c r="V1040" s="37">
        <v>5.8</v>
      </c>
      <c r="W1040" s="38"/>
    </row>
    <row r="1041" ht="24" customHeight="1" spans="1:23" x14ac:dyDescent="0.25">
      <c r="A1041" s="31">
        <v>817</v>
      </c>
      <c r="B1041" s="32" t="s">
        <v>1128</v>
      </c>
      <c r="C1041" s="33" t="s">
        <v>24</v>
      </c>
      <c r="D1041" s="34">
        <v>1991</v>
      </c>
      <c r="E1041" s="34" t="s">
        <v>27</v>
      </c>
      <c r="F1041" s="6"/>
      <c r="G1041" s="6"/>
      <c r="H1041" s="6"/>
      <c r="I1041" s="6"/>
      <c r="J1041" s="6"/>
      <c r="K1041" s="6">
        <v>8</v>
      </c>
      <c r="L1041" s="6">
        <v>6</v>
      </c>
      <c r="M1041" s="6"/>
      <c r="N1041" s="6"/>
      <c r="O1041" s="6"/>
      <c r="P1041" s="6"/>
      <c r="Q1041" s="6">
        <v>8</v>
      </c>
      <c r="R1041" s="6"/>
      <c r="S1041" s="35">
        <f>SUM(F1041:R1041)</f>
        <v>22</v>
      </c>
      <c r="T1041" s="35">
        <f>COUNT(F1041:R1041)</f>
        <v>3</v>
      </c>
      <c r="U1041" s="36">
        <f>IF(T1041&gt;=2,ROUND((IF(T1041=2,0.55,IF(T1041&lt;=4,0.7,IF(T1041&lt;=6,0.8,IF(T1041&lt;=9,0.9,1))))*(S1041/T1041)+(1-(IF(T1041=2,0.55,IF(T1041&lt;=4,0.7,IF(T1041&lt;=6,0.8,IF(T1041&lt;=9,0.9,1))))))*$Y$1),1),"")</f>
        <v>7.6</v>
      </c>
      <c r="V1041" s="37">
        <v>6.6</v>
      </c>
      <c r="W1041" s="38"/>
    </row>
    <row r="1042" ht="24" customHeight="1" spans="1:23" x14ac:dyDescent="0.25">
      <c r="A1042" s="40">
        <v>2147</v>
      </c>
      <c r="B1042" s="32" t="s">
        <v>1129</v>
      </c>
      <c r="C1042" s="33" t="s">
        <v>24</v>
      </c>
      <c r="D1042" s="34">
        <v>2004</v>
      </c>
      <c r="E1042" s="41"/>
      <c r="F1042" s="6"/>
      <c r="G1042" s="6">
        <v>7</v>
      </c>
      <c r="H1042" s="6"/>
      <c r="I1042" s="6"/>
      <c r="J1042" s="6"/>
      <c r="K1042" s="6"/>
      <c r="L1042" s="6">
        <v>7.5</v>
      </c>
      <c r="M1042" s="6"/>
      <c r="N1042" s="6"/>
      <c r="O1042" s="6"/>
      <c r="P1042" s="6"/>
      <c r="Q1042" s="6"/>
      <c r="R1042" s="6"/>
      <c r="S1042" s="35">
        <f>SUM(F1042:R1042)</f>
        <v>14.5</v>
      </c>
      <c r="T1042" s="35">
        <f>COUNT(F1042:R1042)</f>
        <v>2</v>
      </c>
      <c r="U1042" s="36">
        <f>IF(T1042&gt;=2,ROUND((IF(T1042=2,0.55,IF(T1042&lt;=4,0.7,IF(T1042&lt;=6,0.8,IF(T1042&lt;=9,0.9,1))))*(S1042/T1042)+(1-(IF(T1042=2,0.55,IF(T1042&lt;=4,0.7,IF(T1042&lt;=6,0.8,IF(T1042&lt;=9,0.9,1))))))*$Y$1),1),"")</f>
        <v>7.6</v>
      </c>
      <c r="V1042" s="37">
        <v>8.1</v>
      </c>
      <c r="W1042" s="38"/>
    </row>
    <row r="1043" ht="47.25" customHeight="1" spans="1:23" x14ac:dyDescent="0.25">
      <c r="A1043" s="31">
        <v>1098</v>
      </c>
      <c r="B1043" s="32" t="s">
        <v>1130</v>
      </c>
      <c r="C1043" s="33" t="s">
        <v>24</v>
      </c>
      <c r="D1043" s="34">
        <v>2005</v>
      </c>
      <c r="E1043" s="34" t="s">
        <v>30</v>
      </c>
      <c r="F1043" s="6"/>
      <c r="G1043" s="6"/>
      <c r="H1043" s="6"/>
      <c r="I1043" s="6"/>
      <c r="J1043" s="6"/>
      <c r="K1043" s="6">
        <v>8</v>
      </c>
      <c r="L1043" s="6"/>
      <c r="M1043" s="6"/>
      <c r="N1043" s="6"/>
      <c r="O1043" s="6"/>
      <c r="P1043" s="6"/>
      <c r="Q1043" s="6">
        <v>8</v>
      </c>
      <c r="R1043" s="6"/>
      <c r="S1043" s="35">
        <f>SUM(F1043:R1043)</f>
        <v>16</v>
      </c>
      <c r="T1043" s="35">
        <f>COUNT(F1043:R1043)</f>
        <v>2</v>
      </c>
      <c r="U1043" s="36">
        <f>IF(T1043&gt;=2,ROUND((IF(T1043=2,0.55,IF(T1043&lt;=4,0.7,IF(T1043&lt;=6,0.8,IF(T1043&lt;=9,0.9,1))))*(S1043/T1043)+(1-(IF(T1043=2,0.55,IF(T1043&lt;=4,0.7,IF(T1043&lt;=6,0.8,IF(T1043&lt;=9,0.9,1))))))*$Y$1),1),"")</f>
        <v>8</v>
      </c>
      <c r="V1043" s="37">
        <v>7.3</v>
      </c>
      <c r="W1043" s="38"/>
    </row>
    <row r="1044" ht="24" customHeight="1" spans="1:23" x14ac:dyDescent="0.25">
      <c r="A1044" s="31">
        <v>1927</v>
      </c>
      <c r="B1044" s="32" t="s">
        <v>1131</v>
      </c>
      <c r="C1044" s="33" t="s">
        <v>24</v>
      </c>
      <c r="D1044" s="34">
        <v>2003</v>
      </c>
      <c r="E1044" s="34" t="s">
        <v>25</v>
      </c>
      <c r="F1044" s="6"/>
      <c r="G1044" s="6">
        <v>7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35">
        <f>SUM(F1044:R1044)</f>
        <v>7</v>
      </c>
      <c r="T1044" s="35">
        <f>COUNT(F1044:R1044)</f>
        <v>1</v>
      </c>
      <c r="U1044" s="36">
        <f>IF(T1044&gt;=2,ROUND((IF(T1044=2,0.55,IF(T1044&lt;=4,0.7,IF(T1044&lt;=6,0.8,IF(T1044&lt;=9,0.9,1))))*(S1044/T1044)+(1-(IF(T1044=2,0.55,IF(T1044&lt;=4,0.7,IF(T1044&lt;=6,0.8,IF(T1044&lt;=9,0.9,1))))))*$Y$1),1),"")</f>
      </c>
      <c r="V1044" s="37">
        <v>8.1</v>
      </c>
      <c r="W1044" s="38"/>
    </row>
    <row r="1045" ht="24" customHeight="1" spans="1:23" x14ac:dyDescent="0.25">
      <c r="A1045" s="31">
        <v>1006</v>
      </c>
      <c r="B1045" s="32" t="s">
        <v>1132</v>
      </c>
      <c r="C1045" s="33" t="s">
        <v>24</v>
      </c>
      <c r="D1045" s="34">
        <v>2000</v>
      </c>
      <c r="E1045" s="34" t="s">
        <v>27</v>
      </c>
      <c r="F1045" s="6"/>
      <c r="G1045" s="6"/>
      <c r="H1045" s="6"/>
      <c r="I1045" s="6"/>
      <c r="J1045" s="6">
        <v>8</v>
      </c>
      <c r="K1045" s="6"/>
      <c r="L1045" s="6"/>
      <c r="M1045" s="6"/>
      <c r="N1045" s="6"/>
      <c r="O1045" s="6"/>
      <c r="P1045" s="6"/>
      <c r="Q1045" s="6"/>
      <c r="R1045" s="6"/>
      <c r="S1045" s="35">
        <f>SUM(F1045:R1045)</f>
        <v>8</v>
      </c>
      <c r="T1045" s="35">
        <f>COUNT(F1045:R1045)</f>
        <v>1</v>
      </c>
      <c r="U1045" s="36">
        <f>IF(T1045&gt;=2,ROUND((IF(T1045=2,0.55,IF(T1045&lt;=4,0.7,IF(T1045&lt;=6,0.8,IF(T1045&lt;=9,0.9,1))))*(S1045/T1045)+(1-(IF(T1045=2,0.55,IF(T1045&lt;=4,0.7,IF(T1045&lt;=6,0.8,IF(T1045&lt;=9,0.9,1))))))*$Y$1),1),"")</f>
      </c>
      <c r="V1045" s="37">
        <v>8.4</v>
      </c>
      <c r="W1045" s="38"/>
    </row>
    <row r="1046" ht="24" customHeight="1" spans="1:23" x14ac:dyDescent="0.25">
      <c r="A1046" s="42">
        <v>718</v>
      </c>
      <c r="B1046" s="32" t="s">
        <v>1133</v>
      </c>
      <c r="C1046" s="43" t="s">
        <v>24</v>
      </c>
      <c r="D1046" s="44">
        <v>1997</v>
      </c>
      <c r="E1046" s="44" t="s">
        <v>92</v>
      </c>
      <c r="F1046" s="6">
        <v>10</v>
      </c>
      <c r="G1046" s="6">
        <v>9</v>
      </c>
      <c r="H1046" s="6">
        <v>10</v>
      </c>
      <c r="I1046" s="6">
        <v>8</v>
      </c>
      <c r="J1046" s="6">
        <v>8</v>
      </c>
      <c r="K1046" s="6">
        <v>10</v>
      </c>
      <c r="L1046" s="6">
        <v>10</v>
      </c>
      <c r="M1046" s="6">
        <v>8</v>
      </c>
      <c r="N1046" s="6">
        <v>8</v>
      </c>
      <c r="O1046" s="6"/>
      <c r="P1046" s="6">
        <v>8</v>
      </c>
      <c r="Q1046" s="6">
        <v>10</v>
      </c>
      <c r="R1046" s="6"/>
      <c r="S1046" s="45">
        <f>SUM(F1046:R1046)</f>
        <v>99</v>
      </c>
      <c r="T1046" s="45">
        <f>COUNT(F1046:R1046)</f>
        <v>11</v>
      </c>
      <c r="U1046" s="36">
        <f>IF(T1046&gt;=2,ROUND((IF(T1046=2,0.55,IF(T1046&lt;=4,0.7,IF(T1046&lt;=6,0.8,IF(T1046&lt;=9,0.9,1))))*(S1046/T1046)+(1-(IF(T1046=2,0.55,IF(T1046&lt;=4,0.7,IF(T1046&lt;=6,0.8,IF(T1046&lt;=9,0.9,1))))))*$Y$1),1),"")</f>
        <v>9</v>
      </c>
      <c r="V1046" s="37">
        <v>7.7</v>
      </c>
      <c r="W1046" s="38" t="s">
        <v>44</v>
      </c>
    </row>
    <row r="1047" ht="24" customHeight="1" spans="1:23" x14ac:dyDescent="0.25">
      <c r="A1047" s="40">
        <v>2342</v>
      </c>
      <c r="B1047" s="32" t="s">
        <v>1134</v>
      </c>
      <c r="C1047" s="33" t="s">
        <v>24</v>
      </c>
      <c r="D1047" s="34">
        <v>2011</v>
      </c>
      <c r="E1047" s="41"/>
      <c r="F1047" s="6"/>
      <c r="G1047" s="6">
        <v>7</v>
      </c>
      <c r="H1047" s="6"/>
      <c r="I1047" s="6"/>
      <c r="J1047" s="6"/>
      <c r="K1047" s="6"/>
      <c r="L1047" s="6"/>
      <c r="M1047" s="6"/>
      <c r="N1047" s="6"/>
      <c r="O1047" s="6"/>
      <c r="P1047" s="6">
        <v>7</v>
      </c>
      <c r="Q1047" s="6"/>
      <c r="R1047" s="6"/>
      <c r="S1047" s="35">
        <f>SUM(F1047:R1047)</f>
        <v>14</v>
      </c>
      <c r="T1047" s="35">
        <f>COUNT(F1047:R1047)</f>
        <v>2</v>
      </c>
      <c r="U1047" s="36">
        <f>IF(T1047&gt;=2,ROUND((IF(T1047=2,0.55,IF(T1047&lt;=4,0.7,IF(T1047&lt;=6,0.8,IF(T1047&lt;=9,0.9,1))))*(S1047/T1047)+(1-(IF(T1047=2,0.55,IF(T1047&lt;=4,0.7,IF(T1047&lt;=6,0.8,IF(T1047&lt;=9,0.9,1))))))*$Y$1),1),"")</f>
        <v>7.5</v>
      </c>
      <c r="V1047" s="37">
        <v>7.1</v>
      </c>
      <c r="W1047" s="38"/>
    </row>
    <row r="1048" ht="24" customHeight="1" spans="1:23" x14ac:dyDescent="0.25">
      <c r="A1048" s="31">
        <v>1403</v>
      </c>
      <c r="B1048" s="32" t="s">
        <v>1135</v>
      </c>
      <c r="C1048" s="33" t="s">
        <v>24</v>
      </c>
      <c r="D1048" s="34">
        <v>2021</v>
      </c>
      <c r="E1048" s="34" t="s">
        <v>27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>
        <v>8</v>
      </c>
      <c r="P1048" s="6"/>
      <c r="Q1048" s="6"/>
      <c r="R1048" s="6"/>
      <c r="S1048" s="35">
        <f>SUM(F1048:R1048)</f>
        <v>8</v>
      </c>
      <c r="T1048" s="35">
        <f>COUNT(F1048:R1048)</f>
        <v>1</v>
      </c>
      <c r="U1048" s="36">
        <f>IF(T1048&gt;=2,ROUND((IF(T1048=2,0.55,IF(T1048&lt;=4,0.7,IF(T1048&lt;=6,0.8,IF(T1048&lt;=9,0.9,1))))*(S1048/T1048)+(1-(IF(T1048=2,0.55,IF(T1048&lt;=4,0.7,IF(T1048&lt;=6,0.8,IF(T1048&lt;=9,0.9,1))))))*$Y$1),1),"")</f>
      </c>
      <c r="V1048" s="37">
        <v>4.6</v>
      </c>
      <c r="W1048" s="38"/>
    </row>
    <row r="1049" ht="24" customHeight="1" spans="1:23" x14ac:dyDescent="0.25">
      <c r="A1049" s="40">
        <v>2275</v>
      </c>
      <c r="B1049" s="32" t="s">
        <v>1136</v>
      </c>
      <c r="C1049" s="33" t="s">
        <v>24</v>
      </c>
      <c r="D1049" s="34">
        <v>2011</v>
      </c>
      <c r="E1049" s="41"/>
      <c r="F1049" s="6"/>
      <c r="G1049" s="6">
        <v>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35">
        <f>SUM(F1049:R1049)</f>
        <v>8</v>
      </c>
      <c r="T1049" s="35">
        <f>COUNT(F1049:R1049)</f>
        <v>1</v>
      </c>
      <c r="U1049" s="36">
        <f>IF(T1049&gt;=2,ROUND((IF(T1049=2,0.55,IF(T1049&lt;=4,0.7,IF(T1049&lt;=6,0.8,IF(T1049&lt;=9,0.9,1))))*(S1049/T1049)+(1-(IF(T1049=2,0.55,IF(T1049&lt;=4,0.7,IF(T1049&lt;=6,0.8,IF(T1049&lt;=9,0.9,1))))))*$Y$1),1),"")</f>
      </c>
      <c r="V1049" s="37">
        <v>7.6</v>
      </c>
      <c r="W1049" s="38"/>
    </row>
    <row r="1050" ht="24" customHeight="1" spans="1:23" x14ac:dyDescent="0.25">
      <c r="A1050" s="42">
        <v>76</v>
      </c>
      <c r="B1050" s="32" t="s">
        <v>1137</v>
      </c>
      <c r="C1050" s="43" t="s">
        <v>24</v>
      </c>
      <c r="D1050" s="44">
        <v>2011</v>
      </c>
      <c r="E1050" s="44" t="s">
        <v>244</v>
      </c>
      <c r="F1050" s="6">
        <v>10</v>
      </c>
      <c r="G1050" s="6">
        <v>8</v>
      </c>
      <c r="H1050" s="6">
        <v>8</v>
      </c>
      <c r="I1050" s="6">
        <v>10</v>
      </c>
      <c r="J1050" s="6">
        <v>8</v>
      </c>
      <c r="K1050" s="6">
        <v>10</v>
      </c>
      <c r="L1050" s="6">
        <v>10</v>
      </c>
      <c r="M1050" s="6">
        <v>8</v>
      </c>
      <c r="N1050" s="6">
        <v>8</v>
      </c>
      <c r="O1050" s="6">
        <v>8</v>
      </c>
      <c r="P1050" s="6">
        <v>8</v>
      </c>
      <c r="Q1050" s="6">
        <v>10</v>
      </c>
      <c r="R1050" s="6">
        <v>8</v>
      </c>
      <c r="S1050" s="45">
        <f>SUM(F1050:R1050)</f>
        <v>114</v>
      </c>
      <c r="T1050" s="45">
        <f>COUNT(F1050:R1050)</f>
        <v>13</v>
      </c>
      <c r="U1050" s="36">
        <f>IF(T1050&gt;=2,ROUND((IF(T1050=2,0.55,IF(T1050&lt;=4,0.7,IF(T1050&lt;=6,0.8,IF(T1050&lt;=9,0.9,1))))*(S1050/T1050)+(1-(IF(T1050=2,0.55,IF(T1050&lt;=4,0.7,IF(T1050&lt;=6,0.8,IF(T1050&lt;=9,0.9,1))))))*$Y$1),1),"")</f>
        <v>8.8</v>
      </c>
      <c r="V1050" s="37">
        <v>7.6</v>
      </c>
      <c r="W1050" s="38" t="s">
        <v>44</v>
      </c>
    </row>
    <row r="1051" ht="24" customHeight="1" spans="1:23" x14ac:dyDescent="0.25">
      <c r="A1051" s="31">
        <v>1707</v>
      </c>
      <c r="B1051" s="32" t="s">
        <v>1138</v>
      </c>
      <c r="C1051" s="33" t="s">
        <v>24</v>
      </c>
      <c r="D1051" s="34">
        <v>2007</v>
      </c>
      <c r="E1051" s="34" t="s">
        <v>30</v>
      </c>
      <c r="F1051" s="6">
        <v>8</v>
      </c>
      <c r="G1051" s="6">
        <v>8</v>
      </c>
      <c r="H1051" s="6"/>
      <c r="I1051" s="6">
        <v>8</v>
      </c>
      <c r="J1051" s="6">
        <v>8</v>
      </c>
      <c r="K1051" s="6"/>
      <c r="L1051" s="6">
        <v>7</v>
      </c>
      <c r="M1051" s="6"/>
      <c r="N1051" s="6">
        <v>9</v>
      </c>
      <c r="O1051" s="6"/>
      <c r="P1051" s="6">
        <v>7</v>
      </c>
      <c r="Q1051" s="6"/>
      <c r="R1051" s="6"/>
      <c r="S1051" s="35">
        <f>SUM(F1051:R1051)</f>
        <v>55</v>
      </c>
      <c r="T1051" s="35">
        <f>COUNT(F1051:R1051)</f>
        <v>7</v>
      </c>
      <c r="U1051" s="36">
        <f>IF(T1051&gt;=2,ROUND((IF(T1051=2,0.55,IF(T1051&lt;=4,0.7,IF(T1051&lt;=6,0.8,IF(T1051&lt;=9,0.9,1))))*(S1051/T1051)+(1-(IF(T1051=2,0.55,IF(T1051&lt;=4,0.7,IF(T1051&lt;=6,0.8,IF(T1051&lt;=9,0.9,1))))))*$Y$1),1),"")</f>
        <v>7.9</v>
      </c>
      <c r="V1051" s="37">
        <v>7.6</v>
      </c>
      <c r="W1051" s="38"/>
    </row>
    <row r="1052" ht="24" customHeight="1" spans="1:23" x14ac:dyDescent="0.25">
      <c r="A1052" s="31">
        <v>1876</v>
      </c>
      <c r="B1052" s="32" t="s">
        <v>1139</v>
      </c>
      <c r="C1052" s="33" t="s">
        <v>29</v>
      </c>
      <c r="D1052" s="34">
        <v>2016</v>
      </c>
      <c r="E1052" s="34" t="s">
        <v>48</v>
      </c>
      <c r="F1052" s="6"/>
      <c r="G1052" s="6"/>
      <c r="H1052" s="6">
        <v>10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35">
        <f>SUM(F1052:R1052)</f>
        <v>10</v>
      </c>
      <c r="T1052" s="35">
        <f>COUNT(F1052:R1052)</f>
        <v>1</v>
      </c>
      <c r="U1052" s="36">
        <f>IF(T1052&gt;=2,ROUND((IF(T1052=2,0.55,IF(T1052&lt;=4,0.7,IF(T1052&lt;=6,0.8,IF(T1052&lt;=9,0.9,1))))*(S1052/T1052)+(1-(IF(T1052=2,0.55,IF(T1052&lt;=4,0.7,IF(T1052&lt;=6,0.8,IF(T1052&lt;=9,0.9,1))))))*$Y$1),1),"")</f>
      </c>
      <c r="V1052" s="37">
        <v>7.8</v>
      </c>
      <c r="W1052" s="38"/>
    </row>
    <row r="1053" ht="24" customHeight="1" spans="1:23" x14ac:dyDescent="0.25">
      <c r="A1053" s="31">
        <v>376</v>
      </c>
      <c r="B1053" s="32" t="s">
        <v>1140</v>
      </c>
      <c r="C1053" s="33" t="s">
        <v>24</v>
      </c>
      <c r="D1053" s="34">
        <v>2017</v>
      </c>
      <c r="E1053" s="34" t="s">
        <v>1141</v>
      </c>
      <c r="F1053" s="6">
        <v>8</v>
      </c>
      <c r="G1053" s="6">
        <v>8</v>
      </c>
      <c r="H1053" s="6"/>
      <c r="I1053" s="6">
        <v>8</v>
      </c>
      <c r="J1053" s="6">
        <v>8</v>
      </c>
      <c r="K1053" s="6">
        <v>8</v>
      </c>
      <c r="L1053" s="6">
        <v>8</v>
      </c>
      <c r="M1053" s="6"/>
      <c r="N1053" s="6"/>
      <c r="O1053" s="6"/>
      <c r="P1053" s="6">
        <v>8</v>
      </c>
      <c r="Q1053" s="6">
        <v>8</v>
      </c>
      <c r="R1053" s="6">
        <v>6</v>
      </c>
      <c r="S1053" s="35">
        <f>SUM(F1053:R1053)</f>
        <v>70</v>
      </c>
      <c r="T1053" s="35">
        <f>COUNT(F1053:R1053)</f>
        <v>9</v>
      </c>
      <c r="U1053" s="36">
        <f>IF(T1053&gt;=2,ROUND((IF(T1053=2,0.55,IF(T1053&lt;=4,0.7,IF(T1053&lt;=6,0.8,IF(T1053&lt;=9,0.9,1))))*(S1053/T1053)+(1-(IF(T1053=2,0.55,IF(T1053&lt;=4,0.7,IF(T1053&lt;=6,0.8,IF(T1053&lt;=9,0.9,1))))))*$Y$1),1),"")</f>
        <v>7.8</v>
      </c>
      <c r="V1053" s="37">
        <v>7.8</v>
      </c>
      <c r="W1053" s="38"/>
    </row>
    <row r="1054" ht="24" customHeight="1" spans="1:23" x14ac:dyDescent="0.25">
      <c r="A1054" s="31">
        <v>921</v>
      </c>
      <c r="B1054" s="32" t="s">
        <v>1142</v>
      </c>
      <c r="C1054" s="33" t="s">
        <v>24</v>
      </c>
      <c r="D1054" s="34">
        <v>2004</v>
      </c>
      <c r="E1054" s="34" t="s">
        <v>27</v>
      </c>
      <c r="F1054" s="6"/>
      <c r="G1054" s="6"/>
      <c r="H1054" s="6"/>
      <c r="I1054" s="6"/>
      <c r="J1054" s="6"/>
      <c r="K1054" s="6">
        <v>6</v>
      </c>
      <c r="L1054" s="6"/>
      <c r="M1054" s="6"/>
      <c r="N1054" s="6">
        <v>8</v>
      </c>
      <c r="O1054" s="6"/>
      <c r="P1054" s="6"/>
      <c r="Q1054" s="6">
        <v>6</v>
      </c>
      <c r="R1054" s="6"/>
      <c r="S1054" s="35">
        <f>SUM(F1054:R1054)</f>
        <v>20</v>
      </c>
      <c r="T1054" s="35">
        <f>COUNT(F1054:R1054)</f>
        <v>3</v>
      </c>
      <c r="U1054" s="36">
        <f>IF(T1054&gt;=2,ROUND((IF(T1054=2,0.55,IF(T1054&lt;=4,0.7,IF(T1054&lt;=6,0.8,IF(T1054&lt;=9,0.9,1))))*(S1054/T1054)+(1-(IF(T1054=2,0.55,IF(T1054&lt;=4,0.7,IF(T1054&lt;=6,0.8,IF(T1054&lt;=9,0.9,1))))))*$Y$1),1),"")</f>
        <v>7.1</v>
      </c>
      <c r="V1054" s="37">
        <v>6.4</v>
      </c>
      <c r="W1054" s="38"/>
    </row>
    <row r="1055" ht="24" customHeight="1" spans="1:23" x14ac:dyDescent="0.25">
      <c r="A1055" s="31">
        <v>1645</v>
      </c>
      <c r="B1055" s="32" t="s">
        <v>1143</v>
      </c>
      <c r="C1055" s="33" t="s">
        <v>24</v>
      </c>
      <c r="D1055" s="34">
        <v>1983</v>
      </c>
      <c r="E1055" s="34" t="s">
        <v>30</v>
      </c>
      <c r="F1055" s="6"/>
      <c r="G1055" s="6"/>
      <c r="H1055" s="6"/>
      <c r="I1055" s="6"/>
      <c r="J1055" s="6">
        <v>7</v>
      </c>
      <c r="K1055" s="6"/>
      <c r="L1055" s="6"/>
      <c r="M1055" s="6"/>
      <c r="N1055" s="6"/>
      <c r="O1055" s="6"/>
      <c r="P1055" s="6"/>
      <c r="Q1055" s="6"/>
      <c r="R1055" s="6"/>
      <c r="S1055" s="35">
        <f>SUM(F1055:R1055)</f>
        <v>7</v>
      </c>
      <c r="T1055" s="35">
        <f>COUNT(F1055:R1055)</f>
        <v>1</v>
      </c>
      <c r="U1055" s="36">
        <f>IF(T1055&gt;=2,ROUND((IF(T1055=2,0.55,IF(T1055&lt;=4,0.7,IF(T1055&lt;=6,0.8,IF(T1055&lt;=9,0.9,1))))*(S1055/T1055)+(1-(IF(T1055=2,0.55,IF(T1055&lt;=4,0.7,IF(T1055&lt;=6,0.8,IF(T1055&lt;=9,0.9,1))))))*$Y$1),1),"")</f>
      </c>
      <c r="V1055" s="37">
        <v>6.5</v>
      </c>
      <c r="W1055" s="38"/>
    </row>
    <row r="1056" ht="24" customHeight="1" spans="1:23" x14ac:dyDescent="0.25">
      <c r="A1056" s="31">
        <v>588</v>
      </c>
      <c r="B1056" s="32" t="s">
        <v>1144</v>
      </c>
      <c r="C1056" s="33" t="s">
        <v>24</v>
      </c>
      <c r="D1056" s="34">
        <v>2016</v>
      </c>
      <c r="E1056" s="34" t="s">
        <v>30</v>
      </c>
      <c r="F1056" s="6">
        <v>8</v>
      </c>
      <c r="G1056" s="6">
        <v>10</v>
      </c>
      <c r="H1056" s="6">
        <v>10</v>
      </c>
      <c r="I1056" s="6">
        <v>8</v>
      </c>
      <c r="J1056" s="6">
        <v>8</v>
      </c>
      <c r="K1056" s="6">
        <v>10</v>
      </c>
      <c r="L1056" s="6">
        <v>10</v>
      </c>
      <c r="M1056" s="6">
        <v>8</v>
      </c>
      <c r="N1056" s="6">
        <v>8</v>
      </c>
      <c r="O1056" s="6">
        <v>10</v>
      </c>
      <c r="P1056" s="6">
        <v>10</v>
      </c>
      <c r="Q1056" s="6">
        <v>10</v>
      </c>
      <c r="R1056" s="6">
        <v>10</v>
      </c>
      <c r="S1056" s="35">
        <f>SUM(F1056:R1056)</f>
        <v>120</v>
      </c>
      <c r="T1056" s="35">
        <f>COUNT(F1056:R1056)</f>
        <v>13</v>
      </c>
      <c r="U1056" s="36">
        <f>IF(T1056&gt;=2,ROUND((IF(T1056=2,0.55,IF(T1056&lt;=4,0.7,IF(T1056&lt;=6,0.8,IF(T1056&lt;=9,0.9,1))))*(S1056/T1056)+(1-(IF(T1056=2,0.55,IF(T1056&lt;=4,0.7,IF(T1056&lt;=6,0.8,IF(T1056&lt;=9,0.9,1))))))*$Y$1),1),"")</f>
        <v>9.2</v>
      </c>
      <c r="V1056" s="37">
        <v>7.6</v>
      </c>
      <c r="W1056" s="38"/>
    </row>
    <row r="1057" ht="24" customHeight="1" spans="1:23" x14ac:dyDescent="0.25">
      <c r="A1057" s="40">
        <v>2330</v>
      </c>
      <c r="B1057" s="32" t="s">
        <v>1145</v>
      </c>
      <c r="C1057" s="33" t="s">
        <v>24</v>
      </c>
      <c r="D1057" s="34">
        <v>2021</v>
      </c>
      <c r="E1057" s="41"/>
      <c r="F1057" s="6"/>
      <c r="G1057" s="6">
        <v>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35">
        <f>SUM(F1057:R1057)</f>
        <v>8</v>
      </c>
      <c r="T1057" s="35">
        <f>COUNT(F1057:R1057)</f>
        <v>1</v>
      </c>
      <c r="U1057" s="36">
        <f>IF(T1057&gt;=2,ROUND((IF(T1057=2,0.55,IF(T1057&lt;=4,0.7,IF(T1057&lt;=6,0.8,IF(T1057&lt;=9,0.9,1))))*(S1057/T1057)+(1-(IF(T1057=2,0.55,IF(T1057&lt;=4,0.7,IF(T1057&lt;=6,0.8,IF(T1057&lt;=9,0.9,1))))))*$Y$1),1),"")</f>
      </c>
      <c r="V1057" s="37">
        <v>7.5</v>
      </c>
      <c r="W1057" s="38"/>
    </row>
    <row r="1058" ht="24" customHeight="1" spans="1:23" s="39" customFormat="1" x14ac:dyDescent="0.25">
      <c r="A1058" s="31">
        <v>580</v>
      </c>
      <c r="B1058" s="32" t="s">
        <v>1146</v>
      </c>
      <c r="C1058" s="33" t="s">
        <v>24</v>
      </c>
      <c r="D1058" s="34">
        <v>2017</v>
      </c>
      <c r="E1058" s="34" t="s">
        <v>30</v>
      </c>
      <c r="F1058" s="6"/>
      <c r="G1058" s="6"/>
      <c r="H1058" s="6"/>
      <c r="I1058" s="6"/>
      <c r="J1058" s="6"/>
      <c r="K1058" s="6">
        <v>8</v>
      </c>
      <c r="L1058" s="6"/>
      <c r="M1058" s="6"/>
      <c r="N1058" s="6"/>
      <c r="O1058" s="6"/>
      <c r="P1058" s="6"/>
      <c r="Q1058" s="6">
        <v>8</v>
      </c>
      <c r="R1058" s="6"/>
      <c r="S1058" s="35">
        <f>SUM(F1058:R1058)</f>
        <v>16</v>
      </c>
      <c r="T1058" s="35">
        <f>COUNT(F1058:R1058)</f>
        <v>2</v>
      </c>
      <c r="U1058" s="36">
        <f>IF(T1058&gt;=2,ROUND((IF(T1058=2,0.55,IF(T1058&lt;=4,0.7,IF(T1058&lt;=6,0.8,IF(T1058&lt;=9,0.9,1))))*(S1058/T1058)+(1-(IF(T1058=2,0.55,IF(T1058&lt;=4,0.7,IF(T1058&lt;=6,0.8,IF(T1058&lt;=9,0.9,1))))))*$Y$1),1),"")</f>
        <v>8</v>
      </c>
      <c r="V1058" s="37">
        <v>6.4</v>
      </c>
      <c r="W1058" s="38"/>
    </row>
    <row r="1059" ht="24" customHeight="1" spans="1:23" x14ac:dyDescent="0.25">
      <c r="A1059" s="31">
        <v>215</v>
      </c>
      <c r="B1059" s="32" t="s">
        <v>1147</v>
      </c>
      <c r="C1059" s="33" t="s">
        <v>24</v>
      </c>
      <c r="D1059" s="34">
        <v>1964</v>
      </c>
      <c r="E1059" s="34" t="s">
        <v>52</v>
      </c>
      <c r="F1059" s="6">
        <v>10</v>
      </c>
      <c r="G1059" s="6">
        <v>9</v>
      </c>
      <c r="H1059" s="6">
        <v>10</v>
      </c>
      <c r="I1059" s="6">
        <v>10</v>
      </c>
      <c r="J1059" s="6"/>
      <c r="K1059" s="6">
        <v>10</v>
      </c>
      <c r="L1059" s="6">
        <v>10</v>
      </c>
      <c r="M1059" s="6">
        <v>10</v>
      </c>
      <c r="N1059" s="6"/>
      <c r="O1059" s="6"/>
      <c r="P1059" s="6">
        <v>10</v>
      </c>
      <c r="Q1059" s="6">
        <v>10</v>
      </c>
      <c r="R1059" s="6"/>
      <c r="S1059" s="35">
        <f>SUM(F1059:R1059)</f>
        <v>89</v>
      </c>
      <c r="T1059" s="35">
        <f>COUNT(F1059:R1059)</f>
        <v>9</v>
      </c>
      <c r="U1059" s="36">
        <f>IF(T1059&gt;=2,ROUND((IF(T1059=2,0.55,IF(T1059&lt;=4,0.7,IF(T1059&lt;=6,0.8,IF(T1059&lt;=9,0.9,1))))*(S1059/T1059)+(1-(IF(T1059=2,0.55,IF(T1059&lt;=4,0.7,IF(T1059&lt;=6,0.8,IF(T1059&lt;=9,0.9,1))))))*$Y$1),1),"")</f>
        <v>9.7</v>
      </c>
      <c r="V1059" s="37">
        <v>7.8</v>
      </c>
      <c r="W1059" s="38"/>
    </row>
    <row r="1060" ht="24" customHeight="1" spans="1:23" x14ac:dyDescent="0.25">
      <c r="A1060" s="40">
        <v>2245</v>
      </c>
      <c r="B1060" s="32" t="s">
        <v>1148</v>
      </c>
      <c r="C1060" s="33" t="s">
        <v>24</v>
      </c>
      <c r="D1060" s="34">
        <v>2009</v>
      </c>
      <c r="E1060" s="41"/>
      <c r="F1060" s="6"/>
      <c r="G1060" s="6">
        <v>7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35">
        <f>SUM(F1060:R1060)</f>
        <v>7</v>
      </c>
      <c r="T1060" s="35">
        <f>COUNT(F1060:R1060)</f>
        <v>1</v>
      </c>
      <c r="U1060" s="36">
        <f>IF(T1060&gt;=2,ROUND((IF(T1060=2,0.55,IF(T1060&lt;=4,0.7,IF(T1060&lt;=6,0.8,IF(T1060&lt;=9,0.9,1))))*(S1060/T1060)+(1-(IF(T1060=2,0.55,IF(T1060&lt;=4,0.7,IF(T1060&lt;=6,0.8,IF(T1060&lt;=9,0.9,1))))))*$Y$1),1),"")</f>
      </c>
      <c r="V1060" s="37">
        <v>8.1</v>
      </c>
      <c r="W1060" s="38"/>
    </row>
    <row r="1061" ht="24" customHeight="1" spans="1:23" x14ac:dyDescent="0.25">
      <c r="A1061" s="31">
        <v>437</v>
      </c>
      <c r="B1061" s="32" t="s">
        <v>1149</v>
      </c>
      <c r="C1061" s="33" t="s">
        <v>24</v>
      </c>
      <c r="D1061" s="34">
        <v>2017</v>
      </c>
      <c r="E1061" s="34" t="s">
        <v>179</v>
      </c>
      <c r="F1061" s="6"/>
      <c r="G1061" s="6"/>
      <c r="H1061" s="6"/>
      <c r="I1061" s="6"/>
      <c r="J1061" s="6"/>
      <c r="K1061" s="6"/>
      <c r="L1061" s="6">
        <v>6</v>
      </c>
      <c r="M1061" s="6"/>
      <c r="N1061" s="6"/>
      <c r="O1061" s="6"/>
      <c r="P1061" s="6"/>
      <c r="Q1061" s="6"/>
      <c r="R1061" s="6"/>
      <c r="S1061" s="35">
        <f>SUM(F1061:R1061)</f>
        <v>6</v>
      </c>
      <c r="T1061" s="35">
        <f>COUNT(F1061:R1061)</f>
        <v>1</v>
      </c>
      <c r="U1061" s="36">
        <f>IF(T1061&gt;=2,ROUND((IF(T1061=2,0.55,IF(T1061&lt;=4,0.7,IF(T1061&lt;=6,0.8,IF(T1061&lt;=9,0.9,1))))*(S1061/T1061)+(1-(IF(T1061=2,0.55,IF(T1061&lt;=4,0.7,IF(T1061&lt;=6,0.8,IF(T1061&lt;=9,0.9,1))))))*$Y$1),1),"")</f>
      </c>
      <c r="V1061" s="37">
        <v>6.9</v>
      </c>
      <c r="W1061" s="38"/>
    </row>
    <row r="1062" ht="24" customHeight="1" spans="1:23" x14ac:dyDescent="0.25">
      <c r="A1062" s="40">
        <v>2430</v>
      </c>
      <c r="B1062" s="32" t="s">
        <v>1150</v>
      </c>
      <c r="C1062" s="33" t="s">
        <v>24</v>
      </c>
      <c r="D1062" s="34">
        <v>2025</v>
      </c>
      <c r="E1062" s="41"/>
      <c r="F1062" s="6">
        <v>8</v>
      </c>
      <c r="G1062" s="6">
        <v>8</v>
      </c>
      <c r="H1062" s="6"/>
      <c r="I1062" s="6"/>
      <c r="J1062" s="6">
        <v>9</v>
      </c>
      <c r="K1062" s="6">
        <v>8</v>
      </c>
      <c r="L1062" s="6">
        <v>9</v>
      </c>
      <c r="M1062" s="6"/>
      <c r="N1062" s="6">
        <v>8</v>
      </c>
      <c r="O1062" s="6"/>
      <c r="P1062" s="6"/>
      <c r="Q1062" s="6">
        <v>8</v>
      </c>
      <c r="R1062" s="6"/>
      <c r="S1062" s="35">
        <f>SUM(F1062:R1062)</f>
        <v>58</v>
      </c>
      <c r="T1062" s="35">
        <f>COUNT(F1062:R1062)</f>
        <v>7</v>
      </c>
      <c r="U1062" s="36">
        <f>IF(T1062&gt;=2,ROUND((IF(T1062=2,0.55,IF(T1062&lt;=4,0.7,IF(T1062&lt;=6,0.8,IF(T1062&lt;=9,0.9,1))))*(S1062/T1062)+(1-(IF(T1062=2,0.55,IF(T1062&lt;=4,0.7,IF(T1062&lt;=6,0.8,IF(T1062&lt;=9,0.9,1))))))*$Y$1),1),"")</f>
        <v>8.3</v>
      </c>
      <c r="V1062" s="37">
        <v>7.6</v>
      </c>
      <c r="W1062" s="38"/>
    </row>
    <row r="1063" ht="24" customHeight="1" spans="1:23" x14ac:dyDescent="0.25">
      <c r="A1063" s="31">
        <v>828</v>
      </c>
      <c r="B1063" s="32" t="s">
        <v>1151</v>
      </c>
      <c r="C1063" s="33" t="s">
        <v>24</v>
      </c>
      <c r="D1063" s="34">
        <v>2017</v>
      </c>
      <c r="E1063" s="34" t="s">
        <v>30</v>
      </c>
      <c r="F1063" s="6"/>
      <c r="G1063" s="6"/>
      <c r="H1063" s="6"/>
      <c r="I1063" s="6"/>
      <c r="J1063" s="6">
        <v>8</v>
      </c>
      <c r="K1063" s="6">
        <v>8</v>
      </c>
      <c r="L1063" s="6">
        <v>8</v>
      </c>
      <c r="M1063" s="6"/>
      <c r="N1063" s="6">
        <v>8</v>
      </c>
      <c r="O1063" s="6"/>
      <c r="P1063" s="6"/>
      <c r="Q1063" s="6">
        <v>8</v>
      </c>
      <c r="R1063" s="6"/>
      <c r="S1063" s="35">
        <f>SUM(F1063:R1063)</f>
        <v>40</v>
      </c>
      <c r="T1063" s="35">
        <f>COUNT(F1063:R1063)</f>
        <v>5</v>
      </c>
      <c r="U1063" s="36">
        <f>IF(T1063&gt;=2,ROUND((IF(T1063=2,0.55,IF(T1063&lt;=4,0.7,IF(T1063&lt;=6,0.8,IF(T1063&lt;=9,0.9,1))))*(S1063/T1063)+(1-(IF(T1063=2,0.55,IF(T1063&lt;=4,0.7,IF(T1063&lt;=6,0.8,IF(T1063&lt;=9,0.9,1))))))*$Y$1),1),"")</f>
        <v>8</v>
      </c>
      <c r="V1063" s="37">
        <v>7.3</v>
      </c>
      <c r="W1063" s="38"/>
    </row>
    <row r="1064" ht="24" customHeight="1" spans="1:23" x14ac:dyDescent="0.25">
      <c r="A1064" s="31">
        <v>1378</v>
      </c>
      <c r="B1064" s="32" t="s">
        <v>1152</v>
      </c>
      <c r="C1064" s="33" t="s">
        <v>29</v>
      </c>
      <c r="D1064" s="34">
        <v>2016</v>
      </c>
      <c r="E1064" s="34" t="s">
        <v>30</v>
      </c>
      <c r="F1064" s="6"/>
      <c r="G1064" s="6"/>
      <c r="H1064" s="6"/>
      <c r="I1064" s="6"/>
      <c r="J1064" s="6"/>
      <c r="K1064" s="6"/>
      <c r="L1064" s="6"/>
      <c r="M1064" s="6"/>
      <c r="N1064" s="6">
        <v>9</v>
      </c>
      <c r="O1064" s="6"/>
      <c r="P1064" s="6"/>
      <c r="Q1064" s="6"/>
      <c r="R1064" s="6"/>
      <c r="S1064" s="35">
        <f>SUM(F1064:R1064)</f>
        <v>9</v>
      </c>
      <c r="T1064" s="35">
        <f>COUNT(F1064:R1064)</f>
        <v>1</v>
      </c>
      <c r="U1064" s="36">
        <f>IF(T1064&gt;=2,ROUND((IF(T1064=2,0.55,IF(T1064&lt;=4,0.7,IF(T1064&lt;=6,0.8,IF(T1064&lt;=9,0.9,1))))*(S1064/T1064)+(1-(IF(T1064=2,0.55,IF(T1064&lt;=4,0.7,IF(T1064&lt;=6,0.8,IF(T1064&lt;=9,0.9,1))))))*$Y$1),1),"")</f>
      </c>
      <c r="V1064" s="37">
        <v>6.9</v>
      </c>
      <c r="W1064" s="38"/>
    </row>
    <row r="1065" ht="24" customHeight="1" spans="1:23" x14ac:dyDescent="0.25">
      <c r="A1065" s="40">
        <v>2367</v>
      </c>
      <c r="B1065" s="32" t="s">
        <v>1153</v>
      </c>
      <c r="C1065" s="33" t="s">
        <v>29</v>
      </c>
      <c r="D1065" s="34">
        <v>2023</v>
      </c>
      <c r="E1065" s="41"/>
      <c r="F1065" s="6">
        <v>8</v>
      </c>
      <c r="G1065" s="6"/>
      <c r="H1065" s="6"/>
      <c r="I1065" s="6"/>
      <c r="J1065" s="6"/>
      <c r="K1065" s="6">
        <v>7</v>
      </c>
      <c r="L1065" s="6">
        <v>8</v>
      </c>
      <c r="M1065" s="6"/>
      <c r="N1065" s="6"/>
      <c r="O1065" s="6"/>
      <c r="P1065" s="6"/>
      <c r="Q1065" s="6">
        <v>7</v>
      </c>
      <c r="R1065" s="6"/>
      <c r="S1065" s="35">
        <f>SUM(F1065:R1065)</f>
        <v>30</v>
      </c>
      <c r="T1065" s="35">
        <f>COUNT(F1065:R1065)</f>
        <v>4</v>
      </c>
      <c r="U1065" s="36">
        <f>IF(T1065&gt;=2,ROUND((IF(T1065=2,0.55,IF(T1065&lt;=4,0.7,IF(T1065&lt;=6,0.8,IF(T1065&lt;=9,0.9,1))))*(S1065/T1065)+(1-(IF(T1065=2,0.55,IF(T1065&lt;=4,0.7,IF(T1065&lt;=6,0.8,IF(T1065&lt;=9,0.9,1))))))*$Y$1),1),"")</f>
        <v>7.7</v>
      </c>
      <c r="V1065" s="37">
        <v>7.2</v>
      </c>
      <c r="W1065" s="38"/>
    </row>
    <row r="1066" ht="24" customHeight="1" spans="1:23" s="39" customFormat="1" x14ac:dyDescent="0.25">
      <c r="A1066" s="31">
        <v>1972</v>
      </c>
      <c r="B1066" s="32" t="s">
        <v>1154</v>
      </c>
      <c r="C1066" s="33" t="s">
        <v>24</v>
      </c>
      <c r="D1066" s="34">
        <v>2024</v>
      </c>
      <c r="E1066" s="34" t="s">
        <v>48</v>
      </c>
      <c r="F1066" s="6">
        <v>8</v>
      </c>
      <c r="G1066" s="6"/>
      <c r="H1066" s="6">
        <v>8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35">
        <f>SUM(F1066:R1066)</f>
        <v>16</v>
      </c>
      <c r="T1066" s="35">
        <f>COUNT(F1066:R1066)</f>
        <v>2</v>
      </c>
      <c r="U1066" s="36">
        <f>IF(T1066&gt;=2,ROUND((IF(T1066=2,0.55,IF(T1066&lt;=4,0.7,IF(T1066&lt;=6,0.8,IF(T1066&lt;=9,0.9,1))))*(S1066/T1066)+(1-(IF(T1066=2,0.55,IF(T1066&lt;=4,0.7,IF(T1066&lt;=6,0.8,IF(T1066&lt;=9,0.9,1))))))*$Y$1),1),"")</f>
        <v>8</v>
      </c>
      <c r="V1066" s="37">
        <v>6.4</v>
      </c>
      <c r="W1066" s="38"/>
    </row>
    <row r="1067" ht="24" customHeight="1" spans="1:23" x14ac:dyDescent="0.25">
      <c r="A1067" s="31">
        <v>1907</v>
      </c>
      <c r="B1067" s="32" t="s">
        <v>1155</v>
      </c>
      <c r="C1067" s="33" t="s">
        <v>260</v>
      </c>
      <c r="D1067" s="34">
        <v>2021</v>
      </c>
      <c r="E1067" s="34" t="s">
        <v>48</v>
      </c>
      <c r="F1067" s="6">
        <v>8</v>
      </c>
      <c r="G1067" s="6"/>
      <c r="H1067" s="6"/>
      <c r="I1067" s="6"/>
      <c r="J1067" s="6">
        <v>8</v>
      </c>
      <c r="K1067" s="6"/>
      <c r="L1067" s="6">
        <v>8</v>
      </c>
      <c r="M1067" s="6"/>
      <c r="N1067" s="6"/>
      <c r="O1067" s="6"/>
      <c r="P1067" s="6"/>
      <c r="Q1067" s="6"/>
      <c r="R1067" s="6"/>
      <c r="S1067" s="35">
        <f>SUM(F1067:R1067)</f>
        <v>24</v>
      </c>
      <c r="T1067" s="35">
        <f>COUNT(F1067:R1067)</f>
        <v>3</v>
      </c>
      <c r="U1067" s="36">
        <f>IF(T1067&gt;=2,ROUND((IF(T1067=2,0.55,IF(T1067&lt;=4,0.7,IF(T1067&lt;=6,0.8,IF(T1067&lt;=9,0.9,1))))*(S1067/T1067)+(1-(IF(T1067=2,0.55,IF(T1067&lt;=4,0.7,IF(T1067&lt;=6,0.8,IF(T1067&lt;=9,0.9,1))))))*$Y$1),1),"")</f>
        <v>8</v>
      </c>
      <c r="V1067" s="37">
        <v>8.4</v>
      </c>
      <c r="W1067" s="38"/>
    </row>
    <row r="1068" ht="24" customHeight="1" spans="1:23" x14ac:dyDescent="0.25">
      <c r="A1068" s="31">
        <v>1881</v>
      </c>
      <c r="B1068" s="32" t="s">
        <v>1156</v>
      </c>
      <c r="C1068" s="33" t="s">
        <v>29</v>
      </c>
      <c r="D1068" s="34">
        <v>2014</v>
      </c>
      <c r="E1068" s="34" t="s">
        <v>25</v>
      </c>
      <c r="F1068" s="6"/>
      <c r="G1068" s="6"/>
      <c r="H1068" s="6">
        <v>8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35">
        <f>SUM(F1068:R1068)</f>
        <v>8</v>
      </c>
      <c r="T1068" s="35">
        <f>COUNT(F1068:R1068)</f>
        <v>1</v>
      </c>
      <c r="U1068" s="36">
        <f>IF(T1068&gt;=2,ROUND((IF(T1068=2,0.55,IF(T1068&lt;=4,0.7,IF(T1068&lt;=6,0.8,IF(T1068&lt;=9,0.9,1))))*(S1068/T1068)+(1-(IF(T1068=2,0.55,IF(T1068&lt;=4,0.7,IF(T1068&lt;=6,0.8,IF(T1068&lt;=9,0.9,1))))))*$Y$1),1),"")</f>
      </c>
      <c r="V1068" s="37">
        <v>7.9</v>
      </c>
      <c r="W1068" s="38"/>
    </row>
    <row r="1069" ht="24" customHeight="1" spans="1:23" x14ac:dyDescent="0.25">
      <c r="A1069" s="31">
        <v>155</v>
      </c>
      <c r="B1069" s="32" t="s">
        <v>1157</v>
      </c>
      <c r="C1069" s="68" t="s">
        <v>29</v>
      </c>
      <c r="D1069" s="34">
        <v>2016</v>
      </c>
      <c r="E1069" s="34" t="s">
        <v>30</v>
      </c>
      <c r="F1069" s="6">
        <v>8</v>
      </c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35">
        <f>SUM(F1069:R1069)</f>
        <v>8</v>
      </c>
      <c r="T1069" s="35">
        <f>COUNT(F1069:R1069)</f>
        <v>1</v>
      </c>
      <c r="U1069" s="36">
        <f>IF(T1069&gt;=2,ROUND((IF(T1069=2,0.55,IF(T1069&lt;=4,0.7,IF(T1069&lt;=6,0.8,IF(T1069&lt;=9,0.9,1))))*(S1069/T1069)+(1-(IF(T1069=2,0.55,IF(T1069&lt;=4,0.7,IF(T1069&lt;=6,0.8,IF(T1069&lt;=9,0.9,1))))))*$Y$1),1),"")</f>
      </c>
      <c r="V1069" s="37">
        <v>7.3</v>
      </c>
      <c r="W1069" s="38"/>
    </row>
    <row r="1070" ht="24" customHeight="1" spans="1:23" x14ac:dyDescent="0.25">
      <c r="A1070" s="40">
        <v>2166</v>
      </c>
      <c r="B1070" s="32" t="s">
        <v>1158</v>
      </c>
      <c r="C1070" s="33" t="s">
        <v>24</v>
      </c>
      <c r="D1070" s="34">
        <v>2005</v>
      </c>
      <c r="E1070" s="41"/>
      <c r="F1070" s="6"/>
      <c r="G1070" s="6">
        <v>7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35">
        <f>SUM(F1070:R1070)</f>
        <v>7</v>
      </c>
      <c r="T1070" s="35">
        <f>COUNT(F1070:R1070)</f>
        <v>1</v>
      </c>
      <c r="U1070" s="36">
        <f>IF(T1070&gt;=2,ROUND((IF(T1070=2,0.55,IF(T1070&lt;=4,0.7,IF(T1070&lt;=6,0.8,IF(T1070&lt;=9,0.9,1))))*(S1070/T1070)+(1-(IF(T1070=2,0.55,IF(T1070&lt;=4,0.7,IF(T1070&lt;=6,0.8,IF(T1070&lt;=9,0.9,1))))))*$Y$1),1),"")</f>
      </c>
      <c r="V1070" s="37">
        <v>7.4</v>
      </c>
      <c r="W1070" s="38"/>
    </row>
    <row r="1071" ht="47.25" customHeight="1" spans="1:23" x14ac:dyDescent="0.25">
      <c r="A1071" s="31">
        <v>1909</v>
      </c>
      <c r="B1071" s="32" t="s">
        <v>1159</v>
      </c>
      <c r="C1071" s="33" t="s">
        <v>24</v>
      </c>
      <c r="D1071" s="34">
        <v>2022</v>
      </c>
      <c r="E1071" s="34" t="s">
        <v>30</v>
      </c>
      <c r="F1071" s="6">
        <v>6</v>
      </c>
      <c r="G1071" s="6"/>
      <c r="H1071" s="6"/>
      <c r="I1071" s="6"/>
      <c r="J1071" s="6"/>
      <c r="K1071" s="6"/>
      <c r="L1071" s="6"/>
      <c r="M1071" s="6">
        <v>8</v>
      </c>
      <c r="N1071" s="6"/>
      <c r="O1071" s="6"/>
      <c r="P1071" s="6"/>
      <c r="Q1071" s="6"/>
      <c r="R1071" s="6"/>
      <c r="S1071" s="35">
        <f>SUM(F1071:R1071)</f>
        <v>14</v>
      </c>
      <c r="T1071" s="35">
        <f>COUNT(F1071:R1071)</f>
        <v>2</v>
      </c>
      <c r="U1071" s="36">
        <f>IF(T1071&gt;=2,ROUND((IF(T1071=2,0.55,IF(T1071&lt;=4,0.7,IF(T1071&lt;=6,0.8,IF(T1071&lt;=9,0.9,1))))*(S1071/T1071)+(1-(IF(T1071=2,0.55,IF(T1071&lt;=4,0.7,IF(T1071&lt;=6,0.8,IF(T1071&lt;=9,0.9,1))))))*$Y$1),1),"")</f>
        <v>7.5</v>
      </c>
      <c r="V1071" s="37">
        <v>6.3</v>
      </c>
      <c r="W1071" s="38"/>
    </row>
    <row r="1072" ht="24" customHeight="1" spans="1:23" x14ac:dyDescent="0.25">
      <c r="A1072" s="31">
        <v>510</v>
      </c>
      <c r="B1072" s="32" t="s">
        <v>1160</v>
      </c>
      <c r="C1072" s="33" t="s">
        <v>24</v>
      </c>
      <c r="D1072" s="34">
        <v>2004</v>
      </c>
      <c r="E1072" s="34" t="s">
        <v>773</v>
      </c>
      <c r="F1072" s="6"/>
      <c r="G1072" s="6">
        <v>8</v>
      </c>
      <c r="H1072" s="6"/>
      <c r="I1072" s="6"/>
      <c r="J1072" s="6"/>
      <c r="K1072" s="6"/>
      <c r="L1072" s="6">
        <v>6</v>
      </c>
      <c r="M1072" s="6"/>
      <c r="N1072" s="6"/>
      <c r="O1072" s="6"/>
      <c r="P1072" s="6">
        <v>8</v>
      </c>
      <c r="Q1072" s="6"/>
      <c r="R1072" s="6"/>
      <c r="S1072" s="35">
        <f>SUM(F1072:R1072)</f>
        <v>22</v>
      </c>
      <c r="T1072" s="35">
        <f>COUNT(F1072:R1072)</f>
        <v>3</v>
      </c>
      <c r="U1072" s="36">
        <f>IF(T1072&gt;=2,ROUND((IF(T1072=2,0.55,IF(T1072&lt;=4,0.7,IF(T1072&lt;=6,0.8,IF(T1072&lt;=9,0.9,1))))*(S1072/T1072)+(1-(IF(T1072=2,0.55,IF(T1072&lt;=4,0.7,IF(T1072&lt;=6,0.8,IF(T1072&lt;=9,0.9,1))))))*$Y$1),1),"")</f>
        <v>7.6</v>
      </c>
      <c r="V1072" s="37">
        <v>7.9</v>
      </c>
      <c r="W1072" s="38"/>
    </row>
    <row r="1073" ht="24" customHeight="1" spans="1:23" x14ac:dyDescent="0.25">
      <c r="A1073" s="47">
        <v>246</v>
      </c>
      <c r="B1073" s="32" t="s">
        <v>1161</v>
      </c>
      <c r="C1073" s="48" t="s">
        <v>24</v>
      </c>
      <c r="D1073" s="49">
        <v>2009</v>
      </c>
      <c r="E1073" s="34" t="s">
        <v>30</v>
      </c>
      <c r="F1073" s="6">
        <v>10</v>
      </c>
      <c r="G1073" s="6">
        <v>8</v>
      </c>
      <c r="H1073" s="6">
        <v>10</v>
      </c>
      <c r="I1073" s="6">
        <v>10</v>
      </c>
      <c r="J1073" s="6">
        <v>10</v>
      </c>
      <c r="K1073" s="6">
        <v>8</v>
      </c>
      <c r="L1073" s="6">
        <v>10</v>
      </c>
      <c r="M1073" s="6">
        <v>10</v>
      </c>
      <c r="N1073" s="6">
        <v>10</v>
      </c>
      <c r="O1073" s="6"/>
      <c r="P1073" s="6">
        <v>8</v>
      </c>
      <c r="Q1073" s="6">
        <v>8</v>
      </c>
      <c r="R1073" s="6">
        <v>10</v>
      </c>
      <c r="S1073" s="50">
        <f>SUM(F1073:R1073)</f>
        <v>112</v>
      </c>
      <c r="T1073" s="50">
        <f>COUNT(F1073:R1073)</f>
        <v>12</v>
      </c>
      <c r="U1073" s="36">
        <f>IF(T1073&gt;=2,ROUND((IF(T1073=2,0.55,IF(T1073&lt;=4,0.7,IF(T1073&lt;=6,0.8,IF(T1073&lt;=9,0.9,1))))*(S1073/T1073)+(1-(IF(T1073=2,0.55,IF(T1073&lt;=4,0.7,IF(T1073&lt;=6,0.8,IF(T1073&lt;=9,0.9,1))))))*$Y$1),1),"")</f>
        <v>9.3</v>
      </c>
      <c r="V1073" s="37">
        <v>7.4</v>
      </c>
      <c r="W1073" s="38" t="s">
        <v>44</v>
      </c>
    </row>
    <row r="1074" ht="24" customHeight="1" spans="1:23" x14ac:dyDescent="0.25">
      <c r="A1074" s="42">
        <v>960</v>
      </c>
      <c r="B1074" s="32" t="s">
        <v>1162</v>
      </c>
      <c r="C1074" s="43" t="s">
        <v>114</v>
      </c>
      <c r="D1074" s="44">
        <v>2020</v>
      </c>
      <c r="E1074" s="44" t="s">
        <v>30</v>
      </c>
      <c r="F1074" s="6">
        <v>6</v>
      </c>
      <c r="G1074" s="6">
        <v>7</v>
      </c>
      <c r="H1074" s="6">
        <v>6</v>
      </c>
      <c r="I1074" s="6">
        <v>6</v>
      </c>
      <c r="J1074" s="6">
        <v>6</v>
      </c>
      <c r="K1074" s="6">
        <v>4</v>
      </c>
      <c r="L1074" s="6"/>
      <c r="M1074" s="6">
        <v>6</v>
      </c>
      <c r="N1074" s="6">
        <v>8</v>
      </c>
      <c r="O1074" s="6"/>
      <c r="P1074" s="6">
        <v>6</v>
      </c>
      <c r="Q1074" s="6">
        <v>4</v>
      </c>
      <c r="R1074" s="6">
        <v>8</v>
      </c>
      <c r="S1074" s="45">
        <f>SUM(F1074:R1074)</f>
        <v>67</v>
      </c>
      <c r="T1074" s="45">
        <f>COUNT(F1074:R1074)</f>
        <v>11</v>
      </c>
      <c r="U1074" s="36">
        <f>IF(T1074&gt;=2,ROUND((IF(T1074=2,0.55,IF(T1074&lt;=4,0.7,IF(T1074&lt;=6,0.8,IF(T1074&lt;=9,0.9,1))))*(S1074/T1074)+(1-(IF(T1074=2,0.55,IF(T1074&lt;=4,0.7,IF(T1074&lt;=6,0.8,IF(T1074&lt;=9,0.9,1))))))*$Y$1),1),"")</f>
        <v>6.1</v>
      </c>
      <c r="V1074" s="37">
        <v>6.8</v>
      </c>
      <c r="W1074" s="38" t="s">
        <v>44</v>
      </c>
    </row>
    <row r="1075" ht="24" customHeight="1" spans="1:23" x14ac:dyDescent="0.25">
      <c r="A1075" s="31">
        <v>576</v>
      </c>
      <c r="B1075" s="32" t="s">
        <v>1163</v>
      </c>
      <c r="C1075" s="33" t="s">
        <v>24</v>
      </c>
      <c r="D1075" s="34">
        <v>1979</v>
      </c>
      <c r="E1075" s="34" t="s">
        <v>52</v>
      </c>
      <c r="F1075" s="6"/>
      <c r="G1075" s="6"/>
      <c r="H1075" s="6"/>
      <c r="I1075" s="6"/>
      <c r="J1075" s="6"/>
      <c r="K1075" s="6">
        <v>8</v>
      </c>
      <c r="L1075" s="6">
        <v>8</v>
      </c>
      <c r="M1075" s="6"/>
      <c r="N1075" s="6"/>
      <c r="O1075" s="6"/>
      <c r="P1075" s="6"/>
      <c r="Q1075" s="6">
        <v>8</v>
      </c>
      <c r="R1075" s="6"/>
      <c r="S1075" s="35">
        <f>SUM(F1075:R1075)</f>
        <v>24</v>
      </c>
      <c r="T1075" s="35">
        <f>COUNT(F1075:R1075)</f>
        <v>3</v>
      </c>
      <c r="U1075" s="36">
        <f>IF(T1075&gt;=2,ROUND((IF(T1075=2,0.55,IF(T1075&lt;=4,0.7,IF(T1075&lt;=6,0.8,IF(T1075&lt;=9,0.9,1))))*(S1075/T1075)+(1-(IF(T1075=2,0.55,IF(T1075&lt;=4,0.7,IF(T1075&lt;=6,0.8,IF(T1075&lt;=9,0.9,1))))))*$Y$1),1),"")</f>
        <v>8</v>
      </c>
      <c r="V1075" s="37">
        <v>7.8</v>
      </c>
      <c r="W1075" s="38"/>
    </row>
    <row r="1076" ht="24" customHeight="1" spans="1:23" x14ac:dyDescent="0.25">
      <c r="A1076" s="31">
        <v>1636</v>
      </c>
      <c r="B1076" s="32" t="s">
        <v>1164</v>
      </c>
      <c r="C1076" s="33" t="s">
        <v>29</v>
      </c>
      <c r="D1076" s="34">
        <v>2017</v>
      </c>
      <c r="E1076" s="34" t="s">
        <v>30</v>
      </c>
      <c r="F1076" s="6"/>
      <c r="G1076" s="6"/>
      <c r="H1076" s="6"/>
      <c r="I1076" s="6"/>
      <c r="J1076" s="6"/>
      <c r="K1076" s="6"/>
      <c r="L1076" s="6"/>
      <c r="M1076" s="6"/>
      <c r="N1076" s="6">
        <v>8</v>
      </c>
      <c r="O1076" s="6"/>
      <c r="P1076" s="6"/>
      <c r="Q1076" s="6"/>
      <c r="R1076" s="6"/>
      <c r="S1076" s="35">
        <f>SUM(F1076:R1076)</f>
        <v>8</v>
      </c>
      <c r="T1076" s="35">
        <f>COUNT(F1076:R1076)</f>
        <v>1</v>
      </c>
      <c r="U1076" s="36">
        <f>IF(T1076&gt;=2,ROUND((IF(T1076=2,0.55,IF(T1076&lt;=4,0.7,IF(T1076&lt;=6,0.8,IF(T1076&lt;=9,0.9,1))))*(S1076/T1076)+(1-(IF(T1076=2,0.55,IF(T1076&lt;=4,0.7,IF(T1076&lt;=6,0.8,IF(T1076&lt;=9,0.9,1))))))*$Y$1),1),"")</f>
      </c>
      <c r="V1076" s="37">
        <v>7</v>
      </c>
      <c r="W1076" s="38"/>
    </row>
    <row r="1077" ht="24" customHeight="1" spans="1:23" x14ac:dyDescent="0.25">
      <c r="A1077" s="31">
        <v>732</v>
      </c>
      <c r="B1077" s="32" t="s">
        <v>1165</v>
      </c>
      <c r="C1077" s="33" t="s">
        <v>24</v>
      </c>
      <c r="D1077" s="34">
        <v>2016</v>
      </c>
      <c r="E1077" s="34" t="s">
        <v>92</v>
      </c>
      <c r="F1077" s="6">
        <v>8</v>
      </c>
      <c r="G1077" s="6">
        <v>8</v>
      </c>
      <c r="H1077" s="6"/>
      <c r="I1077" s="6"/>
      <c r="J1077" s="6">
        <v>8</v>
      </c>
      <c r="K1077" s="6"/>
      <c r="L1077" s="6">
        <v>8</v>
      </c>
      <c r="M1077" s="6"/>
      <c r="N1077" s="6"/>
      <c r="O1077" s="6"/>
      <c r="P1077" s="6"/>
      <c r="Q1077" s="6"/>
      <c r="R1077" s="6"/>
      <c r="S1077" s="35">
        <f>SUM(F1077:R1077)</f>
        <v>32</v>
      </c>
      <c r="T1077" s="35">
        <f>COUNT(F1077:R1077)</f>
        <v>4</v>
      </c>
      <c r="U1077" s="36">
        <f>IF(T1077&gt;=2,ROUND((IF(T1077=2,0.55,IF(T1077&lt;=4,0.7,IF(T1077&lt;=6,0.8,IF(T1077&lt;=9,0.9,1))))*(S1077/T1077)+(1-(IF(T1077=2,0.55,IF(T1077&lt;=4,0.7,IF(T1077&lt;=6,0.8,IF(T1077&lt;=9,0.9,1))))))*$Y$1),1),"")</f>
        <v>8</v>
      </c>
      <c r="V1077" s="37">
        <v>7.8</v>
      </c>
      <c r="W1077" s="38"/>
    </row>
    <row r="1078" ht="47.25" customHeight="1" spans="1:23" x14ac:dyDescent="0.25">
      <c r="A1078" s="31">
        <v>289</v>
      </c>
      <c r="B1078" s="32" t="s">
        <v>1166</v>
      </c>
      <c r="C1078" s="33" t="s">
        <v>24</v>
      </c>
      <c r="D1078" s="34">
        <v>2008</v>
      </c>
      <c r="E1078" s="34" t="s">
        <v>30</v>
      </c>
      <c r="F1078" s="6">
        <v>8</v>
      </c>
      <c r="G1078" s="6">
        <v>7</v>
      </c>
      <c r="H1078" s="6"/>
      <c r="I1078" s="6"/>
      <c r="J1078" s="6"/>
      <c r="K1078" s="6">
        <v>6</v>
      </c>
      <c r="L1078" s="6">
        <v>8</v>
      </c>
      <c r="M1078" s="6">
        <v>8</v>
      </c>
      <c r="N1078" s="6"/>
      <c r="O1078" s="6"/>
      <c r="P1078" s="6">
        <v>8</v>
      </c>
      <c r="Q1078" s="6">
        <v>6</v>
      </c>
      <c r="R1078" s="6">
        <v>8</v>
      </c>
      <c r="S1078" s="35">
        <f>SUM(F1078:R1078)</f>
        <v>59</v>
      </c>
      <c r="T1078" s="35">
        <f>COUNT(F1078:R1078)</f>
        <v>8</v>
      </c>
      <c r="U1078" s="36">
        <f>IF(T1078&gt;=2,ROUND((IF(T1078=2,0.55,IF(T1078&lt;=4,0.7,IF(T1078&lt;=6,0.8,IF(T1078&lt;=9,0.9,1))))*(S1078/T1078)+(1-(IF(T1078=2,0.55,IF(T1078&lt;=4,0.7,IF(T1078&lt;=6,0.8,IF(T1078&lt;=9,0.9,1))))))*$Y$1),1),"")</f>
        <v>7.4</v>
      </c>
      <c r="V1078" s="37">
        <v>6.5</v>
      </c>
      <c r="W1078" s="38"/>
    </row>
    <row r="1079" ht="24" customHeight="1" spans="1:23" x14ac:dyDescent="0.25">
      <c r="A1079" s="31">
        <v>1822</v>
      </c>
      <c r="B1079" s="32" t="s">
        <v>1167</v>
      </c>
      <c r="C1079" s="33" t="s">
        <v>24</v>
      </c>
      <c r="D1079" s="34">
        <v>2008</v>
      </c>
      <c r="E1079" s="34" t="s">
        <v>25</v>
      </c>
      <c r="F1079" s="6"/>
      <c r="G1079" s="6"/>
      <c r="H1079" s="6"/>
      <c r="I1079" s="6"/>
      <c r="J1079" s="6">
        <v>8</v>
      </c>
      <c r="K1079" s="6"/>
      <c r="L1079" s="6"/>
      <c r="M1079" s="6"/>
      <c r="N1079" s="6"/>
      <c r="O1079" s="6"/>
      <c r="P1079" s="6"/>
      <c r="Q1079" s="6"/>
      <c r="R1079" s="6"/>
      <c r="S1079" s="35">
        <f>SUM(F1079:R1079)</f>
        <v>8</v>
      </c>
      <c r="T1079" s="35">
        <f>COUNT(F1079:R1079)</f>
        <v>1</v>
      </c>
      <c r="U1079" s="36">
        <f>IF(T1079&gt;=2,ROUND((IF(T1079=2,0.55,IF(T1079&lt;=4,0.7,IF(T1079&lt;=6,0.8,IF(T1079&lt;=9,0.9,1))))*(S1079/T1079)+(1-(IF(T1079=2,0.55,IF(T1079&lt;=4,0.7,IF(T1079&lt;=6,0.8,IF(T1079&lt;=9,0.9,1))))))*$Y$1),1),"")</f>
      </c>
      <c r="V1079" s="37">
        <v>7.1</v>
      </c>
      <c r="W1079" s="38"/>
    </row>
    <row r="1080" ht="47.25" customHeight="1" spans="1:23" x14ac:dyDescent="0.25">
      <c r="A1080" s="31">
        <v>814</v>
      </c>
      <c r="B1080" s="32" t="s">
        <v>1168</v>
      </c>
      <c r="C1080" s="33" t="s">
        <v>24</v>
      </c>
      <c r="D1080" s="34">
        <v>1993</v>
      </c>
      <c r="E1080" s="34" t="s">
        <v>1169</v>
      </c>
      <c r="F1080" s="6"/>
      <c r="G1080" s="6"/>
      <c r="H1080" s="6"/>
      <c r="I1080" s="6"/>
      <c r="J1080" s="6"/>
      <c r="K1080" s="6"/>
      <c r="L1080" s="6">
        <v>6</v>
      </c>
      <c r="M1080" s="6"/>
      <c r="N1080" s="6"/>
      <c r="O1080" s="6"/>
      <c r="P1080" s="6"/>
      <c r="Q1080" s="6"/>
      <c r="R1080" s="6"/>
      <c r="S1080" s="35">
        <f>SUM(F1080:R1080)</f>
        <v>6</v>
      </c>
      <c r="T1080" s="35">
        <f>COUNT(F1080:R1080)</f>
        <v>1</v>
      </c>
      <c r="U1080" s="36">
        <f>IF(T1080&gt;=2,ROUND((IF(T1080=2,0.55,IF(T1080&lt;=4,0.7,IF(T1080&lt;=6,0.8,IF(T1080&lt;=9,0.9,1))))*(S1080/T1080)+(1-(IF(T1080=2,0.55,IF(T1080&lt;=4,0.7,IF(T1080&lt;=6,0.8,IF(T1080&lt;=9,0.9,1))))))*$Y$1),1),"")</f>
      </c>
      <c r="V1080" s="37">
        <v>6.5</v>
      </c>
      <c r="W1080" s="38"/>
    </row>
    <row r="1081" ht="24" customHeight="1" spans="1:23" x14ac:dyDescent="0.25">
      <c r="A1081" s="40">
        <v>2112</v>
      </c>
      <c r="B1081" s="32" t="s">
        <v>1170</v>
      </c>
      <c r="C1081" s="33" t="s">
        <v>24</v>
      </c>
      <c r="D1081" s="34">
        <v>2000</v>
      </c>
      <c r="E1081" s="41"/>
      <c r="F1081" s="6"/>
      <c r="G1081" s="6">
        <v>6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35">
        <f>SUM(F1081:R1081)</f>
        <v>6</v>
      </c>
      <c r="T1081" s="35">
        <f>COUNT(F1081:R1081)</f>
        <v>1</v>
      </c>
      <c r="U1081" s="36">
        <f>IF(T1081&gt;=2,ROUND((IF(T1081=2,0.55,IF(T1081&lt;=4,0.7,IF(T1081&lt;=6,0.8,IF(T1081&lt;=9,0.9,1))))*(S1081/T1081)+(1-(IF(T1081=2,0.55,IF(T1081&lt;=4,0.7,IF(T1081&lt;=6,0.8,IF(T1081&lt;=9,0.9,1))))))*$Y$1),1),"")</f>
      </c>
      <c r="V1081" s="37">
        <v>7.4</v>
      </c>
      <c r="W1081" s="38"/>
    </row>
    <row r="1082" ht="24" customHeight="1" spans="1:23" x14ac:dyDescent="0.25">
      <c r="A1082" s="31">
        <v>1357</v>
      </c>
      <c r="B1082" s="32" t="s">
        <v>1171</v>
      </c>
      <c r="C1082" s="33" t="s">
        <v>24</v>
      </c>
      <c r="D1082" s="34">
        <v>2022</v>
      </c>
      <c r="E1082" s="34" t="s">
        <v>30</v>
      </c>
      <c r="F1082" s="6"/>
      <c r="G1082" s="6"/>
      <c r="H1082" s="6"/>
      <c r="I1082" s="6"/>
      <c r="J1082" s="6"/>
      <c r="K1082" s="6"/>
      <c r="L1082" s="6">
        <v>10</v>
      </c>
      <c r="M1082" s="6"/>
      <c r="N1082" s="6">
        <v>8</v>
      </c>
      <c r="O1082" s="6"/>
      <c r="P1082" s="6"/>
      <c r="Q1082" s="6"/>
      <c r="R1082" s="6"/>
      <c r="S1082" s="35">
        <f>SUM(F1082:R1082)</f>
        <v>18</v>
      </c>
      <c r="T1082" s="35">
        <f>COUNT(F1082:R1082)</f>
        <v>2</v>
      </c>
      <c r="U1082" s="36">
        <f>IF(T1082&gt;=2,ROUND((IF(T1082=2,0.55,IF(T1082&lt;=4,0.7,IF(T1082&lt;=6,0.8,IF(T1082&lt;=9,0.9,1))))*(S1082/T1082)+(1-(IF(T1082=2,0.55,IF(T1082&lt;=4,0.7,IF(T1082&lt;=6,0.8,IF(T1082&lt;=9,0.9,1))))))*$Y$1),1),"")</f>
        <v>8.6</v>
      </c>
      <c r="V1082" s="37"/>
      <c r="W1082" s="38"/>
    </row>
    <row r="1083" ht="24" customHeight="1" spans="1:23" x14ac:dyDescent="0.25">
      <c r="A1083" s="31">
        <v>626</v>
      </c>
      <c r="B1083" s="32" t="s">
        <v>1172</v>
      </c>
      <c r="C1083" s="33" t="s">
        <v>24</v>
      </c>
      <c r="D1083" s="34">
        <v>2017</v>
      </c>
      <c r="E1083" s="34" t="s">
        <v>30</v>
      </c>
      <c r="F1083" s="6"/>
      <c r="G1083" s="6"/>
      <c r="H1083" s="6"/>
      <c r="I1083" s="6"/>
      <c r="J1083" s="6"/>
      <c r="K1083" s="6">
        <v>8</v>
      </c>
      <c r="L1083" s="6"/>
      <c r="M1083" s="6"/>
      <c r="N1083" s="6"/>
      <c r="O1083" s="6"/>
      <c r="P1083" s="6"/>
      <c r="Q1083" s="6">
        <v>8</v>
      </c>
      <c r="R1083" s="6"/>
      <c r="S1083" s="35">
        <f>SUM(F1083:R1083)</f>
        <v>16</v>
      </c>
      <c r="T1083" s="35">
        <f>COUNT(F1083:R1083)</f>
        <v>2</v>
      </c>
      <c r="U1083" s="36">
        <f>IF(T1083&gt;=2,ROUND((IF(T1083=2,0.55,IF(T1083&lt;=4,0.7,IF(T1083&lt;=6,0.8,IF(T1083&lt;=9,0.9,1))))*(S1083/T1083)+(1-(IF(T1083=2,0.55,IF(T1083&lt;=4,0.7,IF(T1083&lt;=6,0.8,IF(T1083&lt;=9,0.9,1))))))*$Y$1),1),"")</f>
        <v>8</v>
      </c>
      <c r="V1083" s="37">
        <v>5.7</v>
      </c>
      <c r="W1083" s="38"/>
    </row>
    <row r="1084" ht="24" customHeight="1" spans="1:23" x14ac:dyDescent="0.25">
      <c r="A1084" s="31">
        <v>183</v>
      </c>
      <c r="B1084" s="32" t="s">
        <v>1173</v>
      </c>
      <c r="C1084" s="33" t="s">
        <v>24</v>
      </c>
      <c r="D1084" s="34">
        <v>2018</v>
      </c>
      <c r="E1084" s="34" t="s">
        <v>587</v>
      </c>
      <c r="F1084" s="6"/>
      <c r="G1084" s="6"/>
      <c r="H1084" s="6">
        <v>6</v>
      </c>
      <c r="I1084" s="6"/>
      <c r="J1084" s="6">
        <v>8</v>
      </c>
      <c r="K1084" s="6">
        <v>8</v>
      </c>
      <c r="L1084" s="6">
        <v>6</v>
      </c>
      <c r="M1084" s="6"/>
      <c r="N1084" s="6"/>
      <c r="O1084" s="6"/>
      <c r="P1084" s="6"/>
      <c r="Q1084" s="6">
        <v>8</v>
      </c>
      <c r="R1084" s="6"/>
      <c r="S1084" s="35">
        <f>SUM(F1084:R1084)</f>
        <v>36</v>
      </c>
      <c r="T1084" s="35">
        <f>COUNT(F1084:R1084)</f>
        <v>5</v>
      </c>
      <c r="U1084" s="36">
        <f>IF(T1084&gt;=2,ROUND((IF(T1084=2,0.55,IF(T1084&lt;=4,0.7,IF(T1084&lt;=6,0.8,IF(T1084&lt;=9,0.9,1))))*(S1084/T1084)+(1-(IF(T1084=2,0.55,IF(T1084&lt;=4,0.7,IF(T1084&lt;=6,0.8,IF(T1084&lt;=9,0.9,1))))))*$Y$1),1),"")</f>
        <v>7.4</v>
      </c>
      <c r="V1084" s="37">
        <v>7.2</v>
      </c>
      <c r="W1084" s="38"/>
    </row>
    <row r="1085" ht="24" customHeight="1" spans="1:23" x14ac:dyDescent="0.25">
      <c r="A1085" s="31">
        <v>1124</v>
      </c>
      <c r="B1085" s="32" t="s">
        <v>1174</v>
      </c>
      <c r="C1085" s="33" t="s">
        <v>24</v>
      </c>
      <c r="D1085" s="34">
        <v>2022</v>
      </c>
      <c r="E1085" s="34" t="s">
        <v>30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>
        <v>6</v>
      </c>
      <c r="P1085" s="6"/>
      <c r="Q1085" s="6"/>
      <c r="R1085" s="6"/>
      <c r="S1085" s="35">
        <f>SUM(F1085:R1085)</f>
        <v>6</v>
      </c>
      <c r="T1085" s="35">
        <f>COUNT(F1085:R1085)</f>
        <v>1</v>
      </c>
      <c r="U1085" s="36">
        <f>IF(T1085&gt;=2,ROUND((IF(T1085=2,0.55,IF(T1085&lt;=4,0.7,IF(T1085&lt;=6,0.8,IF(T1085&lt;=9,0.9,1))))*(S1085/T1085)+(1-(IF(T1085=2,0.55,IF(T1085&lt;=4,0.7,IF(T1085&lt;=6,0.8,IF(T1085&lt;=9,0.9,1))))))*$Y$1),1),"")</f>
      </c>
      <c r="V1085" s="37">
        <v>6.3</v>
      </c>
      <c r="W1085" s="38"/>
    </row>
    <row r="1086" ht="24" customHeight="1" spans="1:23" x14ac:dyDescent="0.25">
      <c r="A1086" s="31">
        <v>1109</v>
      </c>
      <c r="B1086" s="32" t="s">
        <v>1175</v>
      </c>
      <c r="C1086" s="33" t="s">
        <v>29</v>
      </c>
      <c r="D1086" s="34">
        <v>2021</v>
      </c>
      <c r="E1086" s="34" t="s">
        <v>30</v>
      </c>
      <c r="F1086" s="6">
        <v>8</v>
      </c>
      <c r="G1086" s="6"/>
      <c r="H1086" s="6"/>
      <c r="I1086" s="6">
        <v>9</v>
      </c>
      <c r="J1086" s="6">
        <v>8</v>
      </c>
      <c r="K1086" s="6"/>
      <c r="L1086" s="6">
        <v>10</v>
      </c>
      <c r="M1086" s="6"/>
      <c r="N1086" s="6"/>
      <c r="O1086" s="6">
        <v>8</v>
      </c>
      <c r="P1086" s="6"/>
      <c r="Q1086" s="6"/>
      <c r="R1086" s="6">
        <v>10</v>
      </c>
      <c r="S1086" s="35">
        <f>SUM(F1086:R1086)</f>
        <v>53</v>
      </c>
      <c r="T1086" s="35">
        <f>COUNT(F1086:R1086)</f>
        <v>6</v>
      </c>
      <c r="U1086" s="36">
        <f>IF(T1086&gt;=2,ROUND((IF(T1086=2,0.55,IF(T1086&lt;=4,0.7,IF(T1086&lt;=6,0.8,IF(T1086&lt;=9,0.9,1))))*(S1086/T1086)+(1-(IF(T1086=2,0.55,IF(T1086&lt;=4,0.7,IF(T1086&lt;=6,0.8,IF(T1086&lt;=9,0.9,1))))))*$Y$1),1),"")</f>
        <v>8.7</v>
      </c>
      <c r="V1086" s="37">
        <v>8.3</v>
      </c>
      <c r="W1086" s="38"/>
    </row>
    <row r="1087" ht="24" customHeight="1" spans="1:23" x14ac:dyDescent="0.25">
      <c r="A1087" s="40">
        <v>2107</v>
      </c>
      <c r="B1087" s="32" t="s">
        <v>1176</v>
      </c>
      <c r="C1087" s="33" t="s">
        <v>24</v>
      </c>
      <c r="D1087" s="34">
        <v>1999</v>
      </c>
      <c r="E1087" s="41"/>
      <c r="F1087" s="6"/>
      <c r="G1087" s="6">
        <v>7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35">
        <f>SUM(F1087:R1087)</f>
        <v>7</v>
      </c>
      <c r="T1087" s="35">
        <f>COUNT(F1087:R1087)</f>
        <v>1</v>
      </c>
      <c r="U1087" s="36">
        <f>IF(T1087&gt;=2,ROUND((IF(T1087=2,0.55,IF(T1087&lt;=4,0.7,IF(T1087&lt;=6,0.8,IF(T1087&lt;=9,0.9,1))))*(S1087/T1087)+(1-(IF(T1087=2,0.55,IF(T1087&lt;=4,0.7,IF(T1087&lt;=6,0.8,IF(T1087&lt;=9,0.9,1))))))*$Y$1),1),"")</f>
      </c>
      <c r="V1087" s="37">
        <v>8</v>
      </c>
      <c r="W1087" s="38"/>
    </row>
    <row r="1088" ht="24" customHeight="1" spans="1:23" x14ac:dyDescent="0.25">
      <c r="A1088" s="31">
        <v>1266</v>
      </c>
      <c r="B1088" s="32" t="s">
        <v>1177</v>
      </c>
      <c r="C1088" s="33" t="s">
        <v>24</v>
      </c>
      <c r="D1088" s="34">
        <v>2019</v>
      </c>
      <c r="E1088" s="34" t="s">
        <v>25</v>
      </c>
      <c r="F1088" s="6"/>
      <c r="G1088" s="6"/>
      <c r="H1088" s="6">
        <v>8</v>
      </c>
      <c r="I1088" s="6"/>
      <c r="J1088" s="6">
        <v>8</v>
      </c>
      <c r="K1088" s="6"/>
      <c r="L1088" s="6"/>
      <c r="M1088" s="6">
        <v>8</v>
      </c>
      <c r="N1088" s="6"/>
      <c r="O1088" s="6"/>
      <c r="P1088" s="6">
        <v>8</v>
      </c>
      <c r="Q1088" s="6"/>
      <c r="R1088" s="6"/>
      <c r="S1088" s="35">
        <f>SUM(F1088:R1088)</f>
        <v>32</v>
      </c>
      <c r="T1088" s="35">
        <f>COUNT(F1088:R1088)</f>
        <v>4</v>
      </c>
      <c r="U1088" s="36">
        <f>IF(T1088&gt;=2,ROUND((IF(T1088=2,0.55,IF(T1088&lt;=4,0.7,IF(T1088&lt;=6,0.8,IF(T1088&lt;=9,0.9,1))))*(S1088/T1088)+(1-(IF(T1088=2,0.55,IF(T1088&lt;=4,0.7,IF(T1088&lt;=6,0.8,IF(T1088&lt;=9,0.9,1))))))*$Y$1),1),"")</f>
        <v>8</v>
      </c>
      <c r="V1088" s="37">
        <v>7.8</v>
      </c>
      <c r="W1088" s="38"/>
    </row>
    <row r="1089" ht="24" customHeight="1" spans="1:23" x14ac:dyDescent="0.25">
      <c r="A1089" s="31">
        <v>1708</v>
      </c>
      <c r="B1089" s="32" t="s">
        <v>1178</v>
      </c>
      <c r="C1089" s="33" t="s">
        <v>24</v>
      </c>
      <c r="D1089" s="34">
        <v>2023</v>
      </c>
      <c r="E1089" s="34" t="s">
        <v>1179</v>
      </c>
      <c r="F1089" s="6">
        <v>8</v>
      </c>
      <c r="G1089" s="6">
        <v>7</v>
      </c>
      <c r="H1089" s="6">
        <v>8</v>
      </c>
      <c r="I1089" s="6">
        <v>8</v>
      </c>
      <c r="J1089" s="6">
        <v>8</v>
      </c>
      <c r="K1089" s="6">
        <v>8</v>
      </c>
      <c r="L1089" s="6">
        <v>8</v>
      </c>
      <c r="M1089" s="6"/>
      <c r="N1089" s="6"/>
      <c r="O1089" s="6">
        <v>8</v>
      </c>
      <c r="P1089" s="6">
        <v>7</v>
      </c>
      <c r="Q1089" s="6">
        <v>8</v>
      </c>
      <c r="R1089" s="6"/>
      <c r="S1089" s="35">
        <f>SUM(F1089:R1089)</f>
        <v>78</v>
      </c>
      <c r="T1089" s="35">
        <f>COUNT(F1089:R1089)</f>
        <v>10</v>
      </c>
      <c r="U1089" s="36">
        <f>IF(T1089&gt;=2,ROUND((IF(T1089=2,0.55,IF(T1089&lt;=4,0.7,IF(T1089&lt;=6,0.8,IF(T1089&lt;=9,0.9,1))))*(S1089/T1089)+(1-(IF(T1089=2,0.55,IF(T1089&lt;=4,0.7,IF(T1089&lt;=6,0.8,IF(T1089&lt;=9,0.9,1))))))*$Y$1),1),"")</f>
        <v>7.8</v>
      </c>
      <c r="V1089" s="37">
        <v>6.5</v>
      </c>
      <c r="W1089" s="38"/>
    </row>
    <row r="1090" ht="24" customHeight="1" spans="1:23" x14ac:dyDescent="0.25">
      <c r="A1090" s="42">
        <v>1239</v>
      </c>
      <c r="B1090" s="32" t="s">
        <v>1180</v>
      </c>
      <c r="C1090" s="43" t="s">
        <v>24</v>
      </c>
      <c r="D1090" s="44">
        <v>2021</v>
      </c>
      <c r="E1090" s="44" t="s">
        <v>1181</v>
      </c>
      <c r="F1090" s="6">
        <v>10</v>
      </c>
      <c r="G1090" s="6">
        <v>8</v>
      </c>
      <c r="H1090" s="6">
        <v>8</v>
      </c>
      <c r="I1090" s="6">
        <v>8</v>
      </c>
      <c r="J1090" s="6">
        <v>10</v>
      </c>
      <c r="K1090" s="6">
        <v>10</v>
      </c>
      <c r="L1090" s="6">
        <v>10</v>
      </c>
      <c r="M1090" s="6">
        <v>8</v>
      </c>
      <c r="N1090" s="6">
        <v>6</v>
      </c>
      <c r="O1090" s="6">
        <v>8</v>
      </c>
      <c r="P1090" s="6">
        <v>8</v>
      </c>
      <c r="Q1090" s="6">
        <v>10</v>
      </c>
      <c r="R1090" s="6"/>
      <c r="S1090" s="45">
        <f>SUM(F1090:R1090)</f>
        <v>104</v>
      </c>
      <c r="T1090" s="45">
        <f>COUNT(F1090:R1090)</f>
        <v>12</v>
      </c>
      <c r="U1090" s="36">
        <f>IF(T1090&gt;=2,ROUND((IF(T1090=2,0.55,IF(T1090&lt;=4,0.7,IF(T1090&lt;=6,0.8,IF(T1090&lt;=9,0.9,1))))*(S1090/T1090)+(1-(IF(T1090=2,0.55,IF(T1090&lt;=4,0.7,IF(T1090&lt;=6,0.8,IF(T1090&lt;=9,0.9,1))))))*$Y$1),1),"")</f>
        <v>8.7</v>
      </c>
      <c r="V1090" s="37">
        <v>7.1</v>
      </c>
      <c r="W1090" s="38" t="s">
        <v>44</v>
      </c>
    </row>
    <row r="1091" ht="24" customHeight="1" spans="1:23" x14ac:dyDescent="0.25">
      <c r="A1091" s="31">
        <v>1322</v>
      </c>
      <c r="B1091" s="32" t="s">
        <v>1182</v>
      </c>
      <c r="C1091" s="33" t="s">
        <v>24</v>
      </c>
      <c r="D1091" s="34">
        <v>2017</v>
      </c>
      <c r="E1091" s="34" t="s">
        <v>1183</v>
      </c>
      <c r="F1091" s="6"/>
      <c r="G1091" s="6"/>
      <c r="H1091" s="6"/>
      <c r="I1091" s="6"/>
      <c r="J1091" s="6"/>
      <c r="K1091" s="6"/>
      <c r="L1091" s="6">
        <v>6</v>
      </c>
      <c r="M1091" s="6"/>
      <c r="N1091" s="6"/>
      <c r="O1091" s="6"/>
      <c r="P1091" s="6"/>
      <c r="Q1091" s="6"/>
      <c r="R1091" s="6"/>
      <c r="S1091" s="35">
        <f>SUM(F1091:R1091)</f>
        <v>6</v>
      </c>
      <c r="T1091" s="35">
        <f>COUNT(F1091:R1091)</f>
        <v>1</v>
      </c>
      <c r="U1091" s="36">
        <f>IF(T1091&gt;=2,ROUND((IF(T1091=2,0.55,IF(T1091&lt;=4,0.7,IF(T1091&lt;=6,0.8,IF(T1091&lt;=9,0.9,1))))*(S1091/T1091)+(1-(IF(T1091=2,0.55,IF(T1091&lt;=4,0.7,IF(T1091&lt;=6,0.8,IF(T1091&lt;=9,0.9,1))))))*$Y$1),1),"")</f>
      </c>
      <c r="V1091" s="37">
        <v>6.6</v>
      </c>
      <c r="W1091" s="38"/>
    </row>
    <row r="1092" ht="24" customHeight="1" spans="1:23" x14ac:dyDescent="0.25">
      <c r="A1092" s="31">
        <v>906</v>
      </c>
      <c r="B1092" s="32" t="s">
        <v>1184</v>
      </c>
      <c r="C1092" s="33" t="s">
        <v>29</v>
      </c>
      <c r="D1092" s="34">
        <v>2021</v>
      </c>
      <c r="E1092" s="34" t="s">
        <v>30</v>
      </c>
      <c r="F1092" s="6"/>
      <c r="G1092" s="6"/>
      <c r="H1092" s="6"/>
      <c r="I1092" s="6">
        <v>6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35">
        <f>SUM(F1092:R1092)</f>
        <v>6</v>
      </c>
      <c r="T1092" s="35">
        <f>COUNT(F1092:R1092)</f>
        <v>1</v>
      </c>
      <c r="U1092" s="36">
        <f>IF(T1092&gt;=2,ROUND((IF(T1092=2,0.55,IF(T1092&lt;=4,0.7,IF(T1092&lt;=6,0.8,IF(T1092&lt;=9,0.9,1))))*(S1092/T1092)+(1-(IF(T1092=2,0.55,IF(T1092&lt;=4,0.7,IF(T1092&lt;=6,0.8,IF(T1092&lt;=9,0.9,1))))))*$Y$1),1),"")</f>
      </c>
      <c r="V1092" s="37">
        <v>7.2</v>
      </c>
      <c r="W1092" s="38"/>
    </row>
    <row r="1093" ht="24" customHeight="1" spans="1:23" x14ac:dyDescent="0.25">
      <c r="A1093" s="42">
        <v>859</v>
      </c>
      <c r="B1093" s="32" t="s">
        <v>1185</v>
      </c>
      <c r="C1093" s="43" t="s">
        <v>24</v>
      </c>
      <c r="D1093" s="44">
        <v>2017</v>
      </c>
      <c r="E1093" s="44" t="s">
        <v>30</v>
      </c>
      <c r="F1093" s="6">
        <v>8</v>
      </c>
      <c r="G1093" s="6"/>
      <c r="H1093" s="6">
        <v>8</v>
      </c>
      <c r="I1093" s="6">
        <v>8</v>
      </c>
      <c r="J1093" s="6">
        <v>8</v>
      </c>
      <c r="K1093" s="6">
        <v>6</v>
      </c>
      <c r="L1093" s="6">
        <v>6</v>
      </c>
      <c r="M1093" s="6">
        <v>8</v>
      </c>
      <c r="N1093" s="6">
        <v>7</v>
      </c>
      <c r="O1093" s="6">
        <v>6</v>
      </c>
      <c r="P1093" s="6"/>
      <c r="Q1093" s="6">
        <v>6</v>
      </c>
      <c r="R1093" s="6">
        <v>8</v>
      </c>
      <c r="S1093" s="45">
        <f>SUM(F1093:R1093)</f>
        <v>79</v>
      </c>
      <c r="T1093" s="45">
        <f>COUNT(F1093:R1093)</f>
        <v>11</v>
      </c>
      <c r="U1093" s="36">
        <f>IF(T1093&gt;=2,ROUND((IF(T1093=2,0.55,IF(T1093&lt;=4,0.7,IF(T1093&lt;=6,0.8,IF(T1093&lt;=9,0.9,1))))*(S1093/T1093)+(1-(IF(T1093=2,0.55,IF(T1093&lt;=4,0.7,IF(T1093&lt;=6,0.8,IF(T1093&lt;=9,0.9,1))))))*$Y$1),1),"")</f>
        <v>7.2</v>
      </c>
      <c r="V1093" s="37">
        <v>6.6</v>
      </c>
      <c r="W1093" s="38" t="s">
        <v>44</v>
      </c>
    </row>
    <row r="1094" ht="24" customHeight="1" spans="1:23" x14ac:dyDescent="0.25">
      <c r="A1094" s="42">
        <v>1283</v>
      </c>
      <c r="B1094" s="32" t="s">
        <v>1186</v>
      </c>
      <c r="C1094" s="43" t="s">
        <v>24</v>
      </c>
      <c r="D1094" s="44">
        <v>2004</v>
      </c>
      <c r="E1094" s="44" t="s">
        <v>30</v>
      </c>
      <c r="F1094" s="6">
        <v>7</v>
      </c>
      <c r="G1094" s="6">
        <v>8</v>
      </c>
      <c r="H1094" s="6">
        <v>7</v>
      </c>
      <c r="I1094" s="6">
        <v>9</v>
      </c>
      <c r="J1094" s="6">
        <v>8</v>
      </c>
      <c r="K1094" s="6">
        <v>7</v>
      </c>
      <c r="L1094" s="6">
        <v>8</v>
      </c>
      <c r="M1094" s="6"/>
      <c r="N1094" s="6"/>
      <c r="O1094" s="6">
        <v>6</v>
      </c>
      <c r="P1094" s="6"/>
      <c r="Q1094" s="6">
        <v>7</v>
      </c>
      <c r="R1094" s="6"/>
      <c r="S1094" s="45">
        <f>SUM(F1094:R1094)</f>
        <v>67</v>
      </c>
      <c r="T1094" s="45">
        <f>COUNT(F1094:R1094)</f>
        <v>9</v>
      </c>
      <c r="U1094" s="36">
        <f>IF(T1094&gt;=2,ROUND((IF(T1094=2,0.55,IF(T1094&lt;=4,0.7,IF(T1094&lt;=6,0.8,IF(T1094&lt;=9,0.9,1))))*(S1094/T1094)+(1-(IF(T1094=2,0.55,IF(T1094&lt;=4,0.7,IF(T1094&lt;=6,0.8,IF(T1094&lt;=9,0.9,1))))))*$Y$1),1),"")</f>
        <v>7.5</v>
      </c>
      <c r="V1094" s="37">
        <v>7.4</v>
      </c>
      <c r="W1094" s="38" t="s">
        <v>44</v>
      </c>
    </row>
    <row r="1095" ht="47.25" customHeight="1" spans="1:23" x14ac:dyDescent="0.25">
      <c r="A1095" s="31">
        <v>509</v>
      </c>
      <c r="B1095" s="32" t="s">
        <v>1187</v>
      </c>
      <c r="C1095" s="33" t="s">
        <v>24</v>
      </c>
      <c r="D1095" s="34">
        <v>1970</v>
      </c>
      <c r="E1095" s="34" t="s">
        <v>33</v>
      </c>
      <c r="F1095" s="6"/>
      <c r="G1095" s="6">
        <v>8</v>
      </c>
      <c r="H1095" s="6"/>
      <c r="I1095" s="6"/>
      <c r="J1095" s="6"/>
      <c r="K1095" s="6"/>
      <c r="L1095" s="6"/>
      <c r="M1095" s="6"/>
      <c r="N1095" s="6"/>
      <c r="O1095" s="6"/>
      <c r="P1095" s="6">
        <v>8</v>
      </c>
      <c r="Q1095" s="6"/>
      <c r="R1095" s="6"/>
      <c r="S1095" s="35">
        <f>SUM(F1095:R1095)</f>
        <v>16</v>
      </c>
      <c r="T1095" s="35">
        <f>COUNT(F1095:R1095)</f>
        <v>2</v>
      </c>
      <c r="U1095" s="36">
        <f>IF(T1095&gt;=2,ROUND((IF(T1095=2,0.55,IF(T1095&lt;=4,0.7,IF(T1095&lt;=6,0.8,IF(T1095&lt;=9,0.9,1))))*(S1095/T1095)+(1-(IF(T1095=2,0.55,IF(T1095&lt;=4,0.7,IF(T1095&lt;=6,0.8,IF(T1095&lt;=9,0.9,1))))))*$Y$1),1),"")</f>
        <v>8</v>
      </c>
      <c r="V1095" s="37">
        <v>7.3</v>
      </c>
      <c r="W1095" s="38"/>
    </row>
    <row r="1096" ht="24" customHeight="1" spans="1:23" x14ac:dyDescent="0.25">
      <c r="A1096" s="31">
        <v>508</v>
      </c>
      <c r="B1096" s="32" t="s">
        <v>1188</v>
      </c>
      <c r="C1096" s="33" t="s">
        <v>24</v>
      </c>
      <c r="D1096" s="34">
        <v>2007</v>
      </c>
      <c r="E1096" s="34" t="s">
        <v>25</v>
      </c>
      <c r="F1096" s="6"/>
      <c r="G1096" s="6">
        <v>8</v>
      </c>
      <c r="H1096" s="6"/>
      <c r="I1096" s="6"/>
      <c r="J1096" s="6"/>
      <c r="K1096" s="6"/>
      <c r="L1096" s="6"/>
      <c r="M1096" s="6"/>
      <c r="N1096" s="6"/>
      <c r="O1096" s="6"/>
      <c r="P1096" s="6">
        <v>8</v>
      </c>
      <c r="Q1096" s="6"/>
      <c r="R1096" s="6"/>
      <c r="S1096" s="35">
        <f>SUM(F1096:R1096)</f>
        <v>16</v>
      </c>
      <c r="T1096" s="35">
        <f>COUNT(F1096:R1096)</f>
        <v>2</v>
      </c>
      <c r="U1096" s="36">
        <f>IF(T1096&gt;=2,ROUND((IF(T1096=2,0.55,IF(T1096&lt;=4,0.7,IF(T1096&lt;=6,0.8,IF(T1096&lt;=9,0.9,1))))*(S1096/T1096)+(1-(IF(T1096=2,0.55,IF(T1096&lt;=4,0.7,IF(T1096&lt;=6,0.8,IF(T1096&lt;=9,0.9,1))))))*$Y$1),1),"")</f>
        <v>8</v>
      </c>
      <c r="V1096" s="37">
        <v>7.2</v>
      </c>
      <c r="W1096" s="38"/>
    </row>
    <row r="1097" ht="24" customHeight="1" spans="1:23" x14ac:dyDescent="0.25">
      <c r="A1097" s="40">
        <v>2380</v>
      </c>
      <c r="B1097" s="32" t="s">
        <v>1189</v>
      </c>
      <c r="C1097" s="33" t="s">
        <v>24</v>
      </c>
      <c r="D1097" s="34">
        <v>2019</v>
      </c>
      <c r="E1097" s="41"/>
      <c r="F1097" s="6">
        <v>8</v>
      </c>
      <c r="G1097" s="6"/>
      <c r="H1097" s="6"/>
      <c r="I1097" s="6"/>
      <c r="J1097" s="6"/>
      <c r="K1097" s="6"/>
      <c r="L1097" s="6"/>
      <c r="M1097" s="6"/>
      <c r="N1097" s="6"/>
      <c r="O1097" s="6">
        <v>9</v>
      </c>
      <c r="P1097" s="6"/>
      <c r="Q1097" s="6"/>
      <c r="R1097" s="6"/>
      <c r="S1097" s="35">
        <f>SUM(F1097:R1097)</f>
        <v>17</v>
      </c>
      <c r="T1097" s="35">
        <f>COUNT(F1097:R1097)</f>
        <v>2</v>
      </c>
      <c r="U1097" s="36">
        <f>IF(T1097&gt;=2,ROUND((IF(T1097=2,0.55,IF(T1097&lt;=4,0.7,IF(T1097&lt;=6,0.8,IF(T1097&lt;=9,0.9,1))))*(S1097/T1097)+(1-(IF(T1097=2,0.55,IF(T1097&lt;=4,0.7,IF(T1097&lt;=6,0.8,IF(T1097&lt;=9,0.9,1))))))*$Y$1),1),"")</f>
        <v>8.3</v>
      </c>
      <c r="V1097" s="37">
        <v>7.6</v>
      </c>
      <c r="W1097" s="38"/>
    </row>
    <row r="1098" ht="47.25" customHeight="1" spans="1:23" x14ac:dyDescent="0.25">
      <c r="A1098" s="31">
        <v>1973</v>
      </c>
      <c r="B1098" s="32" t="s">
        <v>1190</v>
      </c>
      <c r="C1098" s="33" t="s">
        <v>24</v>
      </c>
      <c r="D1098" s="34">
        <v>2022</v>
      </c>
      <c r="E1098" s="34" t="s">
        <v>30</v>
      </c>
      <c r="F1098" s="6"/>
      <c r="G1098" s="6"/>
      <c r="H1098" s="6"/>
      <c r="I1098" s="6"/>
      <c r="J1098" s="6"/>
      <c r="K1098" s="6">
        <v>7</v>
      </c>
      <c r="L1098" s="6"/>
      <c r="M1098" s="6"/>
      <c r="N1098" s="6"/>
      <c r="O1098" s="6"/>
      <c r="P1098" s="6"/>
      <c r="Q1098" s="6">
        <v>7</v>
      </c>
      <c r="R1098" s="6"/>
      <c r="S1098" s="35">
        <f>SUM(F1098:R1098)</f>
        <v>14</v>
      </c>
      <c r="T1098" s="35">
        <f>COUNT(F1098:R1098)</f>
        <v>2</v>
      </c>
      <c r="U1098" s="36">
        <f>IF(T1098&gt;=2,ROUND((IF(T1098=2,0.55,IF(T1098&lt;=4,0.7,IF(T1098&lt;=6,0.8,IF(T1098&lt;=9,0.9,1))))*(S1098/T1098)+(1-(IF(T1098=2,0.55,IF(T1098&lt;=4,0.7,IF(T1098&lt;=6,0.8,IF(T1098&lt;=9,0.9,1))))))*$Y$1),1),"")</f>
        <v>7.5</v>
      </c>
      <c r="V1098" s="37">
        <v>6.5</v>
      </c>
      <c r="W1098" s="38"/>
    </row>
    <row r="1099" ht="24" customHeight="1" spans="1:23" x14ac:dyDescent="0.25">
      <c r="A1099" s="31">
        <v>901</v>
      </c>
      <c r="B1099" s="32" t="s">
        <v>1191</v>
      </c>
      <c r="C1099" s="33" t="s">
        <v>29</v>
      </c>
      <c r="D1099" s="34">
        <v>2021</v>
      </c>
      <c r="E1099" s="34" t="s">
        <v>30</v>
      </c>
      <c r="F1099" s="6">
        <v>8</v>
      </c>
      <c r="G1099" s="6"/>
      <c r="H1099" s="6"/>
      <c r="I1099" s="6">
        <v>8</v>
      </c>
      <c r="J1099" s="6">
        <v>8</v>
      </c>
      <c r="K1099" s="6">
        <v>8</v>
      </c>
      <c r="L1099" s="6">
        <v>8</v>
      </c>
      <c r="M1099" s="6"/>
      <c r="N1099" s="6">
        <v>8</v>
      </c>
      <c r="O1099" s="6">
        <v>9</v>
      </c>
      <c r="P1099" s="6"/>
      <c r="Q1099" s="6">
        <v>8</v>
      </c>
      <c r="R1099" s="6">
        <v>8</v>
      </c>
      <c r="S1099" s="35">
        <f>SUM(F1099:R1099)</f>
        <v>73</v>
      </c>
      <c r="T1099" s="35">
        <f>COUNT(F1099:R1099)</f>
        <v>9</v>
      </c>
      <c r="U1099" s="36">
        <f>IF(T1099&gt;=2,ROUND((IF(T1099=2,0.55,IF(T1099&lt;=4,0.7,IF(T1099&lt;=6,0.8,IF(T1099&lt;=9,0.9,1))))*(S1099/T1099)+(1-(IF(T1099=2,0.55,IF(T1099&lt;=4,0.7,IF(T1099&lt;=6,0.8,IF(T1099&lt;=9,0.9,1))))))*$Y$1),1),"")</f>
        <v>8.1</v>
      </c>
      <c r="V1099" s="37">
        <v>7.5</v>
      </c>
      <c r="W1099" s="38"/>
    </row>
    <row r="1100" ht="24" customHeight="1" spans="1:23" x14ac:dyDescent="0.25">
      <c r="A1100" s="31">
        <v>716</v>
      </c>
      <c r="B1100" s="32" t="s">
        <v>1192</v>
      </c>
      <c r="C1100" s="33" t="s">
        <v>24</v>
      </c>
      <c r="D1100" s="34">
        <v>1992</v>
      </c>
      <c r="E1100" s="34" t="s">
        <v>27</v>
      </c>
      <c r="F1100" s="6"/>
      <c r="G1100" s="6">
        <v>7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35">
        <f>SUM(F1100:R1100)</f>
        <v>7</v>
      </c>
      <c r="T1100" s="35">
        <f>COUNT(F1100:R1100)</f>
        <v>1</v>
      </c>
      <c r="U1100" s="36">
        <f>IF(T1100&gt;=2,ROUND((IF(T1100=2,0.55,IF(T1100&lt;=4,0.7,IF(T1100&lt;=6,0.8,IF(T1100&lt;=9,0.9,1))))*(S1100/T1100)+(1-(IF(T1100=2,0.55,IF(T1100&lt;=4,0.7,IF(T1100&lt;=6,0.8,IF(T1100&lt;=9,0.9,1))))))*$Y$1),1),"")</f>
      </c>
      <c r="V1100" s="37">
        <v>7.2</v>
      </c>
      <c r="W1100" s="38"/>
    </row>
    <row r="1101" ht="24" customHeight="1" spans="1:23" x14ac:dyDescent="0.25">
      <c r="A1101" s="31">
        <v>1818</v>
      </c>
      <c r="B1101" s="32" t="s">
        <v>1193</v>
      </c>
      <c r="C1101" s="33" t="s">
        <v>24</v>
      </c>
      <c r="D1101" s="34">
        <v>2016</v>
      </c>
      <c r="E1101" s="34" t="s">
        <v>30</v>
      </c>
      <c r="F1101" s="6">
        <v>7</v>
      </c>
      <c r="G1101" s="6"/>
      <c r="H1101" s="6"/>
      <c r="I1101" s="6"/>
      <c r="J1101" s="6"/>
      <c r="K1101" s="6">
        <v>8</v>
      </c>
      <c r="L1101" s="6">
        <v>7</v>
      </c>
      <c r="M1101" s="6"/>
      <c r="N1101" s="6"/>
      <c r="O1101" s="6">
        <v>8</v>
      </c>
      <c r="P1101" s="6"/>
      <c r="Q1101" s="6">
        <v>8</v>
      </c>
      <c r="R1101" s="6"/>
      <c r="S1101" s="35">
        <f>SUM(F1101:R1101)</f>
        <v>38</v>
      </c>
      <c r="T1101" s="35">
        <f>COUNT(F1101:R1101)</f>
        <v>5</v>
      </c>
      <c r="U1101" s="36">
        <f>IF(T1101&gt;=2,ROUND((IF(T1101=2,0.55,IF(T1101&lt;=4,0.7,IF(T1101&lt;=6,0.8,IF(T1101&lt;=9,0.9,1))))*(S1101/T1101)+(1-(IF(T1101=2,0.55,IF(T1101&lt;=4,0.7,IF(T1101&lt;=6,0.8,IF(T1101&lt;=9,0.9,1))))))*$Y$1),1),"")</f>
        <v>7.7</v>
      </c>
      <c r="V1101" s="37">
        <v>7</v>
      </c>
      <c r="W1101" s="38"/>
    </row>
    <row r="1102" ht="24" customHeight="1" spans="1:23" x14ac:dyDescent="0.25">
      <c r="A1102" s="31">
        <v>411</v>
      </c>
      <c r="B1102" s="32" t="s">
        <v>1194</v>
      </c>
      <c r="C1102" s="33" t="s">
        <v>24</v>
      </c>
      <c r="D1102" s="34">
        <v>1970</v>
      </c>
      <c r="E1102" s="34" t="s">
        <v>30</v>
      </c>
      <c r="F1102" s="6">
        <v>10</v>
      </c>
      <c r="G1102" s="6">
        <v>8</v>
      </c>
      <c r="H1102" s="6">
        <v>10</v>
      </c>
      <c r="I1102" s="6">
        <v>10</v>
      </c>
      <c r="J1102" s="6"/>
      <c r="K1102" s="6">
        <v>10</v>
      </c>
      <c r="L1102" s="6">
        <v>10</v>
      </c>
      <c r="M1102" s="6">
        <v>8</v>
      </c>
      <c r="N1102" s="6">
        <v>8</v>
      </c>
      <c r="O1102" s="6"/>
      <c r="P1102" s="6">
        <v>8</v>
      </c>
      <c r="Q1102" s="6">
        <v>10</v>
      </c>
      <c r="R1102" s="6"/>
      <c r="S1102" s="35">
        <f>SUM(F1102:R1102)</f>
        <v>92</v>
      </c>
      <c r="T1102" s="35">
        <f>COUNT(F1102:R1102)</f>
        <v>10</v>
      </c>
      <c r="U1102" s="36">
        <f>IF(T1102&gt;=2,ROUND((IF(T1102=2,0.55,IF(T1102&lt;=4,0.7,IF(T1102&lt;=6,0.8,IF(T1102&lt;=9,0.9,1))))*(S1102/T1102)+(1-(IF(T1102=2,0.55,IF(T1102&lt;=4,0.7,IF(T1102&lt;=6,0.8,IF(T1102&lt;=9,0.9,1))))))*$Y$1),1),"")</f>
        <v>9.2</v>
      </c>
      <c r="V1102" s="37">
        <v>6.9</v>
      </c>
      <c r="W1102" s="38"/>
    </row>
    <row r="1103" ht="24" customHeight="1" spans="1:23" x14ac:dyDescent="0.25">
      <c r="A1103" s="40">
        <v>2073</v>
      </c>
      <c r="B1103" s="32" t="s">
        <v>1195</v>
      </c>
      <c r="C1103" s="33" t="s">
        <v>24</v>
      </c>
      <c r="D1103" s="34">
        <v>1973</v>
      </c>
      <c r="E1103" s="41"/>
      <c r="F1103" s="6"/>
      <c r="G1103" s="6">
        <v>7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35">
        <f>SUM(F1103:R1103)</f>
        <v>7</v>
      </c>
      <c r="T1103" s="35">
        <f>COUNT(F1103:R1103)</f>
        <v>1</v>
      </c>
      <c r="U1103" s="36">
        <f>IF(T1103&gt;=2,ROUND((IF(T1103=2,0.55,IF(T1103&lt;=4,0.7,IF(T1103&lt;=6,0.8,IF(T1103&lt;=9,0.9,1))))*(S1103/T1103)+(1-(IF(T1103=2,0.55,IF(T1103&lt;=4,0.7,IF(T1103&lt;=6,0.8,IF(T1103&lt;=9,0.9,1))))))*$Y$1),1),"")</f>
      </c>
      <c r="V1103" s="37">
        <v>7.4</v>
      </c>
      <c r="W1103" s="38"/>
    </row>
    <row r="1104" ht="24" customHeight="1" spans="1:23" x14ac:dyDescent="0.25">
      <c r="A1104" s="31">
        <v>1979</v>
      </c>
      <c r="B1104" s="32" t="s">
        <v>1196</v>
      </c>
      <c r="C1104" s="33" t="s">
        <v>24</v>
      </c>
      <c r="D1104" s="34">
        <v>2020</v>
      </c>
      <c r="E1104" s="34" t="s">
        <v>25</v>
      </c>
      <c r="F1104" s="6"/>
      <c r="G1104" s="6">
        <v>6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35">
        <f>SUM(F1104:R1104)</f>
        <v>6</v>
      </c>
      <c r="T1104" s="35">
        <f>COUNT(F1104:R1104)</f>
        <v>1</v>
      </c>
      <c r="U1104" s="36">
        <f>IF(T1104&gt;=2,ROUND((IF(T1104=2,0.55,IF(T1104&lt;=4,0.7,IF(T1104&lt;=6,0.8,IF(T1104&lt;=9,0.9,1))))*(S1104/T1104)+(1-(IF(T1104=2,0.55,IF(T1104&lt;=4,0.7,IF(T1104&lt;=6,0.8,IF(T1104&lt;=9,0.9,1))))))*$Y$1),1),"")</f>
      </c>
      <c r="V1104" s="37">
        <v>7.5</v>
      </c>
      <c r="W1104" s="38"/>
    </row>
    <row r="1105" ht="24" customHeight="1" spans="1:23" x14ac:dyDescent="0.25">
      <c r="A1105" s="31">
        <v>2495</v>
      </c>
      <c r="B1105" s="32" t="s">
        <v>1197</v>
      </c>
      <c r="C1105" s="33" t="s">
        <v>24</v>
      </c>
      <c r="D1105" s="34">
        <v>1990</v>
      </c>
      <c r="E1105" s="34" t="s">
        <v>27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>
        <v>7</v>
      </c>
      <c r="P1105" s="6"/>
      <c r="Q1105" s="6"/>
      <c r="R1105" s="6"/>
      <c r="S1105" s="35">
        <f>SUM(F1105:R1105)</f>
        <v>7</v>
      </c>
      <c r="T1105" s="35">
        <f>COUNT(F1105:R1105)</f>
        <v>1</v>
      </c>
      <c r="U1105" s="36">
        <f>IF(T1105&gt;=2,ROUND((IF(T1105=2,0.55,IF(T1105&lt;=4,0.7,IF(T1105&lt;=6,0.8,IF(T1105&lt;=9,0.9,1))))*(S1105/T1105)+(1-(IF(T1105=2,0.55,IF(T1105&lt;=4,0.7,IF(T1105&lt;=6,0.8,IF(T1105&lt;=9,0.9,1))))))*$Y$1),1),"")</f>
      </c>
      <c r="V1105" s="37">
        <v>7.8</v>
      </c>
      <c r="W1105" s="38"/>
    </row>
    <row r="1106" ht="24" customHeight="1" spans="1:23" x14ac:dyDescent="0.25">
      <c r="A1106" s="42">
        <v>1021</v>
      </c>
      <c r="B1106" s="32" t="s">
        <v>1198</v>
      </c>
      <c r="C1106" s="43" t="s">
        <v>24</v>
      </c>
      <c r="D1106" s="44">
        <v>1997</v>
      </c>
      <c r="E1106" s="44" t="s">
        <v>27</v>
      </c>
      <c r="F1106" s="6">
        <v>8</v>
      </c>
      <c r="G1106" s="6">
        <v>9</v>
      </c>
      <c r="H1106" s="6">
        <v>8</v>
      </c>
      <c r="I1106" s="6">
        <v>8</v>
      </c>
      <c r="J1106" s="6">
        <v>10</v>
      </c>
      <c r="K1106" s="6">
        <v>10</v>
      </c>
      <c r="L1106" s="6">
        <v>10</v>
      </c>
      <c r="M1106" s="6">
        <v>8</v>
      </c>
      <c r="N1106" s="6">
        <v>10</v>
      </c>
      <c r="O1106" s="6">
        <v>8</v>
      </c>
      <c r="P1106" s="6">
        <v>8</v>
      </c>
      <c r="Q1106" s="6">
        <v>10</v>
      </c>
      <c r="R1106" s="6">
        <v>8</v>
      </c>
      <c r="S1106" s="45">
        <f>SUM(F1106:R1106)</f>
        <v>115</v>
      </c>
      <c r="T1106" s="45">
        <f>COUNT(F1106:R1106)</f>
        <v>13</v>
      </c>
      <c r="U1106" s="36">
        <f>IF(T1106&gt;=2,ROUND((IF(T1106=2,0.55,IF(T1106&lt;=4,0.7,IF(T1106&lt;=6,0.8,IF(T1106&lt;=9,0.9,1))))*(S1106/T1106)+(1-(IF(T1106=2,0.55,IF(T1106&lt;=4,0.7,IF(T1106&lt;=6,0.8,IF(T1106&lt;=9,0.9,1))))))*$Y$1),1),"")</f>
        <v>8.8</v>
      </c>
      <c r="V1106" s="37">
        <v>8.2</v>
      </c>
      <c r="W1106" s="38" t="s">
        <v>44</v>
      </c>
    </row>
    <row r="1107" ht="24" customHeight="1" spans="1:23" x14ac:dyDescent="0.25">
      <c r="A1107" s="31">
        <v>219</v>
      </c>
      <c r="B1107" s="32" t="s">
        <v>1199</v>
      </c>
      <c r="C1107" s="33" t="s">
        <v>24</v>
      </c>
      <c r="D1107" s="34">
        <v>1997</v>
      </c>
      <c r="E1107" s="34" t="s">
        <v>92</v>
      </c>
      <c r="F1107" s="6"/>
      <c r="G1107" s="6"/>
      <c r="H1107" s="6">
        <v>7</v>
      </c>
      <c r="I1107" s="6"/>
      <c r="J1107" s="6"/>
      <c r="K1107" s="6">
        <v>6</v>
      </c>
      <c r="L1107" s="6">
        <v>10</v>
      </c>
      <c r="M1107" s="6"/>
      <c r="N1107" s="6"/>
      <c r="O1107" s="6">
        <v>10</v>
      </c>
      <c r="P1107" s="6"/>
      <c r="Q1107" s="6">
        <v>6</v>
      </c>
      <c r="R1107" s="6"/>
      <c r="S1107" s="35">
        <f>SUM(F1107:R1107)</f>
        <v>39</v>
      </c>
      <c r="T1107" s="35">
        <f>COUNT(F1107:R1107)</f>
        <v>5</v>
      </c>
      <c r="U1107" s="36">
        <f>IF(T1107&gt;=2,ROUND((IF(T1107=2,0.55,IF(T1107&lt;=4,0.7,IF(T1107&lt;=6,0.8,IF(T1107&lt;=9,0.9,1))))*(S1107/T1107)+(1-(IF(T1107=2,0.55,IF(T1107&lt;=4,0.7,IF(T1107&lt;=6,0.8,IF(T1107&lt;=9,0.9,1))))))*$Y$1),1),"")</f>
        <v>7.9</v>
      </c>
      <c r="V1107" s="37">
        <v>6.8</v>
      </c>
      <c r="W1107" s="38"/>
    </row>
    <row r="1108" ht="24" customHeight="1" spans="1:23" s="39" customFormat="1" x14ac:dyDescent="0.25">
      <c r="A1108" s="31">
        <v>734</v>
      </c>
      <c r="B1108" s="32" t="s">
        <v>1200</v>
      </c>
      <c r="C1108" s="33" t="s">
        <v>24</v>
      </c>
      <c r="D1108" s="34">
        <v>2018</v>
      </c>
      <c r="E1108" s="34" t="s">
        <v>27</v>
      </c>
      <c r="F1108" s="6"/>
      <c r="G1108" s="6"/>
      <c r="H1108" s="6"/>
      <c r="I1108" s="6"/>
      <c r="J1108" s="6">
        <v>8</v>
      </c>
      <c r="K1108" s="6"/>
      <c r="L1108" s="6"/>
      <c r="M1108" s="6"/>
      <c r="N1108" s="6"/>
      <c r="O1108" s="6"/>
      <c r="P1108" s="6"/>
      <c r="Q1108" s="6"/>
      <c r="R1108" s="6"/>
      <c r="S1108" s="35">
        <f>SUM(F1108:R1108)</f>
        <v>8</v>
      </c>
      <c r="T1108" s="35">
        <f>COUNT(F1108:R1108)</f>
        <v>1</v>
      </c>
      <c r="U1108" s="36">
        <f>IF(T1108&gt;=2,ROUND((IF(T1108=2,0.55,IF(T1108&lt;=4,0.7,IF(T1108&lt;=6,0.8,IF(T1108&lt;=9,0.9,1))))*(S1108/T1108)+(1-(IF(T1108=2,0.55,IF(T1108&lt;=4,0.7,IF(T1108&lt;=6,0.8,IF(T1108&lt;=9,0.9,1))))))*$Y$1),1),"")</f>
      </c>
      <c r="V1108" s="37">
        <v>5.9</v>
      </c>
      <c r="W1108" s="38"/>
    </row>
    <row r="1109" ht="24" customHeight="1" spans="1:23" s="39" customFormat="1" x14ac:dyDescent="0.25">
      <c r="A1109" s="42">
        <v>1417</v>
      </c>
      <c r="B1109" s="32" t="s">
        <v>1201</v>
      </c>
      <c r="C1109" s="43" t="s">
        <v>158</v>
      </c>
      <c r="D1109" s="44">
        <v>2010</v>
      </c>
      <c r="E1109" s="44" t="s">
        <v>30</v>
      </c>
      <c r="F1109" s="6">
        <v>9</v>
      </c>
      <c r="G1109" s="6">
        <v>10</v>
      </c>
      <c r="H1109" s="6">
        <v>9</v>
      </c>
      <c r="I1109" s="6">
        <v>10</v>
      </c>
      <c r="J1109" s="6">
        <v>9</v>
      </c>
      <c r="K1109" s="6">
        <v>10</v>
      </c>
      <c r="L1109" s="6">
        <v>10</v>
      </c>
      <c r="M1109" s="6">
        <v>10</v>
      </c>
      <c r="N1109" s="6">
        <v>10</v>
      </c>
      <c r="O1109" s="6">
        <v>10</v>
      </c>
      <c r="P1109" s="6">
        <v>10</v>
      </c>
      <c r="Q1109" s="6">
        <v>10</v>
      </c>
      <c r="R1109" s="6">
        <v>10</v>
      </c>
      <c r="S1109" s="45">
        <f>SUM(F1109:R1109)</f>
        <v>127</v>
      </c>
      <c r="T1109" s="45">
        <f>COUNT(F1109:R1109)</f>
        <v>13</v>
      </c>
      <c r="U1109" s="36">
        <f>IF(T1109&gt;=2,ROUND((IF(T1109=2,0.55,IF(T1109&lt;=4,0.7,IF(T1109&lt;=6,0.8,IF(T1109&lt;=9,0.9,1))))*(S1109/T1109)+(1-(IF(T1109=2,0.55,IF(T1109&lt;=4,0.7,IF(T1109&lt;=6,0.8,IF(T1109&lt;=9,0.9,1))))))*$Y$1),1),"")</f>
        <v>9.8</v>
      </c>
      <c r="V1109" s="37">
        <v>7.8</v>
      </c>
      <c r="W1109" s="38" t="s">
        <v>44</v>
      </c>
    </row>
    <row r="1110" ht="24" customHeight="1" spans="1:23" x14ac:dyDescent="0.25">
      <c r="A1110" s="31">
        <v>1723</v>
      </c>
      <c r="B1110" s="32" t="s">
        <v>1202</v>
      </c>
      <c r="C1110" s="33" t="s">
        <v>24</v>
      </c>
      <c r="D1110" s="34">
        <v>2014</v>
      </c>
      <c r="E1110" s="34" t="s">
        <v>30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>
        <v>8</v>
      </c>
      <c r="P1110" s="6"/>
      <c r="Q1110" s="6"/>
      <c r="R1110" s="6"/>
      <c r="S1110" s="35">
        <f>SUM(F1110:R1110)</f>
        <v>8</v>
      </c>
      <c r="T1110" s="35">
        <f>COUNT(F1110:R1110)</f>
        <v>1</v>
      </c>
      <c r="U1110" s="36">
        <f>IF(T1110&gt;=2,ROUND((IF(T1110=2,0.55,IF(T1110&lt;=4,0.7,IF(T1110&lt;=6,0.8,IF(T1110&lt;=9,0.9,1))))*(S1110/T1110)+(1-(IF(T1110=2,0.55,IF(T1110&lt;=4,0.7,IF(T1110&lt;=6,0.8,IF(T1110&lt;=9,0.9,1))))))*$Y$1),1),"")</f>
      </c>
      <c r="V1110" s="37">
        <v>7.1</v>
      </c>
      <c r="W1110" s="38"/>
    </row>
    <row r="1111" ht="24" customHeight="1" spans="1:23" x14ac:dyDescent="0.25">
      <c r="A1111" s="31">
        <v>1552</v>
      </c>
      <c r="B1111" s="32" t="s">
        <v>1203</v>
      </c>
      <c r="C1111" s="33" t="s">
        <v>24</v>
      </c>
      <c r="D1111" s="34">
        <v>2021</v>
      </c>
      <c r="E1111" s="34" t="s">
        <v>30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>
        <v>6</v>
      </c>
      <c r="P1111" s="6"/>
      <c r="Q1111" s="6"/>
      <c r="R1111" s="6"/>
      <c r="S1111" s="35">
        <f>SUM(F1111:R1111)</f>
        <v>6</v>
      </c>
      <c r="T1111" s="35">
        <f>COUNT(F1111:R1111)</f>
        <v>1</v>
      </c>
      <c r="U1111" s="36">
        <f>IF(T1111&gt;=2,ROUND((IF(T1111=2,0.55,IF(T1111&lt;=4,0.7,IF(T1111&lt;=6,0.8,IF(T1111&lt;=9,0.9,1))))*(S1111/T1111)+(1-(IF(T1111=2,0.55,IF(T1111&lt;=4,0.7,IF(T1111&lt;=6,0.8,IF(T1111&lt;=9,0.9,1))))))*$Y$1),1),"")</f>
      </c>
      <c r="V1111" s="37">
        <v>6.3</v>
      </c>
      <c r="W1111" s="38"/>
    </row>
    <row r="1112" ht="24" customHeight="1" spans="1:23" x14ac:dyDescent="0.25">
      <c r="A1112" s="31">
        <v>75</v>
      </c>
      <c r="B1112" s="32" t="s">
        <v>1204</v>
      </c>
      <c r="C1112" s="33" t="s">
        <v>24</v>
      </c>
      <c r="D1112" s="34">
        <v>2016</v>
      </c>
      <c r="E1112" s="34" t="s">
        <v>30</v>
      </c>
      <c r="F1112" s="6">
        <v>10</v>
      </c>
      <c r="G1112" s="6">
        <v>8</v>
      </c>
      <c r="H1112" s="6">
        <v>10</v>
      </c>
      <c r="I1112" s="6">
        <v>10</v>
      </c>
      <c r="J1112" s="6">
        <v>10</v>
      </c>
      <c r="K1112" s="6">
        <v>10</v>
      </c>
      <c r="L1112" s="6">
        <v>10</v>
      </c>
      <c r="M1112" s="6">
        <v>10</v>
      </c>
      <c r="N1112" s="6">
        <v>8</v>
      </c>
      <c r="O1112" s="6"/>
      <c r="P1112" s="6">
        <v>10</v>
      </c>
      <c r="Q1112" s="6">
        <v>10</v>
      </c>
      <c r="R1112" s="6">
        <v>10</v>
      </c>
      <c r="S1112" s="35">
        <f>SUM(F1112:R1112)</f>
        <v>116</v>
      </c>
      <c r="T1112" s="35">
        <f>COUNT(F1112:R1112)</f>
        <v>12</v>
      </c>
      <c r="U1112" s="36">
        <f>IF(T1112&gt;=2,ROUND((IF(T1112=2,0.55,IF(T1112&lt;=4,0.7,IF(T1112&lt;=6,0.8,IF(T1112&lt;=9,0.9,1))))*(S1112/T1112)+(1-(IF(T1112=2,0.55,IF(T1112&lt;=4,0.7,IF(T1112&lt;=6,0.8,IF(T1112&lt;=9,0.9,1))))))*$Y$1),1),"")</f>
        <v>9.7</v>
      </c>
      <c r="V1112" s="37">
        <v>8</v>
      </c>
      <c r="W1112" s="38"/>
    </row>
    <row r="1113" ht="24" customHeight="1" spans="1:23" x14ac:dyDescent="0.25">
      <c r="A1113" s="31">
        <v>1342</v>
      </c>
      <c r="B1113" s="32" t="s">
        <v>1205</v>
      </c>
      <c r="C1113" s="33" t="s">
        <v>24</v>
      </c>
      <c r="D1113" s="34">
        <v>2013</v>
      </c>
      <c r="E1113" s="34" t="s">
        <v>30</v>
      </c>
      <c r="F1113" s="6">
        <v>6</v>
      </c>
      <c r="G1113" s="6"/>
      <c r="H1113" s="6"/>
      <c r="I1113" s="6"/>
      <c r="J1113" s="6"/>
      <c r="K1113" s="6"/>
      <c r="L1113" s="6"/>
      <c r="M1113" s="6"/>
      <c r="N1113" s="6"/>
      <c r="O1113" s="6">
        <v>8</v>
      </c>
      <c r="P1113" s="6"/>
      <c r="Q1113" s="6"/>
      <c r="R1113" s="6"/>
      <c r="S1113" s="35">
        <f>SUM(F1113:R1113)</f>
        <v>14</v>
      </c>
      <c r="T1113" s="35">
        <f>COUNT(F1113:R1113)</f>
        <v>2</v>
      </c>
      <c r="U1113" s="36">
        <f>IF(T1113&gt;=2,ROUND((IF(T1113=2,0.55,IF(T1113&lt;=4,0.7,IF(T1113&lt;=6,0.8,IF(T1113&lt;=9,0.9,1))))*(S1113/T1113)+(1-(IF(T1113=2,0.55,IF(T1113&lt;=4,0.7,IF(T1113&lt;=6,0.8,IF(T1113&lt;=9,0.9,1))))))*$Y$1),1),"")</f>
        <v>7.5</v>
      </c>
      <c r="V1113" s="37">
        <v>6.5</v>
      </c>
      <c r="W1113" s="38"/>
    </row>
    <row r="1114" ht="24" customHeight="1" spans="1:23" x14ac:dyDescent="0.25">
      <c r="A1114" s="31">
        <v>1053</v>
      </c>
      <c r="B1114" s="32" t="s">
        <v>1206</v>
      </c>
      <c r="C1114" s="33" t="s">
        <v>29</v>
      </c>
      <c r="D1114" s="34">
        <v>2012</v>
      </c>
      <c r="E1114" s="34" t="s">
        <v>30</v>
      </c>
      <c r="F1114" s="6">
        <v>8</v>
      </c>
      <c r="G1114" s="6"/>
      <c r="H1114" s="6"/>
      <c r="I1114" s="6"/>
      <c r="J1114" s="6"/>
      <c r="K1114" s="6"/>
      <c r="L1114" s="6">
        <v>10</v>
      </c>
      <c r="M1114" s="6"/>
      <c r="N1114" s="6"/>
      <c r="O1114" s="6"/>
      <c r="P1114" s="6"/>
      <c r="Q1114" s="6"/>
      <c r="R1114" s="6"/>
      <c r="S1114" s="35">
        <f>SUM(F1114:R1114)</f>
        <v>18</v>
      </c>
      <c r="T1114" s="35">
        <f>COUNT(F1114:R1114)</f>
        <v>2</v>
      </c>
      <c r="U1114" s="36">
        <f>IF(T1114&gt;=2,ROUND((IF(T1114=2,0.55,IF(T1114&lt;=4,0.7,IF(T1114&lt;=6,0.8,IF(T1114&lt;=9,0.9,1))))*(S1114/T1114)+(1-(IF(T1114=2,0.55,IF(T1114&lt;=4,0.7,IF(T1114&lt;=6,0.8,IF(T1114&lt;=9,0.9,1))))))*$Y$1),1),"")</f>
        <v>8.6</v>
      </c>
      <c r="V1114" s="37">
        <v>8.7</v>
      </c>
      <c r="W1114" s="38"/>
    </row>
    <row r="1115" ht="24" customHeight="1" spans="1:23" x14ac:dyDescent="0.25">
      <c r="A1115" s="40">
        <v>2284</v>
      </c>
      <c r="B1115" s="32" t="s">
        <v>1207</v>
      </c>
      <c r="C1115" s="33" t="s">
        <v>24</v>
      </c>
      <c r="D1115" s="34">
        <v>2012</v>
      </c>
      <c r="E1115" s="41"/>
      <c r="F1115" s="6"/>
      <c r="G1115" s="6">
        <v>8</v>
      </c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35">
        <f>SUM(F1115:R1115)</f>
        <v>8</v>
      </c>
      <c r="T1115" s="35">
        <f>COUNT(F1115:R1115)</f>
        <v>1</v>
      </c>
      <c r="U1115" s="36">
        <f>IF(T1115&gt;=2,ROUND((IF(T1115=2,0.55,IF(T1115&lt;=4,0.7,IF(T1115&lt;=6,0.8,IF(T1115&lt;=9,0.9,1))))*(S1115/T1115)+(1-(IF(T1115=2,0.55,IF(T1115&lt;=4,0.7,IF(T1115&lt;=6,0.8,IF(T1115&lt;=9,0.9,1))))))*$Y$1),1),"")</f>
      </c>
      <c r="V1115" s="37">
        <v>7.3</v>
      </c>
      <c r="W1115" s="38"/>
    </row>
    <row r="1116" ht="24" customHeight="1" spans="1:23" x14ac:dyDescent="0.25">
      <c r="A1116" s="40">
        <v>2230</v>
      </c>
      <c r="B1116" s="32" t="s">
        <v>1208</v>
      </c>
      <c r="C1116" s="33" t="s">
        <v>24</v>
      </c>
      <c r="D1116" s="34">
        <v>2008</v>
      </c>
      <c r="E1116" s="41"/>
      <c r="F1116" s="6"/>
      <c r="G1116" s="6">
        <v>7</v>
      </c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35">
        <f>SUM(F1116:R1116)</f>
        <v>7</v>
      </c>
      <c r="T1116" s="35">
        <f>COUNT(F1116:R1116)</f>
        <v>1</v>
      </c>
      <c r="U1116" s="36">
        <f>IF(T1116&gt;=2,ROUND((IF(T1116=2,0.55,IF(T1116&lt;=4,0.7,IF(T1116&lt;=6,0.8,IF(T1116&lt;=9,0.9,1))))*(S1116/T1116)+(1-(IF(T1116=2,0.55,IF(T1116&lt;=4,0.7,IF(T1116&lt;=6,0.8,IF(T1116&lt;=9,0.9,1))))))*$Y$1),1),"")</f>
      </c>
      <c r="V1116" s="37">
        <v>7.3</v>
      </c>
      <c r="W1116" s="38"/>
    </row>
    <row r="1117" ht="24" customHeight="1" spans="1:23" x14ac:dyDescent="0.25">
      <c r="A1117" s="31">
        <v>1564</v>
      </c>
      <c r="B1117" s="32" t="s">
        <v>1209</v>
      </c>
      <c r="C1117" s="33" t="s">
        <v>29</v>
      </c>
      <c r="D1117" s="34">
        <v>2016</v>
      </c>
      <c r="E1117" s="34" t="s">
        <v>69</v>
      </c>
      <c r="F1117" s="6"/>
      <c r="G1117" s="6"/>
      <c r="H1117" s="6">
        <v>8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35">
        <f>SUM(F1117:R1117)</f>
        <v>8</v>
      </c>
      <c r="T1117" s="35">
        <f>COUNT(F1117:R1117)</f>
        <v>1</v>
      </c>
      <c r="U1117" s="36">
        <f>IF(T1117&gt;=2,ROUND((IF(T1117=2,0.55,IF(T1117&lt;=4,0.7,IF(T1117&lt;=6,0.8,IF(T1117&lt;=9,0.9,1))))*(S1117/T1117)+(1-(IF(T1117=2,0.55,IF(T1117&lt;=4,0.7,IF(T1117&lt;=6,0.8,IF(T1117&lt;=9,0.9,1))))))*$Y$1),1),"")</f>
      </c>
      <c r="V1117" s="37">
        <v>7.8</v>
      </c>
      <c r="W1117" s="38"/>
    </row>
    <row r="1118" ht="24" customHeight="1" spans="1:23" x14ac:dyDescent="0.25">
      <c r="A1118" s="31">
        <v>1791</v>
      </c>
      <c r="B1118" s="32" t="s">
        <v>1210</v>
      </c>
      <c r="C1118" s="33" t="s">
        <v>24</v>
      </c>
      <c r="D1118" s="34">
        <v>2022</v>
      </c>
      <c r="E1118" s="34" t="s">
        <v>30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>
        <v>8</v>
      </c>
      <c r="P1118" s="6"/>
      <c r="Q1118" s="6"/>
      <c r="R1118" s="6"/>
      <c r="S1118" s="35">
        <f>SUM(F1118:R1118)</f>
        <v>8</v>
      </c>
      <c r="T1118" s="35">
        <f>COUNT(F1118:R1118)</f>
        <v>1</v>
      </c>
      <c r="U1118" s="36">
        <f>IF(T1118&gt;=2,ROUND((IF(T1118=2,0.55,IF(T1118&lt;=4,0.7,IF(T1118&lt;=6,0.8,IF(T1118&lt;=9,0.9,1))))*(S1118/T1118)+(1-(IF(T1118=2,0.55,IF(T1118&lt;=4,0.7,IF(T1118&lt;=6,0.8,IF(T1118&lt;=9,0.9,1))))))*$Y$1),1),"")</f>
      </c>
      <c r="V1118" s="37">
        <v>6.3</v>
      </c>
      <c r="W1118" s="38"/>
    </row>
    <row r="1119" ht="24" customHeight="1" spans="1:23" x14ac:dyDescent="0.25">
      <c r="A1119" s="31">
        <v>650</v>
      </c>
      <c r="B1119" s="32" t="s">
        <v>1211</v>
      </c>
      <c r="C1119" s="33" t="s">
        <v>24</v>
      </c>
      <c r="D1119" s="34">
        <v>2001</v>
      </c>
      <c r="E1119" s="34" t="s">
        <v>30</v>
      </c>
      <c r="F1119" s="6">
        <v>8</v>
      </c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35">
        <f>SUM(F1119:R1119)</f>
        <v>8</v>
      </c>
      <c r="T1119" s="35">
        <f>COUNT(F1119:R1119)</f>
        <v>1</v>
      </c>
      <c r="U1119" s="36">
        <f>IF(T1119&gt;=2,ROUND((IF(T1119=2,0.55,IF(T1119&lt;=4,0.7,IF(T1119&lt;=6,0.8,IF(T1119&lt;=9,0.9,1))))*(S1119/T1119)+(1-(IF(T1119=2,0.55,IF(T1119&lt;=4,0.7,IF(T1119&lt;=6,0.8,IF(T1119&lt;=9,0.9,1))))))*$Y$1),1),"")</f>
      </c>
      <c r="V1119" s="37">
        <v>6.4</v>
      </c>
      <c r="W1119" s="38"/>
    </row>
    <row r="1120" ht="24" customHeight="1" spans="1:23" x14ac:dyDescent="0.25">
      <c r="A1120" s="46">
        <v>1251</v>
      </c>
      <c r="B1120" s="32" t="s">
        <v>1212</v>
      </c>
      <c r="C1120" s="33" t="s">
        <v>24</v>
      </c>
      <c r="D1120" s="34">
        <v>2021</v>
      </c>
      <c r="E1120" s="34" t="s">
        <v>48</v>
      </c>
      <c r="F1120" s="6"/>
      <c r="G1120" s="6">
        <v>7</v>
      </c>
      <c r="H1120" s="6"/>
      <c r="I1120" s="6"/>
      <c r="J1120" s="6"/>
      <c r="K1120" s="6"/>
      <c r="L1120" s="6"/>
      <c r="M1120" s="6"/>
      <c r="N1120" s="6"/>
      <c r="O1120" s="6">
        <v>6</v>
      </c>
      <c r="P1120" s="6">
        <v>7</v>
      </c>
      <c r="Q1120" s="6"/>
      <c r="R1120" s="6"/>
      <c r="S1120" s="35">
        <f>SUM(F1120:R1120)</f>
        <v>20</v>
      </c>
      <c r="T1120" s="35">
        <f>COUNT(F1120:R1120)</f>
        <v>3</v>
      </c>
      <c r="U1120" s="36">
        <f>IF(T1120&gt;=2,ROUND((IF(T1120=2,0.55,IF(T1120&lt;=4,0.7,IF(T1120&lt;=6,0.8,IF(T1120&lt;=9,0.9,1))))*(S1120/T1120)+(1-(IF(T1120=2,0.55,IF(T1120&lt;=4,0.7,IF(T1120&lt;=6,0.8,IF(T1120&lt;=9,0.9,1))))))*$Y$1),1),"")</f>
        <v>7.1</v>
      </c>
      <c r="V1120" s="37">
        <v>7.1</v>
      </c>
      <c r="W1120" s="38"/>
    </row>
    <row r="1121" ht="24" customHeight="1" spans="1:23" s="39" customFormat="1" x14ac:dyDescent="0.25">
      <c r="A1121" s="40">
        <v>2302</v>
      </c>
      <c r="B1121" s="32" t="s">
        <v>1213</v>
      </c>
      <c r="C1121" s="33" t="s">
        <v>24</v>
      </c>
      <c r="D1121" s="34">
        <v>2014</v>
      </c>
      <c r="E1121" s="41"/>
      <c r="F1121" s="6"/>
      <c r="G1121" s="6">
        <v>8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35">
        <f>SUM(F1121:R1121)</f>
        <v>8</v>
      </c>
      <c r="T1121" s="35">
        <f>COUNT(F1121:R1121)</f>
        <v>1</v>
      </c>
      <c r="U1121" s="36">
        <f>IF(T1121&gt;=2,ROUND((IF(T1121=2,0.55,IF(T1121&lt;=4,0.7,IF(T1121&lt;=6,0.8,IF(T1121&lt;=9,0.9,1))))*(S1121/T1121)+(1-(IF(T1121=2,0.55,IF(T1121&lt;=4,0.7,IF(T1121&lt;=6,0.8,IF(T1121&lt;=9,0.9,1))))))*$Y$1),1),"")</f>
      </c>
      <c r="V1121" s="37">
        <v>7.6</v>
      </c>
      <c r="W1121" s="38"/>
    </row>
    <row r="1122" ht="24" customHeight="1" spans="1:23" x14ac:dyDescent="0.25">
      <c r="A1122" s="31">
        <v>2492</v>
      </c>
      <c r="B1122" s="32" t="s">
        <v>1214</v>
      </c>
      <c r="C1122" s="33" t="s">
        <v>29</v>
      </c>
      <c r="D1122" s="34">
        <v>2026</v>
      </c>
      <c r="E1122" s="41"/>
      <c r="F1122" s="6">
        <v>8</v>
      </c>
      <c r="G1122" s="6"/>
      <c r="H1122" s="6"/>
      <c r="I1122" s="6"/>
      <c r="J1122" s="6"/>
      <c r="K1122" s="6"/>
      <c r="L1122" s="6">
        <v>6</v>
      </c>
      <c r="M1122" s="6">
        <v>8</v>
      </c>
      <c r="N1122" s="6"/>
      <c r="O1122" s="6">
        <v>9</v>
      </c>
      <c r="P1122" s="6"/>
      <c r="Q1122" s="6"/>
      <c r="R1122" s="6"/>
      <c r="S1122" s="35">
        <f>SUM(F1122:R1122)</f>
        <v>31</v>
      </c>
      <c r="T1122" s="35">
        <f>COUNT(F1122:R1122)</f>
        <v>4</v>
      </c>
      <c r="U1122" s="36">
        <f>IF(T1122&gt;=2,ROUND((IF(T1122=2,0.55,IF(T1122&lt;=4,0.7,IF(T1122&lt;=6,0.8,IF(T1122&lt;=9,0.9,1))))*(S1122/T1122)+(1-(IF(T1122=2,0.55,IF(T1122&lt;=4,0.7,IF(T1122&lt;=6,0.8,IF(T1122&lt;=9,0.9,1))))))*$Y$1),1),"")</f>
        <v>7.9</v>
      </c>
      <c r="V1122" s="37">
        <v>6.7</v>
      </c>
      <c r="W1122" s="38"/>
    </row>
    <row r="1123" ht="24" customHeight="1" spans="1:23" x14ac:dyDescent="0.25">
      <c r="A1123" s="31">
        <v>1845</v>
      </c>
      <c r="B1123" s="32" t="s">
        <v>1215</v>
      </c>
      <c r="C1123" s="33" t="s">
        <v>24</v>
      </c>
      <c r="D1123" s="34">
        <v>2020</v>
      </c>
      <c r="E1123" s="34" t="s">
        <v>25</v>
      </c>
      <c r="F1123" s="6"/>
      <c r="G1123" s="6">
        <v>7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35">
        <f>SUM(F1123:R1123)</f>
        <v>7</v>
      </c>
      <c r="T1123" s="35">
        <f>COUNT(F1123:R1123)</f>
        <v>1</v>
      </c>
      <c r="U1123" s="36">
        <f>IF(T1123&gt;=2,ROUND((IF(T1123=2,0.55,IF(T1123&lt;=4,0.7,IF(T1123&lt;=6,0.8,IF(T1123&lt;=9,0.9,1))))*(S1123/T1123)+(1-(IF(T1123=2,0.55,IF(T1123&lt;=4,0.7,IF(T1123&lt;=6,0.8,IF(T1123&lt;=9,0.9,1))))))*$Y$1),1),"")</f>
      </c>
      <c r="V1123" s="37">
        <v>6.1</v>
      </c>
      <c r="W1123" s="38"/>
    </row>
    <row r="1124" ht="24" customHeight="1" spans="1:23" x14ac:dyDescent="0.25">
      <c r="A1124" s="31">
        <v>74</v>
      </c>
      <c r="B1124" s="32" t="s">
        <v>1216</v>
      </c>
      <c r="C1124" s="33" t="s">
        <v>24</v>
      </c>
      <c r="D1124" s="34">
        <v>1994</v>
      </c>
      <c r="E1124" s="34" t="s">
        <v>30</v>
      </c>
      <c r="F1124" s="6">
        <v>8</v>
      </c>
      <c r="G1124" s="6">
        <v>8</v>
      </c>
      <c r="H1124" s="6">
        <v>10</v>
      </c>
      <c r="I1124" s="6">
        <v>10</v>
      </c>
      <c r="J1124" s="6">
        <v>10</v>
      </c>
      <c r="K1124" s="6">
        <v>8</v>
      </c>
      <c r="L1124" s="6">
        <v>10</v>
      </c>
      <c r="M1124" s="6">
        <v>10</v>
      </c>
      <c r="N1124" s="6">
        <v>10</v>
      </c>
      <c r="O1124" s="6">
        <v>9</v>
      </c>
      <c r="P1124" s="6">
        <v>8</v>
      </c>
      <c r="Q1124" s="6">
        <v>8</v>
      </c>
      <c r="R1124" s="6">
        <v>10</v>
      </c>
      <c r="S1124" s="35">
        <f>SUM(F1124:R1124)</f>
        <v>119</v>
      </c>
      <c r="T1124" s="35">
        <f>COUNT(F1124:R1124)</f>
        <v>13</v>
      </c>
      <c r="U1124" s="36">
        <f>IF(T1124&gt;=2,ROUND((IF(T1124=2,0.55,IF(T1124&lt;=4,0.7,IF(T1124&lt;=6,0.8,IF(T1124&lt;=9,0.9,1))))*(S1124/T1124)+(1-(IF(T1124=2,0.55,IF(T1124&lt;=4,0.7,IF(T1124&lt;=6,0.8,IF(T1124&lt;=9,0.9,1))))))*$Y$1),1),"")</f>
        <v>9.2</v>
      </c>
      <c r="V1124" s="37">
        <v>7.5</v>
      </c>
      <c r="W1124" s="38"/>
    </row>
    <row r="1125" ht="24" customHeight="1" spans="1:23" x14ac:dyDescent="0.25">
      <c r="A1125" s="31">
        <v>550</v>
      </c>
      <c r="B1125" s="32" t="s">
        <v>1217</v>
      </c>
      <c r="C1125" s="33" t="s">
        <v>24</v>
      </c>
      <c r="D1125" s="34">
        <v>2008</v>
      </c>
      <c r="E1125" s="34" t="s">
        <v>25</v>
      </c>
      <c r="F1125" s="6"/>
      <c r="G1125" s="6">
        <v>8</v>
      </c>
      <c r="H1125" s="6"/>
      <c r="I1125" s="6"/>
      <c r="J1125" s="6"/>
      <c r="K1125" s="6"/>
      <c r="L1125" s="6"/>
      <c r="M1125" s="6"/>
      <c r="N1125" s="6"/>
      <c r="O1125" s="6"/>
      <c r="P1125" s="6">
        <v>8</v>
      </c>
      <c r="Q1125" s="6"/>
      <c r="R1125" s="6"/>
      <c r="S1125" s="35">
        <f>SUM(F1125:R1125)</f>
        <v>16</v>
      </c>
      <c r="T1125" s="35">
        <f>COUNT(F1125:R1125)</f>
        <v>2</v>
      </c>
      <c r="U1125" s="36">
        <f>IF(T1125&gt;=2,ROUND((IF(T1125=2,0.55,IF(T1125&lt;=4,0.7,IF(T1125&lt;=6,0.8,IF(T1125&lt;=9,0.9,1))))*(S1125/T1125)+(1-(IF(T1125=2,0.55,IF(T1125&lt;=4,0.7,IF(T1125&lt;=6,0.8,IF(T1125&lt;=9,0.9,1))))))*$Y$1),1),"")</f>
        <v>8</v>
      </c>
      <c r="V1125" s="37">
        <v>7.3</v>
      </c>
      <c r="W1125" s="38"/>
    </row>
    <row r="1126" ht="24" customHeight="1" spans="1:23" x14ac:dyDescent="0.25">
      <c r="A1126" s="31">
        <v>835</v>
      </c>
      <c r="B1126" s="32" t="s">
        <v>1218</v>
      </c>
      <c r="C1126" s="33" t="s">
        <v>24</v>
      </c>
      <c r="D1126" s="34">
        <v>2010</v>
      </c>
      <c r="E1126" s="34" t="s">
        <v>27</v>
      </c>
      <c r="F1126" s="6">
        <v>8</v>
      </c>
      <c r="G1126" s="6"/>
      <c r="H1126" s="6">
        <v>8</v>
      </c>
      <c r="I1126" s="6">
        <v>8</v>
      </c>
      <c r="J1126" s="6">
        <v>8</v>
      </c>
      <c r="K1126" s="6">
        <v>8</v>
      </c>
      <c r="L1126" s="6">
        <v>6</v>
      </c>
      <c r="M1126" s="6"/>
      <c r="N1126" s="6"/>
      <c r="O1126" s="6">
        <v>6</v>
      </c>
      <c r="P1126" s="6"/>
      <c r="Q1126" s="6">
        <v>8</v>
      </c>
      <c r="R1126" s="6">
        <v>6</v>
      </c>
      <c r="S1126" s="35">
        <f>SUM(F1126:R1126)</f>
        <v>66</v>
      </c>
      <c r="T1126" s="35">
        <f>COUNT(F1126:R1126)</f>
        <v>9</v>
      </c>
      <c r="U1126" s="36">
        <f>IF(T1126&gt;=2,ROUND((IF(T1126=2,0.55,IF(T1126&lt;=4,0.7,IF(T1126&lt;=6,0.8,IF(T1126&lt;=9,0.9,1))))*(S1126/T1126)+(1-(IF(T1126=2,0.55,IF(T1126&lt;=4,0.7,IF(T1126&lt;=6,0.8,IF(T1126&lt;=9,0.9,1))))))*$Y$1),1),"")</f>
        <v>7.4</v>
      </c>
      <c r="V1126" s="37">
        <v>7.1</v>
      </c>
      <c r="W1126" s="38"/>
    </row>
    <row r="1127" ht="24" customHeight="1" spans="1:23" x14ac:dyDescent="0.25">
      <c r="A1127" s="31">
        <v>1676</v>
      </c>
      <c r="B1127" s="32" t="s">
        <v>1219</v>
      </c>
      <c r="C1127" s="33" t="s">
        <v>24</v>
      </c>
      <c r="D1127" s="34">
        <v>2012</v>
      </c>
      <c r="E1127" s="34" t="s">
        <v>27</v>
      </c>
      <c r="F1127" s="6">
        <v>8</v>
      </c>
      <c r="G1127" s="6">
        <v>9</v>
      </c>
      <c r="H1127" s="6">
        <v>8</v>
      </c>
      <c r="I1127" s="6">
        <v>8</v>
      </c>
      <c r="J1127" s="6"/>
      <c r="K1127" s="6">
        <v>8</v>
      </c>
      <c r="L1127" s="6">
        <v>7</v>
      </c>
      <c r="M1127" s="6"/>
      <c r="N1127" s="6"/>
      <c r="O1127" s="6">
        <v>9</v>
      </c>
      <c r="P1127" s="6">
        <v>8</v>
      </c>
      <c r="Q1127" s="6">
        <v>8</v>
      </c>
      <c r="R1127" s="6"/>
      <c r="S1127" s="35">
        <f>SUM(F1127:R1127)</f>
        <v>73</v>
      </c>
      <c r="T1127" s="35">
        <f>COUNT(F1127:R1127)</f>
        <v>9</v>
      </c>
      <c r="U1127" s="36">
        <f>IF(T1127&gt;=2,ROUND((IF(T1127=2,0.55,IF(T1127&lt;=4,0.7,IF(T1127&lt;=6,0.8,IF(T1127&lt;=9,0.9,1))))*(S1127/T1127)+(1-(IF(T1127=2,0.55,IF(T1127&lt;=4,0.7,IF(T1127&lt;=6,0.8,IF(T1127&lt;=9,0.9,1))))))*$Y$1),1),"")</f>
        <v>8.1</v>
      </c>
      <c r="V1127" s="37">
        <v>7.3</v>
      </c>
      <c r="W1127" s="38"/>
    </row>
    <row r="1128" ht="24" customHeight="1" spans="1:23" x14ac:dyDescent="0.25">
      <c r="A1128" s="31">
        <v>1422</v>
      </c>
      <c r="B1128" s="32" t="s">
        <v>1220</v>
      </c>
      <c r="C1128" s="33" t="s">
        <v>24</v>
      </c>
      <c r="D1128" s="34">
        <v>2016</v>
      </c>
      <c r="E1128" s="34" t="s">
        <v>30</v>
      </c>
      <c r="F1128" s="6"/>
      <c r="G1128" s="6"/>
      <c r="H1128" s="6"/>
      <c r="I1128" s="6"/>
      <c r="J1128" s="6"/>
      <c r="K1128" s="6"/>
      <c r="L1128" s="6"/>
      <c r="M1128" s="6"/>
      <c r="N1128" s="6">
        <v>6</v>
      </c>
      <c r="O1128" s="6"/>
      <c r="P1128" s="6"/>
      <c r="Q1128" s="6"/>
      <c r="R1128" s="6"/>
      <c r="S1128" s="35">
        <f>SUM(F1128:R1128)</f>
        <v>6</v>
      </c>
      <c r="T1128" s="35">
        <f>COUNT(F1128:R1128)</f>
        <v>1</v>
      </c>
      <c r="U1128" s="36">
        <f>IF(T1128&gt;=2,ROUND((IF(T1128=2,0.55,IF(T1128&lt;=4,0.7,IF(T1128&lt;=6,0.8,IF(T1128&lt;=9,0.9,1))))*(S1128/T1128)+(1-(IF(T1128=2,0.55,IF(T1128&lt;=4,0.7,IF(T1128&lt;=6,0.8,IF(T1128&lt;=9,0.9,1))))))*$Y$1),1),"")</f>
      </c>
      <c r="V1128" s="37">
        <v>6.6</v>
      </c>
      <c r="W1128" s="38"/>
    </row>
    <row r="1129" ht="24" customHeight="1" spans="1:23" x14ac:dyDescent="0.25">
      <c r="A1129" s="31">
        <v>506</v>
      </c>
      <c r="B1129" s="32" t="s">
        <v>1221</v>
      </c>
      <c r="C1129" s="33" t="s">
        <v>24</v>
      </c>
      <c r="D1129" s="34">
        <v>1962</v>
      </c>
      <c r="E1129" s="34" t="s">
        <v>52</v>
      </c>
      <c r="F1129" s="6"/>
      <c r="G1129" s="6">
        <v>8</v>
      </c>
      <c r="H1129" s="6"/>
      <c r="I1129" s="6">
        <v>8</v>
      </c>
      <c r="J1129" s="6"/>
      <c r="K1129" s="6">
        <v>8</v>
      </c>
      <c r="L1129" s="6"/>
      <c r="M1129" s="6">
        <v>8</v>
      </c>
      <c r="N1129" s="6">
        <v>8</v>
      </c>
      <c r="O1129" s="6"/>
      <c r="P1129" s="6">
        <v>8</v>
      </c>
      <c r="Q1129" s="6">
        <v>8</v>
      </c>
      <c r="R1129" s="6"/>
      <c r="S1129" s="35">
        <f>SUM(F1129:R1129)</f>
        <v>56</v>
      </c>
      <c r="T1129" s="35">
        <f>COUNT(F1129:R1129)</f>
        <v>7</v>
      </c>
      <c r="U1129" s="36">
        <f>IF(T1129&gt;=2,ROUND((IF(T1129=2,0.55,IF(T1129&lt;=4,0.7,IF(T1129&lt;=6,0.8,IF(T1129&lt;=9,0.9,1))))*(S1129/T1129)+(1-(IF(T1129=2,0.55,IF(T1129&lt;=4,0.7,IF(T1129&lt;=6,0.8,IF(T1129&lt;=9,0.9,1))))))*$Y$1),1),"")</f>
        <v>8</v>
      </c>
      <c r="V1129" s="37">
        <v>8.3</v>
      </c>
      <c r="W1129" s="38"/>
    </row>
    <row r="1130" ht="24" customHeight="1" spans="1:23" x14ac:dyDescent="0.25">
      <c r="A1130" s="31">
        <v>1626</v>
      </c>
      <c r="B1130" s="32" t="s">
        <v>1222</v>
      </c>
      <c r="C1130" s="33" t="s">
        <v>29</v>
      </c>
      <c r="D1130" s="34">
        <v>2022</v>
      </c>
      <c r="E1130" s="34" t="s">
        <v>30</v>
      </c>
      <c r="F1130" s="6"/>
      <c r="G1130" s="6"/>
      <c r="H1130" s="6">
        <v>8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35">
        <f>SUM(F1130:R1130)</f>
        <v>8</v>
      </c>
      <c r="T1130" s="35">
        <f>COUNT(F1130:R1130)</f>
        <v>1</v>
      </c>
      <c r="U1130" s="36">
        <f>IF(T1130&gt;=2,ROUND((IF(T1130=2,0.55,IF(T1130&lt;=4,0.7,IF(T1130&lt;=6,0.8,IF(T1130&lt;=9,0.9,1))))*(S1130/T1130)+(1-(IF(T1130=2,0.55,IF(T1130&lt;=4,0.7,IF(T1130&lt;=6,0.8,IF(T1130&lt;=9,0.9,1))))))*$Y$1),1),"")</f>
      </c>
      <c r="V1130" s="37">
        <v>6.9</v>
      </c>
      <c r="W1130" s="38"/>
    </row>
    <row r="1131" ht="24" customHeight="1" spans="1:23" x14ac:dyDescent="0.25">
      <c r="A1131" s="40">
        <v>2290</v>
      </c>
      <c r="B1131" s="32" t="s">
        <v>1223</v>
      </c>
      <c r="C1131" s="33" t="s">
        <v>24</v>
      </c>
      <c r="D1131" s="34">
        <v>2012</v>
      </c>
      <c r="E1131" s="41"/>
      <c r="F1131" s="6"/>
      <c r="G1131" s="6">
        <v>8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35">
        <f>SUM(F1131:R1131)</f>
        <v>8</v>
      </c>
      <c r="T1131" s="35">
        <f>COUNT(F1131:R1131)</f>
        <v>1</v>
      </c>
      <c r="U1131" s="36">
        <f>IF(T1131&gt;=2,ROUND((IF(T1131=2,0.55,IF(T1131&lt;=4,0.7,IF(T1131&lt;=6,0.8,IF(T1131&lt;=9,0.9,1))))*(S1131/T1131)+(1-(IF(T1131=2,0.55,IF(T1131&lt;=4,0.7,IF(T1131&lt;=6,0.8,IF(T1131&lt;=9,0.9,1))))))*$Y$1),1),"")</f>
      </c>
      <c r="V1131" s="37">
        <v>6.8</v>
      </c>
      <c r="W1131" s="38"/>
    </row>
    <row r="1132" ht="24" customHeight="1" spans="1:23" x14ac:dyDescent="0.25">
      <c r="A1132" s="31">
        <v>1572</v>
      </c>
      <c r="B1132" s="32" t="s">
        <v>1224</v>
      </c>
      <c r="C1132" s="33" t="s">
        <v>24</v>
      </c>
      <c r="D1132" s="34">
        <v>2014</v>
      </c>
      <c r="E1132" s="34" t="s">
        <v>30</v>
      </c>
      <c r="F1132" s="6"/>
      <c r="G1132" s="6"/>
      <c r="H1132" s="6"/>
      <c r="I1132" s="6"/>
      <c r="J1132" s="6">
        <v>7</v>
      </c>
      <c r="K1132" s="6"/>
      <c r="L1132" s="6"/>
      <c r="M1132" s="6"/>
      <c r="N1132" s="6"/>
      <c r="O1132" s="6">
        <v>7</v>
      </c>
      <c r="P1132" s="6"/>
      <c r="Q1132" s="6"/>
      <c r="R1132" s="6"/>
      <c r="S1132" s="35">
        <f>SUM(F1132:R1132)</f>
        <v>14</v>
      </c>
      <c r="T1132" s="35">
        <f>COUNT(F1132:R1132)</f>
        <v>2</v>
      </c>
      <c r="U1132" s="36">
        <f>IF(T1132&gt;=2,ROUND((IF(T1132=2,0.55,IF(T1132&lt;=4,0.7,IF(T1132&lt;=6,0.8,IF(T1132&lt;=9,0.9,1))))*(S1132/T1132)+(1-(IF(T1132=2,0.55,IF(T1132&lt;=4,0.7,IF(T1132&lt;=6,0.8,IF(T1132&lt;=9,0.9,1))))))*$Y$1),1),"")</f>
        <v>7.5</v>
      </c>
      <c r="V1132" s="37">
        <v>6.9</v>
      </c>
      <c r="W1132" s="38"/>
    </row>
    <row r="1133" ht="24" customHeight="1" spans="1:23" x14ac:dyDescent="0.25">
      <c r="A1133" s="40">
        <v>2270</v>
      </c>
      <c r="B1133" s="32" t="s">
        <v>1225</v>
      </c>
      <c r="C1133" s="33" t="s">
        <v>24</v>
      </c>
      <c r="D1133" s="34">
        <v>2011</v>
      </c>
      <c r="E1133" s="41"/>
      <c r="F1133" s="6"/>
      <c r="G1133" s="6">
        <v>7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35">
        <f>SUM(F1133:R1133)</f>
        <v>7</v>
      </c>
      <c r="T1133" s="35">
        <f>COUNT(F1133:R1133)</f>
        <v>1</v>
      </c>
      <c r="U1133" s="36">
        <f>IF(T1133&gt;=2,ROUND((IF(T1133=2,0.55,IF(T1133&lt;=4,0.7,IF(T1133&lt;=6,0.8,IF(T1133&lt;=9,0.9,1))))*(S1133/T1133)+(1-(IF(T1133=2,0.55,IF(T1133&lt;=4,0.7,IF(T1133&lt;=6,0.8,IF(T1133&lt;=9,0.9,1))))))*$Y$1),1),"")</f>
      </c>
      <c r="V1133" s="37">
        <v>6.7</v>
      </c>
      <c r="W1133" s="38"/>
    </row>
    <row r="1134" ht="24" customHeight="1" spans="1:23" x14ac:dyDescent="0.25">
      <c r="A1134" s="31">
        <v>1878</v>
      </c>
      <c r="B1134" s="32" t="s">
        <v>1226</v>
      </c>
      <c r="C1134" s="33" t="s">
        <v>24</v>
      </c>
      <c r="D1134" s="34">
        <v>2021</v>
      </c>
      <c r="E1134" s="34" t="s">
        <v>30</v>
      </c>
      <c r="F1134" s="6"/>
      <c r="G1134" s="6"/>
      <c r="H1134" s="6"/>
      <c r="I1134" s="6"/>
      <c r="J1134" s="6"/>
      <c r="K1134" s="6">
        <v>8</v>
      </c>
      <c r="L1134" s="6"/>
      <c r="M1134" s="6"/>
      <c r="N1134" s="6"/>
      <c r="O1134" s="6"/>
      <c r="P1134" s="6"/>
      <c r="Q1134" s="6">
        <v>8</v>
      </c>
      <c r="R1134" s="6"/>
      <c r="S1134" s="35">
        <f>SUM(F1134:R1134)</f>
        <v>16</v>
      </c>
      <c r="T1134" s="35">
        <f>COUNT(F1134:R1134)</f>
        <v>2</v>
      </c>
      <c r="U1134" s="36">
        <f>IF(T1134&gt;=2,ROUND((IF(T1134=2,0.55,IF(T1134&lt;=4,0.7,IF(T1134&lt;=6,0.8,IF(T1134&lt;=9,0.9,1))))*(S1134/T1134)+(1-(IF(T1134=2,0.55,IF(T1134&lt;=4,0.7,IF(T1134&lt;=6,0.8,IF(T1134&lt;=9,0.9,1))))))*$Y$1),1),"")</f>
        <v>8</v>
      </c>
      <c r="V1134" s="37">
        <v>6.2</v>
      </c>
      <c r="W1134" s="38"/>
    </row>
    <row r="1135" ht="24" customHeight="1" spans="1:23" x14ac:dyDescent="0.25">
      <c r="A1135" s="31">
        <v>888</v>
      </c>
      <c r="B1135" s="32" t="s">
        <v>1227</v>
      </c>
      <c r="C1135" s="33" t="s">
        <v>24</v>
      </c>
      <c r="D1135" s="34">
        <v>1993</v>
      </c>
      <c r="E1135" s="34" t="s">
        <v>30</v>
      </c>
      <c r="F1135" s="6">
        <v>8</v>
      </c>
      <c r="G1135" s="6"/>
      <c r="H1135" s="6">
        <v>8</v>
      </c>
      <c r="I1135" s="6"/>
      <c r="J1135" s="6">
        <v>8</v>
      </c>
      <c r="K1135" s="6">
        <v>8</v>
      </c>
      <c r="L1135" s="6"/>
      <c r="M1135" s="6"/>
      <c r="N1135" s="6"/>
      <c r="O1135" s="6"/>
      <c r="P1135" s="6"/>
      <c r="Q1135" s="6">
        <v>8</v>
      </c>
      <c r="R1135" s="6"/>
      <c r="S1135" s="35">
        <f>SUM(F1135:R1135)</f>
        <v>40</v>
      </c>
      <c r="T1135" s="35">
        <f>COUNT(F1135:R1135)</f>
        <v>5</v>
      </c>
      <c r="U1135" s="36">
        <f>IF(T1135&gt;=2,ROUND((IF(T1135=2,0.55,IF(T1135&lt;=4,0.7,IF(T1135&lt;=6,0.8,IF(T1135&lt;=9,0.9,1))))*(S1135/T1135)+(1-(IF(T1135=2,0.55,IF(T1135&lt;=4,0.7,IF(T1135&lt;=6,0.8,IF(T1135&lt;=9,0.9,1))))))*$Y$1),1),"")</f>
        <v>8</v>
      </c>
      <c r="V1135" s="37">
        <v>7.3</v>
      </c>
      <c r="W1135" s="38"/>
    </row>
    <row r="1136" ht="24" customHeight="1" spans="1:23" x14ac:dyDescent="0.25">
      <c r="A1136" s="31">
        <v>824</v>
      </c>
      <c r="B1136" s="32" t="s">
        <v>1228</v>
      </c>
      <c r="C1136" s="33" t="s">
        <v>24</v>
      </c>
      <c r="D1136" s="34">
        <v>1995</v>
      </c>
      <c r="E1136" s="34" t="s">
        <v>30</v>
      </c>
      <c r="F1136" s="6"/>
      <c r="G1136" s="6"/>
      <c r="H1136" s="6"/>
      <c r="I1136" s="6"/>
      <c r="J1136" s="6"/>
      <c r="K1136" s="6">
        <v>8</v>
      </c>
      <c r="L1136" s="6">
        <v>6</v>
      </c>
      <c r="M1136" s="6"/>
      <c r="N1136" s="6"/>
      <c r="O1136" s="6"/>
      <c r="P1136" s="6"/>
      <c r="Q1136" s="6">
        <v>8</v>
      </c>
      <c r="R1136" s="6"/>
      <c r="S1136" s="35">
        <f>SUM(F1136:R1136)</f>
        <v>22</v>
      </c>
      <c r="T1136" s="35">
        <f>COUNT(F1136:R1136)</f>
        <v>3</v>
      </c>
      <c r="U1136" s="36">
        <f>IF(T1136&gt;=2,ROUND((IF(T1136=2,0.55,IF(T1136&lt;=4,0.7,IF(T1136&lt;=6,0.8,IF(T1136&lt;=9,0.9,1))))*(S1136/T1136)+(1-(IF(T1136=2,0.55,IF(T1136&lt;=4,0.7,IF(T1136&lt;=6,0.8,IF(T1136&lt;=9,0.9,1))))))*$Y$1),1),"")</f>
        <v>7.6</v>
      </c>
      <c r="V1136" s="37">
        <v>6</v>
      </c>
      <c r="W1136" s="38"/>
    </row>
    <row r="1137" ht="24" customHeight="1" spans="1:23" x14ac:dyDescent="0.25">
      <c r="A1137" s="31">
        <v>166</v>
      </c>
      <c r="B1137" s="32" t="s">
        <v>1229</v>
      </c>
      <c r="C1137" s="33" t="s">
        <v>24</v>
      </c>
      <c r="D1137" s="34">
        <v>2017</v>
      </c>
      <c r="E1137" s="34" t="s">
        <v>27</v>
      </c>
      <c r="F1137" s="6"/>
      <c r="G1137" s="6">
        <v>6</v>
      </c>
      <c r="H1137" s="6"/>
      <c r="I1137" s="6"/>
      <c r="J1137" s="6"/>
      <c r="K1137" s="6">
        <v>6</v>
      </c>
      <c r="L1137" s="6">
        <v>6</v>
      </c>
      <c r="M1137" s="6"/>
      <c r="N1137" s="6"/>
      <c r="O1137" s="6"/>
      <c r="P1137" s="6">
        <v>6</v>
      </c>
      <c r="Q1137" s="6">
        <v>6</v>
      </c>
      <c r="R1137" s="6"/>
      <c r="S1137" s="35">
        <f>SUM(F1137:R1137)</f>
        <v>30</v>
      </c>
      <c r="T1137" s="35">
        <f>COUNT(F1137:R1137)</f>
        <v>5</v>
      </c>
      <c r="U1137" s="36">
        <f>IF(T1137&gt;=2,ROUND((IF(T1137=2,0.55,IF(T1137&lt;=4,0.7,IF(T1137&lt;=6,0.8,IF(T1137&lt;=9,0.9,1))))*(S1137/T1137)+(1-(IF(T1137=2,0.55,IF(T1137&lt;=4,0.7,IF(T1137&lt;=6,0.8,IF(T1137&lt;=9,0.9,1))))))*$Y$1),1),"")</f>
        <v>6.4</v>
      </c>
      <c r="V1137" s="37">
        <v>7.4</v>
      </c>
      <c r="W1137" s="38"/>
    </row>
    <row r="1138" ht="24" customHeight="1" spans="1:23" x14ac:dyDescent="0.25">
      <c r="A1138" s="31">
        <v>72</v>
      </c>
      <c r="B1138" s="32" t="s">
        <v>1230</v>
      </c>
      <c r="C1138" s="33" t="s">
        <v>24</v>
      </c>
      <c r="D1138" s="34">
        <v>1998</v>
      </c>
      <c r="E1138" s="34" t="s">
        <v>374</v>
      </c>
      <c r="F1138" s="6"/>
      <c r="G1138" s="6"/>
      <c r="H1138" s="6">
        <v>10</v>
      </c>
      <c r="I1138" s="6"/>
      <c r="J1138" s="6">
        <v>8</v>
      </c>
      <c r="K1138" s="6">
        <v>10</v>
      </c>
      <c r="L1138" s="6">
        <v>8</v>
      </c>
      <c r="M1138" s="6">
        <v>8</v>
      </c>
      <c r="N1138" s="6"/>
      <c r="O1138" s="6">
        <v>10</v>
      </c>
      <c r="P1138" s="6"/>
      <c r="Q1138" s="6">
        <v>10</v>
      </c>
      <c r="R1138" s="6"/>
      <c r="S1138" s="35">
        <f>SUM(F1138:R1138)</f>
        <v>64</v>
      </c>
      <c r="T1138" s="35">
        <f>COUNT(F1138:R1138)</f>
        <v>7</v>
      </c>
      <c r="U1138" s="36">
        <f>IF(T1138&gt;=2,ROUND((IF(T1138=2,0.55,IF(T1138&lt;=4,0.7,IF(T1138&lt;=6,0.8,IF(T1138&lt;=9,0.9,1))))*(S1138/T1138)+(1-(IF(T1138=2,0.55,IF(T1138&lt;=4,0.7,IF(T1138&lt;=6,0.8,IF(T1138&lt;=9,0.9,1))))))*$Y$1),1),"")</f>
        <v>9</v>
      </c>
      <c r="V1138" s="37">
        <v>6.8</v>
      </c>
      <c r="W1138" s="38"/>
    </row>
    <row r="1139" ht="24" customHeight="1" spans="1:23" s="39" customFormat="1" x14ac:dyDescent="0.25">
      <c r="A1139" s="31">
        <v>1635</v>
      </c>
      <c r="B1139" s="32" t="s">
        <v>1231</v>
      </c>
      <c r="C1139" s="33" t="s">
        <v>29</v>
      </c>
      <c r="D1139" s="34">
        <v>2023</v>
      </c>
      <c r="E1139" s="34" t="s">
        <v>30</v>
      </c>
      <c r="F1139" s="6"/>
      <c r="G1139" s="6"/>
      <c r="H1139" s="6">
        <v>8</v>
      </c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35">
        <f>SUM(F1139:R1139)</f>
        <v>8</v>
      </c>
      <c r="T1139" s="35">
        <f>COUNT(F1139:R1139)</f>
        <v>1</v>
      </c>
      <c r="U1139" s="36">
        <f>IF(T1139&gt;=2,ROUND((IF(T1139=2,0.55,IF(T1139&lt;=4,0.7,IF(T1139&lt;=6,0.8,IF(T1139&lt;=9,0.9,1))))*(S1139/T1139)+(1-(IF(T1139=2,0.55,IF(T1139&lt;=4,0.7,IF(T1139&lt;=6,0.8,IF(T1139&lt;=9,0.9,1))))))*$Y$1),1),"")</f>
      </c>
      <c r="V1139" s="37">
        <v>5.9</v>
      </c>
      <c r="W1139" s="38"/>
    </row>
    <row r="1140" ht="24" customHeight="1" spans="1:23" x14ac:dyDescent="0.25">
      <c r="A1140" s="31">
        <v>1314</v>
      </c>
      <c r="B1140" s="32" t="s">
        <v>1232</v>
      </c>
      <c r="C1140" s="33" t="s">
        <v>29</v>
      </c>
      <c r="D1140" s="34">
        <v>2018</v>
      </c>
      <c r="E1140" s="34" t="s">
        <v>30</v>
      </c>
      <c r="F1140" s="6"/>
      <c r="G1140" s="6"/>
      <c r="H1140" s="6"/>
      <c r="I1140" s="6"/>
      <c r="J1140" s="6"/>
      <c r="K1140" s="6"/>
      <c r="L1140" s="6">
        <v>8</v>
      </c>
      <c r="M1140" s="6"/>
      <c r="N1140" s="6">
        <v>7</v>
      </c>
      <c r="O1140" s="6"/>
      <c r="P1140" s="6"/>
      <c r="Q1140" s="6"/>
      <c r="R1140" s="6"/>
      <c r="S1140" s="35">
        <f>SUM(F1140:R1140)</f>
        <v>15</v>
      </c>
      <c r="T1140" s="35">
        <f>COUNT(F1140:R1140)</f>
        <v>2</v>
      </c>
      <c r="U1140" s="36">
        <f>IF(T1140&gt;=2,ROUND((IF(T1140=2,0.55,IF(T1140&lt;=4,0.7,IF(T1140&lt;=6,0.8,IF(T1140&lt;=9,0.9,1))))*(S1140/T1140)+(1-(IF(T1140=2,0.55,IF(T1140&lt;=4,0.7,IF(T1140&lt;=6,0.8,IF(T1140&lt;=9,0.9,1))))))*$Y$1),1),"")</f>
        <v>7.8</v>
      </c>
      <c r="V1140" s="37">
        <v>7</v>
      </c>
      <c r="W1140" s="38"/>
    </row>
    <row r="1141" ht="24" customHeight="1" spans="1:23" x14ac:dyDescent="0.25">
      <c r="A1141" s="31">
        <v>1235</v>
      </c>
      <c r="B1141" s="32" t="s">
        <v>1233</v>
      </c>
      <c r="C1141" s="33" t="s">
        <v>24</v>
      </c>
      <c r="D1141" s="34">
        <v>2019</v>
      </c>
      <c r="E1141" s="34" t="s">
        <v>30</v>
      </c>
      <c r="F1141" s="6"/>
      <c r="G1141" s="6"/>
      <c r="H1141" s="6"/>
      <c r="I1141" s="6"/>
      <c r="J1141" s="6">
        <v>8</v>
      </c>
      <c r="K1141" s="6"/>
      <c r="L1141" s="6"/>
      <c r="M1141" s="6"/>
      <c r="N1141" s="6"/>
      <c r="O1141" s="6"/>
      <c r="P1141" s="6"/>
      <c r="Q1141" s="6"/>
      <c r="R1141" s="6"/>
      <c r="S1141" s="35">
        <f>SUM(F1141:R1141)</f>
        <v>8</v>
      </c>
      <c r="T1141" s="35">
        <f>COUNT(F1141:R1141)</f>
        <v>1</v>
      </c>
      <c r="U1141" s="36">
        <f>IF(T1141&gt;=2,ROUND((IF(T1141=2,0.55,IF(T1141&lt;=4,0.7,IF(T1141&lt;=6,0.8,IF(T1141&lt;=9,0.9,1))))*(S1141/T1141)+(1-(IF(T1141=2,0.55,IF(T1141&lt;=4,0.7,IF(T1141&lt;=6,0.8,IF(T1141&lt;=9,0.9,1))))))*$Y$1),1),"")</f>
      </c>
      <c r="V1141" s="37">
        <v>7.2</v>
      </c>
      <c r="W1141" s="38"/>
    </row>
    <row r="1142" ht="24" customHeight="1" spans="1:23" x14ac:dyDescent="0.25">
      <c r="A1142" s="31">
        <v>161</v>
      </c>
      <c r="B1142" s="32" t="s">
        <v>1234</v>
      </c>
      <c r="C1142" s="33" t="s">
        <v>24</v>
      </c>
      <c r="D1142" s="34">
        <v>2019</v>
      </c>
      <c r="E1142" s="34" t="s">
        <v>30</v>
      </c>
      <c r="F1142" s="6"/>
      <c r="G1142" s="6"/>
      <c r="H1142" s="6">
        <v>6</v>
      </c>
      <c r="I1142" s="6"/>
      <c r="J1142" s="6">
        <v>8</v>
      </c>
      <c r="K1142" s="6">
        <v>10</v>
      </c>
      <c r="L1142" s="6"/>
      <c r="M1142" s="6">
        <v>6</v>
      </c>
      <c r="N1142" s="6">
        <v>6</v>
      </c>
      <c r="O1142" s="6"/>
      <c r="P1142" s="6"/>
      <c r="Q1142" s="6">
        <v>10</v>
      </c>
      <c r="R1142" s="6"/>
      <c r="S1142" s="35">
        <f>SUM(F1142:R1142)</f>
        <v>46</v>
      </c>
      <c r="T1142" s="35">
        <f>COUNT(F1142:R1142)</f>
        <v>6</v>
      </c>
      <c r="U1142" s="36">
        <f>IF(T1142&gt;=2,ROUND((IF(T1142=2,0.55,IF(T1142&lt;=4,0.7,IF(T1142&lt;=6,0.8,IF(T1142&lt;=9,0.9,1))))*(S1142/T1142)+(1-(IF(T1142=2,0.55,IF(T1142&lt;=4,0.7,IF(T1142&lt;=6,0.8,IF(T1142&lt;=9,0.9,1))))))*$Y$1),1),"")</f>
        <v>7.8</v>
      </c>
      <c r="V1142" s="37">
        <v>6.1</v>
      </c>
      <c r="W1142" s="38"/>
    </row>
    <row r="1143" ht="24" customHeight="1" spans="1:23" x14ac:dyDescent="0.25">
      <c r="A1143" s="31">
        <v>266</v>
      </c>
      <c r="B1143" s="32" t="s">
        <v>1235</v>
      </c>
      <c r="C1143" s="33" t="s">
        <v>24</v>
      </c>
      <c r="D1143" s="34">
        <v>2016</v>
      </c>
      <c r="E1143" s="34" t="s">
        <v>30</v>
      </c>
      <c r="F1143" s="6">
        <v>8</v>
      </c>
      <c r="G1143" s="6">
        <v>9</v>
      </c>
      <c r="H1143" s="6">
        <v>8</v>
      </c>
      <c r="I1143" s="6">
        <v>8</v>
      </c>
      <c r="J1143" s="6">
        <v>8</v>
      </c>
      <c r="K1143" s="6">
        <v>8</v>
      </c>
      <c r="L1143" s="6">
        <v>10</v>
      </c>
      <c r="M1143" s="6">
        <v>8</v>
      </c>
      <c r="N1143" s="6">
        <v>8</v>
      </c>
      <c r="O1143" s="6">
        <v>8</v>
      </c>
      <c r="P1143" s="6">
        <v>8</v>
      </c>
      <c r="Q1143" s="6">
        <v>8</v>
      </c>
      <c r="R1143" s="6"/>
      <c r="S1143" s="35">
        <f>SUM(F1143:R1143)</f>
        <v>99</v>
      </c>
      <c r="T1143" s="35">
        <f>COUNT(F1143:R1143)</f>
        <v>12</v>
      </c>
      <c r="U1143" s="36">
        <f>IF(T1143&gt;=2,ROUND((IF(T1143=2,0.55,IF(T1143&lt;=4,0.7,IF(T1143&lt;=6,0.8,IF(T1143&lt;=9,0.9,1))))*(S1143/T1143)+(1-(IF(T1143=2,0.55,IF(T1143&lt;=4,0.7,IF(T1143&lt;=6,0.8,IF(T1143&lt;=9,0.9,1))))))*$Y$1),1),"")</f>
        <v>8.3</v>
      </c>
      <c r="V1143" s="37">
        <v>8</v>
      </c>
      <c r="W1143" s="38"/>
    </row>
    <row r="1144" ht="24" customHeight="1" spans="1:23" x14ac:dyDescent="0.25">
      <c r="A1144" s="31">
        <v>70</v>
      </c>
      <c r="B1144" s="32" t="s">
        <v>1236</v>
      </c>
      <c r="C1144" s="33" t="s">
        <v>29</v>
      </c>
      <c r="D1144" s="34">
        <v>2017</v>
      </c>
      <c r="E1144" s="34" t="s">
        <v>30</v>
      </c>
      <c r="F1144" s="6">
        <v>8</v>
      </c>
      <c r="G1144" s="6">
        <v>8</v>
      </c>
      <c r="H1144" s="6"/>
      <c r="I1144" s="6"/>
      <c r="J1144" s="6">
        <v>6</v>
      </c>
      <c r="K1144" s="6"/>
      <c r="L1144" s="6">
        <v>10</v>
      </c>
      <c r="M1144" s="6">
        <v>10</v>
      </c>
      <c r="N1144" s="6">
        <v>10</v>
      </c>
      <c r="O1144" s="6"/>
      <c r="P1144" s="6">
        <v>6</v>
      </c>
      <c r="Q1144" s="6"/>
      <c r="R1144" s="6"/>
      <c r="S1144" s="35">
        <f>SUM(F1144:R1144)</f>
        <v>58</v>
      </c>
      <c r="T1144" s="35">
        <f>COUNT(F1144:R1144)</f>
        <v>7</v>
      </c>
      <c r="U1144" s="36">
        <f>IF(T1144&gt;=2,ROUND((IF(T1144=2,0.55,IF(T1144&lt;=4,0.7,IF(T1144&lt;=6,0.8,IF(T1144&lt;=9,0.9,1))))*(S1144/T1144)+(1-(IF(T1144=2,0.55,IF(T1144&lt;=4,0.7,IF(T1144&lt;=6,0.8,IF(T1144&lt;=9,0.9,1))))))*$Y$1),1),"")</f>
        <v>8.3</v>
      </c>
      <c r="V1144" s="37">
        <v>8.2</v>
      </c>
      <c r="W1144" s="38"/>
    </row>
    <row r="1145" ht="24" customHeight="1" spans="1:23" x14ac:dyDescent="0.25">
      <c r="A1145" s="31">
        <v>1731</v>
      </c>
      <c r="B1145" s="32" t="s">
        <v>1237</v>
      </c>
      <c r="C1145" s="33" t="s">
        <v>260</v>
      </c>
      <c r="D1145" s="34">
        <v>2024</v>
      </c>
      <c r="E1145" s="34" t="s">
        <v>30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>
        <v>6</v>
      </c>
      <c r="P1145" s="6"/>
      <c r="Q1145" s="6"/>
      <c r="R1145" s="6"/>
      <c r="S1145" s="35">
        <f>SUM(F1145:R1145)</f>
        <v>6</v>
      </c>
      <c r="T1145" s="35">
        <f>COUNT(F1145:R1145)</f>
        <v>1</v>
      </c>
      <c r="U1145" s="36">
        <f>IF(T1145&gt;=2,ROUND((IF(T1145=2,0.55,IF(T1145&lt;=4,0.7,IF(T1145&lt;=6,0.8,IF(T1145&lt;=9,0.9,1))))*(S1145/T1145)+(1-(IF(T1145=2,0.55,IF(T1145&lt;=4,0.7,IF(T1145&lt;=6,0.8,IF(T1145&lt;=9,0.9,1))))))*$Y$1),1),"")</f>
      </c>
      <c r="V1145" s="37">
        <v>6.2</v>
      </c>
      <c r="W1145" s="38"/>
    </row>
    <row r="1146" ht="24" customHeight="1" spans="1:23" x14ac:dyDescent="0.25">
      <c r="A1146" s="31">
        <v>398</v>
      </c>
      <c r="B1146" s="32" t="s">
        <v>1238</v>
      </c>
      <c r="C1146" s="33" t="s">
        <v>24</v>
      </c>
      <c r="D1146" s="34">
        <v>1979</v>
      </c>
      <c r="E1146" s="34" t="s">
        <v>92</v>
      </c>
      <c r="F1146" s="6">
        <v>10</v>
      </c>
      <c r="G1146" s="6">
        <v>9</v>
      </c>
      <c r="H1146" s="6">
        <v>10</v>
      </c>
      <c r="I1146" s="6">
        <v>8</v>
      </c>
      <c r="J1146" s="6">
        <v>10</v>
      </c>
      <c r="K1146" s="6">
        <v>8</v>
      </c>
      <c r="L1146" s="6">
        <v>8</v>
      </c>
      <c r="M1146" s="6">
        <v>10</v>
      </c>
      <c r="N1146" s="6">
        <v>10</v>
      </c>
      <c r="O1146" s="6"/>
      <c r="P1146" s="6">
        <v>10</v>
      </c>
      <c r="Q1146" s="6">
        <v>8</v>
      </c>
      <c r="R1146" s="6">
        <v>8</v>
      </c>
      <c r="S1146" s="35">
        <f>SUM(F1146:R1146)</f>
        <v>109</v>
      </c>
      <c r="T1146" s="35">
        <f>COUNT(F1146:R1146)</f>
        <v>12</v>
      </c>
      <c r="U1146" s="36">
        <f>IF(T1146&gt;=2,ROUND((IF(T1146=2,0.55,IF(T1146&lt;=4,0.7,IF(T1146&lt;=6,0.8,IF(T1146&lt;=9,0.9,1))))*(S1146/T1146)+(1-(IF(T1146=2,0.55,IF(T1146&lt;=4,0.7,IF(T1146&lt;=6,0.8,IF(T1146&lt;=9,0.9,1))))))*$Y$1),1),"")</f>
        <v>9.1</v>
      </c>
      <c r="V1146" s="37">
        <v>7.8</v>
      </c>
      <c r="W1146" s="38"/>
    </row>
    <row r="1147" ht="24" customHeight="1" spans="1:23" x14ac:dyDescent="0.25">
      <c r="A1147" s="40">
        <v>2095</v>
      </c>
      <c r="B1147" s="32" t="s">
        <v>1239</v>
      </c>
      <c r="C1147" s="33" t="s">
        <v>24</v>
      </c>
      <c r="D1147" s="34">
        <v>1996</v>
      </c>
      <c r="E1147" s="41"/>
      <c r="F1147" s="6"/>
      <c r="G1147" s="6">
        <v>6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35">
        <f>SUM(F1147:R1147)</f>
        <v>6</v>
      </c>
      <c r="T1147" s="35">
        <f>COUNT(F1147:R1147)</f>
        <v>1</v>
      </c>
      <c r="U1147" s="36">
        <f>IF(T1147&gt;=2,ROUND((IF(T1147=2,0.55,IF(T1147&lt;=4,0.7,IF(T1147&lt;=6,0.8,IF(T1147&lt;=9,0.9,1))))*(S1147/T1147)+(1-(IF(T1147=2,0.55,IF(T1147&lt;=4,0.7,IF(T1147&lt;=6,0.8,IF(T1147&lt;=9,0.9,1))))))*$Y$1),1),"")</f>
      </c>
      <c r="V1147" s="37">
        <v>7.7</v>
      </c>
      <c r="W1147" s="38"/>
    </row>
    <row r="1148" ht="24" customHeight="1" spans="1:23" x14ac:dyDescent="0.25">
      <c r="A1148" s="31">
        <v>1219</v>
      </c>
      <c r="B1148" s="32" t="s">
        <v>1240</v>
      </c>
      <c r="C1148" s="33" t="s">
        <v>24</v>
      </c>
      <c r="D1148" s="34">
        <v>2021</v>
      </c>
      <c r="E1148" s="34" t="s">
        <v>179</v>
      </c>
      <c r="F1148" s="6">
        <v>8</v>
      </c>
      <c r="G1148" s="6">
        <v>8</v>
      </c>
      <c r="H1148" s="6"/>
      <c r="I1148" s="6">
        <v>10</v>
      </c>
      <c r="J1148" s="6"/>
      <c r="K1148" s="6">
        <v>10</v>
      </c>
      <c r="L1148" s="6">
        <v>8</v>
      </c>
      <c r="M1148" s="6"/>
      <c r="N1148" s="6"/>
      <c r="O1148" s="6"/>
      <c r="P1148" s="6">
        <v>8</v>
      </c>
      <c r="Q1148" s="6">
        <v>10</v>
      </c>
      <c r="R1148" s="6"/>
      <c r="S1148" s="35">
        <f>SUM(F1148:R1148)</f>
        <v>62</v>
      </c>
      <c r="T1148" s="35">
        <f>COUNT(F1148:R1148)</f>
        <v>7</v>
      </c>
      <c r="U1148" s="36">
        <f>IF(T1148&gt;=2,ROUND((IF(T1148=2,0.55,IF(T1148&lt;=4,0.7,IF(T1148&lt;=6,0.8,IF(T1148&lt;=9,0.9,1))))*(S1148/T1148)+(1-(IF(T1148=2,0.55,IF(T1148&lt;=4,0.7,IF(T1148&lt;=6,0.8,IF(T1148&lt;=9,0.9,1))))))*$Y$1),1),"")</f>
        <v>8.8</v>
      </c>
      <c r="V1148" s="37">
        <v>7.5</v>
      </c>
      <c r="W1148" s="38"/>
    </row>
    <row r="1149" ht="24" customHeight="1" spans="1:23" x14ac:dyDescent="0.25">
      <c r="A1149" s="31">
        <v>505</v>
      </c>
      <c r="B1149" s="32" t="s">
        <v>1241</v>
      </c>
      <c r="C1149" s="33" t="s">
        <v>24</v>
      </c>
      <c r="D1149" s="34">
        <v>2004</v>
      </c>
      <c r="E1149" s="34" t="s">
        <v>52</v>
      </c>
      <c r="F1149" s="6"/>
      <c r="G1149" s="6">
        <v>7</v>
      </c>
      <c r="H1149" s="6"/>
      <c r="I1149" s="6"/>
      <c r="J1149" s="6"/>
      <c r="K1149" s="6"/>
      <c r="L1149" s="6"/>
      <c r="M1149" s="6"/>
      <c r="N1149" s="6"/>
      <c r="O1149" s="6"/>
      <c r="P1149" s="6">
        <v>8</v>
      </c>
      <c r="Q1149" s="6"/>
      <c r="R1149" s="6"/>
      <c r="S1149" s="35">
        <f>SUM(F1149:R1149)</f>
        <v>15</v>
      </c>
      <c r="T1149" s="35">
        <f>COUNT(F1149:R1149)</f>
        <v>2</v>
      </c>
      <c r="U1149" s="36">
        <f>IF(T1149&gt;=2,ROUND((IF(T1149=2,0.55,IF(T1149&lt;=4,0.7,IF(T1149&lt;=6,0.8,IF(T1149&lt;=9,0.9,1))))*(S1149/T1149)+(1-(IF(T1149=2,0.55,IF(T1149&lt;=4,0.7,IF(T1149&lt;=6,0.8,IF(T1149&lt;=9,0.9,1))))))*$Y$1),1),"")</f>
        <v>7.8</v>
      </c>
      <c r="V1149" s="37">
        <v>8</v>
      </c>
      <c r="W1149" s="38"/>
    </row>
    <row r="1150" ht="24" customHeight="1" spans="1:23" x14ac:dyDescent="0.25">
      <c r="A1150" s="31">
        <v>585</v>
      </c>
      <c r="B1150" s="32" t="s">
        <v>1242</v>
      </c>
      <c r="C1150" s="33" t="s">
        <v>24</v>
      </c>
      <c r="D1150" s="34">
        <v>2003</v>
      </c>
      <c r="E1150" s="34" t="s">
        <v>92</v>
      </c>
      <c r="F1150" s="6"/>
      <c r="G1150" s="6">
        <v>8</v>
      </c>
      <c r="H1150" s="6"/>
      <c r="I1150" s="6"/>
      <c r="J1150" s="6"/>
      <c r="K1150" s="6"/>
      <c r="L1150" s="6"/>
      <c r="M1150" s="6"/>
      <c r="N1150" s="6"/>
      <c r="O1150" s="6"/>
      <c r="P1150" s="6">
        <v>6</v>
      </c>
      <c r="Q1150" s="6"/>
      <c r="R1150" s="6"/>
      <c r="S1150" s="35">
        <f>SUM(F1150:R1150)</f>
        <v>14</v>
      </c>
      <c r="T1150" s="35">
        <f>COUNT(F1150:R1150)</f>
        <v>2</v>
      </c>
      <c r="U1150" s="36">
        <f>IF(T1150&gt;=2,ROUND((IF(T1150=2,0.55,IF(T1150&lt;=4,0.7,IF(T1150&lt;=6,0.8,IF(T1150&lt;=9,0.9,1))))*(S1150/T1150)+(1-(IF(T1150=2,0.55,IF(T1150&lt;=4,0.7,IF(T1150&lt;=6,0.8,IF(T1150&lt;=9,0.9,1))))))*$Y$1),1),"")</f>
        <v>7.5</v>
      </c>
      <c r="V1150" s="37">
        <v>8.2</v>
      </c>
      <c r="W1150" s="38"/>
    </row>
    <row r="1151" ht="24" customHeight="1" spans="1:23" x14ac:dyDescent="0.25">
      <c r="A1151" s="40">
        <v>2203</v>
      </c>
      <c r="B1151" s="32" t="s">
        <v>1243</v>
      </c>
      <c r="C1151" s="33" t="s">
        <v>24</v>
      </c>
      <c r="D1151" s="34">
        <v>2007</v>
      </c>
      <c r="E1151" s="41"/>
      <c r="F1151" s="6"/>
      <c r="G1151" s="6">
        <v>7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35">
        <f>SUM(F1151:R1151)</f>
        <v>7</v>
      </c>
      <c r="T1151" s="35">
        <f>COUNT(F1151:R1151)</f>
        <v>1</v>
      </c>
      <c r="U1151" s="36">
        <f>IF(T1151&gt;=2,ROUND((IF(T1151=2,0.55,IF(T1151&lt;=4,0.7,IF(T1151&lt;=6,0.8,IF(T1151&lt;=9,0.9,1))))*(S1151/T1151)+(1-(IF(T1151=2,0.55,IF(T1151&lt;=4,0.7,IF(T1151&lt;=6,0.8,IF(T1151&lt;=9,0.9,1))))))*$Y$1),1),"")</f>
      </c>
      <c r="V1151" s="37">
        <v>7</v>
      </c>
      <c r="W1151" s="38"/>
    </row>
    <row r="1152" ht="24" customHeight="1" spans="1:23" x14ac:dyDescent="0.25">
      <c r="A1152" s="40">
        <v>2165</v>
      </c>
      <c r="B1152" s="32" t="s">
        <v>1244</v>
      </c>
      <c r="C1152" s="33" t="s">
        <v>24</v>
      </c>
      <c r="D1152" s="34">
        <v>2005</v>
      </c>
      <c r="E1152" s="41"/>
      <c r="F1152" s="6"/>
      <c r="G1152" s="6">
        <v>7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35">
        <f>SUM(F1152:R1152)</f>
        <v>7</v>
      </c>
      <c r="T1152" s="35">
        <f>COUNT(F1152:R1152)</f>
        <v>1</v>
      </c>
      <c r="U1152" s="36">
        <f>IF(T1152&gt;=2,ROUND((IF(T1152=2,0.55,IF(T1152&lt;=4,0.7,IF(T1152&lt;=6,0.8,IF(T1152&lt;=9,0.9,1))))*(S1152/T1152)+(1-(IF(T1152=2,0.55,IF(T1152&lt;=4,0.7,IF(T1152&lt;=6,0.8,IF(T1152&lt;=9,0.9,1))))))*$Y$1),1),"")</f>
      </c>
      <c r="V1152" s="37">
        <v>7</v>
      </c>
      <c r="W1152" s="38"/>
    </row>
    <row r="1153" ht="24" customHeight="1" spans="1:23" x14ac:dyDescent="0.25">
      <c r="A1153" s="31">
        <v>795</v>
      </c>
      <c r="B1153" s="32" t="s">
        <v>1245</v>
      </c>
      <c r="C1153" s="33" t="s">
        <v>24</v>
      </c>
      <c r="D1153" s="34">
        <v>1993</v>
      </c>
      <c r="E1153" s="34" t="s">
        <v>27</v>
      </c>
      <c r="F1153" s="6"/>
      <c r="G1153" s="6"/>
      <c r="H1153" s="6"/>
      <c r="I1153" s="6"/>
      <c r="J1153" s="6"/>
      <c r="K1153" s="6"/>
      <c r="L1153" s="6">
        <v>8</v>
      </c>
      <c r="M1153" s="6"/>
      <c r="N1153" s="6"/>
      <c r="O1153" s="6"/>
      <c r="P1153" s="6"/>
      <c r="Q1153" s="6"/>
      <c r="R1153" s="6"/>
      <c r="S1153" s="35">
        <f>SUM(F1153:R1153)</f>
        <v>8</v>
      </c>
      <c r="T1153" s="35">
        <f>COUNT(F1153:R1153)</f>
        <v>1</v>
      </c>
      <c r="U1153" s="36">
        <f>IF(T1153&gt;=2,ROUND((IF(T1153=2,0.55,IF(T1153&lt;=4,0.7,IF(T1153&lt;=6,0.8,IF(T1153&lt;=9,0.9,1))))*(S1153/T1153)+(1-(IF(T1153=2,0.55,IF(T1153&lt;=4,0.7,IF(T1153&lt;=6,0.8,IF(T1153&lt;=9,0.9,1))))))*$Y$1),1),"")</f>
      </c>
      <c r="V1153" s="37">
        <v>6.7</v>
      </c>
      <c r="W1153" s="38"/>
    </row>
    <row r="1154" ht="24" customHeight="1" spans="1:23" x14ac:dyDescent="0.25">
      <c r="A1154" s="40">
        <v>2194</v>
      </c>
      <c r="B1154" s="32" t="s">
        <v>1246</v>
      </c>
      <c r="C1154" s="33" t="s">
        <v>24</v>
      </c>
      <c r="D1154" s="34">
        <v>2007</v>
      </c>
      <c r="E1154" s="41"/>
      <c r="F1154" s="6"/>
      <c r="G1154" s="6">
        <v>7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35">
        <f>SUM(F1154:R1154)</f>
        <v>7</v>
      </c>
      <c r="T1154" s="35">
        <f>COUNT(F1154:R1154)</f>
        <v>1</v>
      </c>
      <c r="U1154" s="36">
        <f>IF(T1154&gt;=2,ROUND((IF(T1154=2,0.55,IF(T1154&lt;=4,0.7,IF(T1154&lt;=6,0.8,IF(T1154&lt;=9,0.9,1))))*(S1154/T1154)+(1-(IF(T1154=2,0.55,IF(T1154&lt;=4,0.7,IF(T1154&lt;=6,0.8,IF(T1154&lt;=9,0.9,1))))))*$Y$1),1),"")</f>
      </c>
      <c r="V1154" s="37">
        <v>5.7</v>
      </c>
      <c r="W1154" s="38"/>
    </row>
    <row r="1155" ht="24" customHeight="1" spans="1:23" x14ac:dyDescent="0.25">
      <c r="A1155" s="31">
        <v>310</v>
      </c>
      <c r="B1155" s="32" t="s">
        <v>1247</v>
      </c>
      <c r="C1155" s="33" t="s">
        <v>24</v>
      </c>
      <c r="D1155" s="34">
        <v>1993</v>
      </c>
      <c r="E1155" s="34" t="s">
        <v>30</v>
      </c>
      <c r="F1155" s="6"/>
      <c r="G1155" s="6"/>
      <c r="H1155" s="6"/>
      <c r="I1155" s="6"/>
      <c r="J1155" s="6"/>
      <c r="K1155" s="6">
        <v>6</v>
      </c>
      <c r="L1155" s="6"/>
      <c r="M1155" s="6"/>
      <c r="N1155" s="6">
        <v>6</v>
      </c>
      <c r="O1155" s="6"/>
      <c r="P1155" s="6"/>
      <c r="Q1155" s="6">
        <v>6</v>
      </c>
      <c r="R1155" s="6"/>
      <c r="S1155" s="35">
        <f>SUM(F1155:R1155)</f>
        <v>18</v>
      </c>
      <c r="T1155" s="35">
        <f>COUNT(F1155:R1155)</f>
        <v>3</v>
      </c>
      <c r="U1155" s="36">
        <f>IF(T1155&gt;=2,ROUND((IF(T1155=2,0.55,IF(T1155&lt;=4,0.7,IF(T1155&lt;=6,0.8,IF(T1155&lt;=9,0.9,1))))*(S1155/T1155)+(1-(IF(T1155=2,0.55,IF(T1155&lt;=4,0.7,IF(T1155&lt;=6,0.8,IF(T1155&lt;=9,0.9,1))))))*$Y$1),1),"")</f>
        <v>6.6</v>
      </c>
      <c r="V1155" s="37">
        <v>8.2</v>
      </c>
      <c r="W1155" s="38"/>
    </row>
    <row r="1156" ht="24" customHeight="1" spans="1:23" x14ac:dyDescent="0.25">
      <c r="A1156" s="31">
        <v>1947</v>
      </c>
      <c r="B1156" s="32" t="s">
        <v>1248</v>
      </c>
      <c r="C1156" s="33" t="s">
        <v>24</v>
      </c>
      <c r="D1156" s="34">
        <v>2024</v>
      </c>
      <c r="E1156" s="34" t="s">
        <v>25</v>
      </c>
      <c r="F1156" s="6">
        <v>8</v>
      </c>
      <c r="G1156" s="6">
        <v>8</v>
      </c>
      <c r="H1156" s="6"/>
      <c r="I1156" s="6"/>
      <c r="J1156" s="6">
        <v>8</v>
      </c>
      <c r="K1156" s="6">
        <v>8</v>
      </c>
      <c r="L1156" s="6">
        <v>8</v>
      </c>
      <c r="M1156" s="6"/>
      <c r="N1156" s="6"/>
      <c r="O1156" s="6"/>
      <c r="P1156" s="6">
        <v>8</v>
      </c>
      <c r="Q1156" s="6">
        <v>8</v>
      </c>
      <c r="R1156" s="6"/>
      <c r="S1156" s="35">
        <f>SUM(F1156:R1156)</f>
        <v>56</v>
      </c>
      <c r="T1156" s="35">
        <f>COUNT(F1156:R1156)</f>
        <v>7</v>
      </c>
      <c r="U1156" s="36">
        <f>IF(T1156&gt;=2,ROUND((IF(T1156=2,0.55,IF(T1156&lt;=4,0.7,IF(T1156&lt;=6,0.8,IF(T1156&lt;=9,0.9,1))))*(S1156/T1156)+(1-(IF(T1156=2,0.55,IF(T1156&lt;=4,0.7,IF(T1156&lt;=6,0.8,IF(T1156&lt;=9,0.9,1))))))*$Y$1),1),"")</f>
        <v>8</v>
      </c>
      <c r="V1156" s="37">
        <v>7</v>
      </c>
      <c r="W1156" s="38"/>
    </row>
    <row r="1157" ht="24" customHeight="1" spans="1:23" x14ac:dyDescent="0.25">
      <c r="A1157" s="40">
        <v>2202</v>
      </c>
      <c r="B1157" s="32" t="s">
        <v>1249</v>
      </c>
      <c r="C1157" s="33" t="s">
        <v>24</v>
      </c>
      <c r="D1157" s="34">
        <v>2007</v>
      </c>
      <c r="E1157" s="41"/>
      <c r="F1157" s="6"/>
      <c r="G1157" s="6">
        <v>7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35">
        <f>SUM(F1157:R1157)</f>
        <v>7</v>
      </c>
      <c r="T1157" s="35">
        <f>COUNT(F1157:R1157)</f>
        <v>1</v>
      </c>
      <c r="U1157" s="36">
        <f>IF(T1157&gt;=2,ROUND((IF(T1157=2,0.55,IF(T1157&lt;=4,0.7,IF(T1157&lt;=6,0.8,IF(T1157&lt;=9,0.9,1))))*(S1157/T1157)+(1-(IF(T1157=2,0.55,IF(T1157&lt;=4,0.7,IF(T1157&lt;=6,0.8,IF(T1157&lt;=9,0.9,1))))))*$Y$1),1),"")</f>
      </c>
      <c r="V1157" s="37">
        <v>7.4</v>
      </c>
      <c r="W1157" s="38"/>
    </row>
    <row r="1158" ht="24" customHeight="1" spans="1:23" x14ac:dyDescent="0.25">
      <c r="A1158" s="31">
        <v>1551</v>
      </c>
      <c r="B1158" s="32" t="s">
        <v>1250</v>
      </c>
      <c r="C1158" s="33" t="s">
        <v>24</v>
      </c>
      <c r="D1158" s="34">
        <v>2016</v>
      </c>
      <c r="E1158" s="34" t="s">
        <v>30</v>
      </c>
      <c r="F1158" s="6"/>
      <c r="G1158" s="6"/>
      <c r="H1158" s="6"/>
      <c r="I1158" s="6"/>
      <c r="J1158" s="6">
        <v>7</v>
      </c>
      <c r="K1158" s="6"/>
      <c r="L1158" s="6"/>
      <c r="M1158" s="6"/>
      <c r="N1158" s="6"/>
      <c r="O1158" s="6"/>
      <c r="P1158" s="6"/>
      <c r="Q1158" s="6"/>
      <c r="R1158" s="6"/>
      <c r="S1158" s="35">
        <f>SUM(F1158:R1158)</f>
        <v>7</v>
      </c>
      <c r="T1158" s="35">
        <f>COUNT(F1158:R1158)</f>
        <v>1</v>
      </c>
      <c r="U1158" s="36">
        <f>IF(T1158&gt;=2,ROUND((IF(T1158=2,0.55,IF(T1158&lt;=4,0.7,IF(T1158&lt;=6,0.8,IF(T1158&lt;=9,0.9,1))))*(S1158/T1158)+(1-(IF(T1158=2,0.55,IF(T1158&lt;=4,0.7,IF(T1158&lt;=6,0.8,IF(T1158&lt;=9,0.9,1))))))*$Y$1),1),"")</f>
      </c>
      <c r="V1158" s="37">
        <v>7.1</v>
      </c>
      <c r="W1158" s="38"/>
    </row>
    <row r="1159" ht="24" customHeight="1" spans="1:23" x14ac:dyDescent="0.25">
      <c r="A1159" s="40">
        <v>2244</v>
      </c>
      <c r="B1159" s="32" t="s">
        <v>1251</v>
      </c>
      <c r="C1159" s="33" t="s">
        <v>24</v>
      </c>
      <c r="D1159" s="34">
        <v>2009</v>
      </c>
      <c r="E1159" s="41"/>
      <c r="F1159" s="6"/>
      <c r="G1159" s="6">
        <v>7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35">
        <f>SUM(F1159:R1159)</f>
        <v>7</v>
      </c>
      <c r="T1159" s="35">
        <f>COUNT(F1159:R1159)</f>
        <v>1</v>
      </c>
      <c r="U1159" s="36">
        <f>IF(T1159&gt;=2,ROUND((IF(T1159=2,0.55,IF(T1159&lt;=4,0.7,IF(T1159&lt;=6,0.8,IF(T1159&lt;=9,0.9,1))))*(S1159/T1159)+(1-(IF(T1159=2,0.55,IF(T1159&lt;=4,0.7,IF(T1159&lt;=6,0.8,IF(T1159&lt;=9,0.9,1))))))*$Y$1),1),"")</f>
      </c>
      <c r="V1159" s="37">
        <v>7</v>
      </c>
      <c r="W1159" s="38"/>
    </row>
    <row r="1160" ht="24" customHeight="1" spans="1:23" x14ac:dyDescent="0.25">
      <c r="A1160" s="31">
        <v>173</v>
      </c>
      <c r="B1160" s="32" t="s">
        <v>1252</v>
      </c>
      <c r="C1160" s="33" t="s">
        <v>24</v>
      </c>
      <c r="D1160" s="34">
        <v>2019</v>
      </c>
      <c r="E1160" s="34" t="s">
        <v>33</v>
      </c>
      <c r="F1160" s="6"/>
      <c r="G1160" s="6"/>
      <c r="H1160" s="6"/>
      <c r="I1160" s="6"/>
      <c r="J1160" s="6"/>
      <c r="K1160" s="6"/>
      <c r="L1160" s="6">
        <v>6</v>
      </c>
      <c r="M1160" s="6"/>
      <c r="N1160" s="6"/>
      <c r="O1160" s="6"/>
      <c r="P1160" s="6"/>
      <c r="Q1160" s="6"/>
      <c r="R1160" s="6"/>
      <c r="S1160" s="35">
        <f>SUM(F1160:R1160)</f>
        <v>6</v>
      </c>
      <c r="T1160" s="35">
        <f>COUNT(F1160:R1160)</f>
        <v>1</v>
      </c>
      <c r="U1160" s="36">
        <f>IF(T1160&gt;=2,ROUND((IF(T1160=2,0.55,IF(T1160&lt;=4,0.7,IF(T1160&lt;=6,0.8,IF(T1160&lt;=9,0.9,1))))*(S1160/T1160)+(1-(IF(T1160=2,0.55,IF(T1160&lt;=4,0.7,IF(T1160&lt;=6,0.8,IF(T1160&lt;=9,0.9,1))))))*$Y$1),1),"")</f>
      </c>
      <c r="V1160" s="37">
        <v>6.8</v>
      </c>
      <c r="W1160" s="38"/>
    </row>
    <row r="1161" ht="24" customHeight="1" spans="1:23" s="39" customFormat="1" x14ac:dyDescent="0.25">
      <c r="A1161" s="42">
        <v>977</v>
      </c>
      <c r="B1161" s="32" t="s">
        <v>1253</v>
      </c>
      <c r="C1161" s="43" t="s">
        <v>24</v>
      </c>
      <c r="D1161" s="44">
        <v>2021</v>
      </c>
      <c r="E1161" s="44" t="s">
        <v>48</v>
      </c>
      <c r="F1161" s="6">
        <v>8</v>
      </c>
      <c r="G1161" s="6">
        <v>8</v>
      </c>
      <c r="H1161" s="6">
        <v>8</v>
      </c>
      <c r="I1161" s="6">
        <v>10</v>
      </c>
      <c r="J1161" s="6"/>
      <c r="K1161" s="6">
        <v>8</v>
      </c>
      <c r="L1161" s="6">
        <v>8</v>
      </c>
      <c r="M1161" s="6">
        <v>8</v>
      </c>
      <c r="N1161" s="6">
        <v>8</v>
      </c>
      <c r="O1161" s="6"/>
      <c r="P1161" s="6">
        <v>8</v>
      </c>
      <c r="Q1161" s="6">
        <v>8</v>
      </c>
      <c r="R1161" s="6"/>
      <c r="S1161" s="45">
        <f>SUM(F1161:R1161)</f>
        <v>82</v>
      </c>
      <c r="T1161" s="45">
        <f>COUNT(F1161:R1161)</f>
        <v>10</v>
      </c>
      <c r="U1161" s="36">
        <f>IF(T1161&gt;=2,ROUND((IF(T1161=2,0.55,IF(T1161&lt;=4,0.7,IF(T1161&lt;=6,0.8,IF(T1161&lt;=9,0.9,1))))*(S1161/T1161)+(1-(IF(T1161=2,0.55,IF(T1161&lt;=4,0.7,IF(T1161&lt;=6,0.8,IF(T1161&lt;=9,0.9,1))))))*$Y$1),1),"")</f>
        <v>8.2</v>
      </c>
      <c r="V1161" s="37">
        <v>7.4</v>
      </c>
      <c r="W1161" s="38" t="s">
        <v>44</v>
      </c>
    </row>
    <row r="1162" ht="24" customHeight="1" spans="1:23" x14ac:dyDescent="0.25">
      <c r="A1162" s="31">
        <v>1916</v>
      </c>
      <c r="B1162" s="32" t="s">
        <v>1254</v>
      </c>
      <c r="C1162" s="33" t="s">
        <v>24</v>
      </c>
      <c r="D1162" s="34">
        <v>2024</v>
      </c>
      <c r="E1162" s="34" t="s">
        <v>30</v>
      </c>
      <c r="F1162" s="6"/>
      <c r="G1162" s="6"/>
      <c r="H1162" s="6">
        <v>8</v>
      </c>
      <c r="I1162" s="6"/>
      <c r="J1162" s="6"/>
      <c r="K1162" s="6"/>
      <c r="L1162" s="6">
        <v>7</v>
      </c>
      <c r="M1162" s="6"/>
      <c r="N1162" s="6"/>
      <c r="O1162" s="6">
        <v>7</v>
      </c>
      <c r="P1162" s="6"/>
      <c r="Q1162" s="6"/>
      <c r="R1162" s="6"/>
      <c r="S1162" s="35">
        <f>SUM(F1162:R1162)</f>
        <v>22</v>
      </c>
      <c r="T1162" s="35">
        <f>COUNT(F1162:R1162)</f>
        <v>3</v>
      </c>
      <c r="U1162" s="36">
        <f>IF(T1162&gt;=2,ROUND((IF(T1162=2,0.55,IF(T1162&lt;=4,0.7,IF(T1162&lt;=6,0.8,IF(T1162&lt;=9,0.9,1))))*(S1162/T1162)+(1-(IF(T1162=2,0.55,IF(T1162&lt;=4,0.7,IF(T1162&lt;=6,0.8,IF(T1162&lt;=9,0.9,1))))))*$Y$1),1),"")</f>
        <v>7.6</v>
      </c>
      <c r="V1162" s="37">
        <v>7.1</v>
      </c>
      <c r="W1162" s="38"/>
    </row>
    <row r="1163" ht="24" customHeight="1" spans="1:23" x14ac:dyDescent="0.25">
      <c r="A1163" s="31">
        <v>69</v>
      </c>
      <c r="B1163" s="32" t="s">
        <v>1255</v>
      </c>
      <c r="C1163" s="33" t="s">
        <v>24</v>
      </c>
      <c r="D1163" s="34">
        <v>2019</v>
      </c>
      <c r="E1163" s="34" t="s">
        <v>919</v>
      </c>
      <c r="F1163" s="6"/>
      <c r="G1163" s="6">
        <v>8</v>
      </c>
      <c r="H1163" s="6"/>
      <c r="I1163" s="6">
        <v>10</v>
      </c>
      <c r="J1163" s="6">
        <v>10</v>
      </c>
      <c r="K1163" s="6">
        <v>10</v>
      </c>
      <c r="L1163" s="6">
        <v>8</v>
      </c>
      <c r="M1163" s="6"/>
      <c r="N1163" s="6"/>
      <c r="O1163" s="6"/>
      <c r="P1163" s="6">
        <v>8</v>
      </c>
      <c r="Q1163" s="6">
        <v>10</v>
      </c>
      <c r="R1163" s="6"/>
      <c r="S1163" s="35">
        <f>SUM(F1163:R1163)</f>
        <v>64</v>
      </c>
      <c r="T1163" s="35">
        <f>COUNT(F1163:R1163)</f>
        <v>7</v>
      </c>
      <c r="U1163" s="36">
        <f>IF(T1163&gt;=2,ROUND((IF(T1163=2,0.55,IF(T1163&lt;=4,0.7,IF(T1163&lt;=6,0.8,IF(T1163&lt;=9,0.9,1))))*(S1163/T1163)+(1-(IF(T1163=2,0.55,IF(T1163&lt;=4,0.7,IF(T1163&lt;=6,0.8,IF(T1163&lt;=9,0.9,1))))))*$Y$1),1),"")</f>
        <v>9</v>
      </c>
      <c r="V1163" s="37">
        <v>7.9</v>
      </c>
      <c r="W1163" s="38"/>
    </row>
    <row r="1164" ht="24" customHeight="1" spans="1:23" x14ac:dyDescent="0.25">
      <c r="A1164" s="31">
        <v>930</v>
      </c>
      <c r="B1164" s="32" t="s">
        <v>1256</v>
      </c>
      <c r="C1164" s="33" t="s">
        <v>24</v>
      </c>
      <c r="D1164" s="34">
        <v>2019</v>
      </c>
      <c r="E1164" s="34" t="s">
        <v>30</v>
      </c>
      <c r="F1164" s="6"/>
      <c r="G1164" s="6">
        <v>7</v>
      </c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>
        <v>6</v>
      </c>
      <c r="S1164" s="35">
        <f>SUM(F1164:R1164)</f>
        <v>13</v>
      </c>
      <c r="T1164" s="35">
        <f>COUNT(F1164:R1164)</f>
        <v>2</v>
      </c>
      <c r="U1164" s="36">
        <f>IF(T1164&gt;=2,ROUND((IF(T1164=2,0.55,IF(T1164&lt;=4,0.7,IF(T1164&lt;=6,0.8,IF(T1164&lt;=9,0.9,1))))*(S1164/T1164)+(1-(IF(T1164=2,0.55,IF(T1164&lt;=4,0.7,IF(T1164&lt;=6,0.8,IF(T1164&lt;=9,0.9,1))))))*$Y$1),1),"")</f>
        <v>7.2</v>
      </c>
      <c r="V1164" s="37">
        <v>7.4</v>
      </c>
      <c r="W1164" s="38"/>
    </row>
    <row r="1165" ht="24" customHeight="1" spans="1:23" x14ac:dyDescent="0.25">
      <c r="A1165" s="31">
        <v>1941</v>
      </c>
      <c r="B1165" s="32" t="s">
        <v>1257</v>
      </c>
      <c r="C1165" s="33" t="s">
        <v>24</v>
      </c>
      <c r="D1165" s="34">
        <v>2005</v>
      </c>
      <c r="E1165" s="34" t="s">
        <v>48</v>
      </c>
      <c r="F1165" s="6"/>
      <c r="G1165" s="6">
        <v>6</v>
      </c>
      <c r="H1165" s="6"/>
      <c r="I1165" s="6"/>
      <c r="J1165" s="6">
        <v>8</v>
      </c>
      <c r="K1165" s="6"/>
      <c r="L1165" s="6"/>
      <c r="M1165" s="6"/>
      <c r="N1165" s="6"/>
      <c r="O1165" s="6"/>
      <c r="P1165" s="6"/>
      <c r="Q1165" s="6"/>
      <c r="R1165" s="6"/>
      <c r="S1165" s="35">
        <f>SUM(F1165:R1165)</f>
        <v>14</v>
      </c>
      <c r="T1165" s="35">
        <f>COUNT(F1165:R1165)</f>
        <v>2</v>
      </c>
      <c r="U1165" s="36">
        <f>IF(T1165&gt;=2,ROUND((IF(T1165=2,0.55,IF(T1165&lt;=4,0.7,IF(T1165&lt;=6,0.8,IF(T1165&lt;=9,0.9,1))))*(S1165/T1165)+(1-(IF(T1165=2,0.55,IF(T1165&lt;=4,0.7,IF(T1165&lt;=6,0.8,IF(T1165&lt;=9,0.9,1))))))*$Y$1),1),"")</f>
        <v>7.5</v>
      </c>
      <c r="V1165" s="37">
        <v>7.8</v>
      </c>
      <c r="W1165" s="38"/>
    </row>
    <row r="1166" ht="24" customHeight="1" spans="1:23" x14ac:dyDescent="0.25">
      <c r="A1166" s="31">
        <v>1544</v>
      </c>
      <c r="B1166" s="32" t="s">
        <v>1258</v>
      </c>
      <c r="C1166" s="33" t="s">
        <v>24</v>
      </c>
      <c r="D1166" s="34">
        <v>1998</v>
      </c>
      <c r="E1166" s="34" t="s">
        <v>27</v>
      </c>
      <c r="F1166" s="6"/>
      <c r="G1166" s="6">
        <v>8</v>
      </c>
      <c r="H1166" s="6"/>
      <c r="I1166" s="6"/>
      <c r="J1166" s="6">
        <v>9</v>
      </c>
      <c r="K1166" s="6"/>
      <c r="L1166" s="6"/>
      <c r="M1166" s="6"/>
      <c r="N1166" s="6"/>
      <c r="O1166" s="6"/>
      <c r="P1166" s="6"/>
      <c r="Q1166" s="6"/>
      <c r="R1166" s="6"/>
      <c r="S1166" s="35">
        <f>SUM(F1166:R1166)</f>
        <v>17</v>
      </c>
      <c r="T1166" s="35">
        <f>COUNT(F1166:R1166)</f>
        <v>2</v>
      </c>
      <c r="U1166" s="36">
        <f>IF(T1166&gt;=2,ROUND((IF(T1166=2,0.55,IF(T1166&lt;=4,0.7,IF(T1166&lt;=6,0.8,IF(T1166&lt;=9,0.9,1))))*(S1166/T1166)+(1-(IF(T1166=2,0.55,IF(T1166&lt;=4,0.7,IF(T1166&lt;=6,0.8,IF(T1166&lt;=9,0.9,1))))))*$Y$1),1),"")</f>
        <v>8.3</v>
      </c>
      <c r="V1166" s="37">
        <v>8.1</v>
      </c>
      <c r="W1166" s="38"/>
    </row>
    <row r="1167" ht="24" customHeight="1" spans="1:23" x14ac:dyDescent="0.25">
      <c r="A1167" s="31">
        <v>1670</v>
      </c>
      <c r="B1167" s="32" t="s">
        <v>1259</v>
      </c>
      <c r="C1167" s="33" t="s">
        <v>24</v>
      </c>
      <c r="D1167" s="34">
        <v>2023</v>
      </c>
      <c r="E1167" s="34" t="s">
        <v>30</v>
      </c>
      <c r="F1167" s="6">
        <v>8</v>
      </c>
      <c r="G1167" s="6"/>
      <c r="H1167" s="6"/>
      <c r="I1167" s="6">
        <v>9</v>
      </c>
      <c r="J1167" s="6">
        <v>7</v>
      </c>
      <c r="K1167" s="6">
        <v>7</v>
      </c>
      <c r="L1167" s="6">
        <v>8</v>
      </c>
      <c r="M1167" s="6">
        <v>8</v>
      </c>
      <c r="N1167" s="6"/>
      <c r="O1167" s="6">
        <v>6</v>
      </c>
      <c r="P1167" s="6">
        <v>6</v>
      </c>
      <c r="Q1167" s="6">
        <v>7</v>
      </c>
      <c r="R1167" s="6">
        <v>8</v>
      </c>
      <c r="S1167" s="35">
        <f>SUM(F1167:R1167)</f>
        <v>74</v>
      </c>
      <c r="T1167" s="35">
        <f>COUNT(F1167:R1167)</f>
        <v>10</v>
      </c>
      <c r="U1167" s="36">
        <f>IF(T1167&gt;=2,ROUND((IF(T1167=2,0.55,IF(T1167&lt;=4,0.7,IF(T1167&lt;=6,0.8,IF(T1167&lt;=9,0.9,1))))*(S1167/T1167)+(1-(IF(T1167=2,0.55,IF(T1167&lt;=4,0.7,IF(T1167&lt;=6,0.8,IF(T1167&lt;=9,0.9,1))))))*$Y$1),1),"")</f>
        <v>7.4</v>
      </c>
      <c r="V1167" s="37">
        <v>6.4</v>
      </c>
      <c r="W1167" s="38"/>
    </row>
    <row r="1168" ht="24" customHeight="1" spans="1:23" x14ac:dyDescent="0.25">
      <c r="A1168" s="40">
        <v>2193</v>
      </c>
      <c r="B1168" s="32" t="s">
        <v>1260</v>
      </c>
      <c r="C1168" s="33" t="s">
        <v>24</v>
      </c>
      <c r="D1168" s="34">
        <v>2007</v>
      </c>
      <c r="E1168" s="41"/>
      <c r="F1168" s="6"/>
      <c r="G1168" s="6">
        <v>7</v>
      </c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35">
        <f>SUM(F1168:R1168)</f>
        <v>7</v>
      </c>
      <c r="T1168" s="35">
        <f>COUNT(F1168:R1168)</f>
        <v>1</v>
      </c>
      <c r="U1168" s="36">
        <f>IF(T1168&gt;=2,ROUND((IF(T1168=2,0.55,IF(T1168&lt;=4,0.7,IF(T1168&lt;=6,0.8,IF(T1168&lt;=9,0.9,1))))*(S1168/T1168)+(1-(IF(T1168=2,0.55,IF(T1168&lt;=4,0.7,IF(T1168&lt;=6,0.8,IF(T1168&lt;=9,0.9,1))))))*$Y$1),1),"")</f>
      </c>
      <c r="V1168" s="37">
        <v>8.4</v>
      </c>
      <c r="W1168" s="38"/>
    </row>
    <row r="1169" ht="24" customHeight="1" spans="1:23" x14ac:dyDescent="0.25">
      <c r="A1169" s="31">
        <v>1711</v>
      </c>
      <c r="B1169" s="32" t="s">
        <v>1261</v>
      </c>
      <c r="C1169" s="33" t="s">
        <v>24</v>
      </c>
      <c r="D1169" s="34">
        <v>2013</v>
      </c>
      <c r="E1169" s="34" t="s">
        <v>30</v>
      </c>
      <c r="F1169" s="6"/>
      <c r="G1169" s="6"/>
      <c r="H1169" s="6"/>
      <c r="I1169" s="6"/>
      <c r="J1169" s="6"/>
      <c r="K1169" s="6"/>
      <c r="L1169" s="6"/>
      <c r="M1169" s="6"/>
      <c r="N1169" s="6">
        <v>7</v>
      </c>
      <c r="O1169" s="6"/>
      <c r="P1169" s="6"/>
      <c r="Q1169" s="6"/>
      <c r="R1169" s="6"/>
      <c r="S1169" s="35">
        <f>SUM(F1169:R1169)</f>
        <v>7</v>
      </c>
      <c r="T1169" s="35">
        <f>COUNT(F1169:R1169)</f>
        <v>1</v>
      </c>
      <c r="U1169" s="36">
        <f>IF(T1169&gt;=2,ROUND((IF(T1169=2,0.55,IF(T1169&lt;=4,0.7,IF(T1169&lt;=6,0.8,IF(T1169&lt;=9,0.9,1))))*(S1169/T1169)+(1-(IF(T1169=2,0.55,IF(T1169&lt;=4,0.7,IF(T1169&lt;=6,0.8,IF(T1169&lt;=9,0.9,1))))))*$Y$1),1),"")</f>
      </c>
      <c r="V1169" s="37">
        <v>6.9</v>
      </c>
      <c r="W1169" s="38"/>
    </row>
    <row r="1170" ht="24" customHeight="1" spans="1:23" x14ac:dyDescent="0.25">
      <c r="A1170" s="40">
        <v>2078</v>
      </c>
      <c r="B1170" s="32" t="s">
        <v>1262</v>
      </c>
      <c r="C1170" s="33" t="s">
        <v>24</v>
      </c>
      <c r="D1170" s="34">
        <v>1977</v>
      </c>
      <c r="E1170" s="41"/>
      <c r="F1170" s="6"/>
      <c r="G1170" s="6">
        <v>7</v>
      </c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35">
        <f>SUM(F1170:R1170)</f>
        <v>7</v>
      </c>
      <c r="T1170" s="35">
        <f>COUNT(F1170:R1170)</f>
        <v>1</v>
      </c>
      <c r="U1170" s="36">
        <f>IF(T1170&gt;=2,ROUND((IF(T1170=2,0.55,IF(T1170&lt;=4,0.7,IF(T1170&lt;=6,0.8,IF(T1170&lt;=9,0.9,1))))*(S1170/T1170)+(1-(IF(T1170=2,0.55,IF(T1170&lt;=4,0.7,IF(T1170&lt;=6,0.8,IF(T1170&lt;=9,0.9,1))))))*$Y$1),1),"")</f>
      </c>
      <c r="V1170" s="37">
        <v>8.5</v>
      </c>
      <c r="W1170" s="38"/>
    </row>
    <row r="1171" ht="24" customHeight="1" spans="1:23" x14ac:dyDescent="0.25">
      <c r="A1171" s="42">
        <v>1323</v>
      </c>
      <c r="B1171" s="32" t="s">
        <v>1263</v>
      </c>
      <c r="C1171" s="43" t="s">
        <v>24</v>
      </c>
      <c r="D1171" s="44">
        <v>2021</v>
      </c>
      <c r="E1171" s="44" t="s">
        <v>30</v>
      </c>
      <c r="F1171" s="6">
        <v>8</v>
      </c>
      <c r="G1171" s="6"/>
      <c r="H1171" s="6">
        <v>6</v>
      </c>
      <c r="I1171" s="6">
        <v>8</v>
      </c>
      <c r="J1171" s="6">
        <v>6</v>
      </c>
      <c r="K1171" s="6">
        <v>8</v>
      </c>
      <c r="L1171" s="6">
        <v>8</v>
      </c>
      <c r="M1171" s="6">
        <v>8</v>
      </c>
      <c r="N1171" s="6">
        <v>8</v>
      </c>
      <c r="O1171" s="6">
        <v>8</v>
      </c>
      <c r="P1171" s="6">
        <v>7</v>
      </c>
      <c r="Q1171" s="6">
        <v>8</v>
      </c>
      <c r="R1171" s="6">
        <v>7</v>
      </c>
      <c r="S1171" s="45">
        <f>SUM(F1171:R1171)</f>
        <v>90</v>
      </c>
      <c r="T1171" s="45">
        <f>COUNT(F1171:R1171)</f>
        <v>12</v>
      </c>
      <c r="U1171" s="36">
        <f>IF(T1171&gt;=2,ROUND((IF(T1171=2,0.55,IF(T1171&lt;=4,0.7,IF(T1171&lt;=6,0.8,IF(T1171&lt;=9,0.9,1))))*(S1171/T1171)+(1-(IF(T1171=2,0.55,IF(T1171&lt;=4,0.7,IF(T1171&lt;=6,0.8,IF(T1171&lt;=9,0.9,1))))))*$Y$1),1),"")</f>
        <v>7.5</v>
      </c>
      <c r="V1171" s="37">
        <v>5.6</v>
      </c>
      <c r="W1171" s="38" t="s">
        <v>44</v>
      </c>
    </row>
    <row r="1172" ht="24" customHeight="1" spans="1:23" x14ac:dyDescent="0.25">
      <c r="A1172" s="40">
        <v>2395</v>
      </c>
      <c r="B1172" s="32" t="s">
        <v>1264</v>
      </c>
      <c r="C1172" s="33" t="s">
        <v>24</v>
      </c>
      <c r="D1172" s="34">
        <v>2025</v>
      </c>
      <c r="E1172" s="41"/>
      <c r="F1172" s="6"/>
      <c r="G1172" s="6"/>
      <c r="H1172" s="6"/>
      <c r="I1172" s="6"/>
      <c r="J1172" s="6"/>
      <c r="K1172" s="6"/>
      <c r="L1172" s="6">
        <v>7</v>
      </c>
      <c r="M1172" s="6"/>
      <c r="N1172" s="6"/>
      <c r="O1172" s="6"/>
      <c r="P1172" s="6"/>
      <c r="Q1172" s="6"/>
      <c r="R1172" s="6"/>
      <c r="S1172" s="35">
        <f>SUM(F1172:R1172)</f>
        <v>7</v>
      </c>
      <c r="T1172" s="35">
        <f>COUNT(F1172:R1172)</f>
        <v>1</v>
      </c>
      <c r="U1172" s="36">
        <f>IF(T1172&gt;=2,ROUND((IF(T1172=2,0.55,IF(T1172&lt;=4,0.7,IF(T1172&lt;=6,0.8,IF(T1172&lt;=9,0.9,1))))*(S1172/T1172)+(1-(IF(T1172=2,0.55,IF(T1172&lt;=4,0.7,IF(T1172&lt;=6,0.8,IF(T1172&lt;=9,0.9,1))))))*$Y$1),1),"")</f>
      </c>
      <c r="V1172" s="37">
        <v>6.5</v>
      </c>
      <c r="W1172" s="38"/>
    </row>
    <row r="1173" ht="24" customHeight="1" spans="1:23" x14ac:dyDescent="0.25">
      <c r="A1173" s="31">
        <v>1464</v>
      </c>
      <c r="B1173" s="32" t="s">
        <v>1265</v>
      </c>
      <c r="C1173" s="33" t="s">
        <v>24</v>
      </c>
      <c r="D1173" s="34">
        <v>2011</v>
      </c>
      <c r="E1173" s="34" t="s">
        <v>30</v>
      </c>
      <c r="F1173" s="6"/>
      <c r="G1173" s="6"/>
      <c r="H1173" s="6">
        <v>7</v>
      </c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35">
        <f>SUM(F1173:R1173)</f>
        <v>7</v>
      </c>
      <c r="T1173" s="35">
        <f>COUNT(F1173:R1173)</f>
        <v>1</v>
      </c>
      <c r="U1173" s="36">
        <f>IF(T1173&gt;=2,ROUND((IF(T1173=2,0.55,IF(T1173&lt;=4,0.7,IF(T1173&lt;=6,0.8,IF(T1173&lt;=9,0.9,1))))*(S1173/T1173)+(1-(IF(T1173=2,0.55,IF(T1173&lt;=4,0.7,IF(T1173&lt;=6,0.8,IF(T1173&lt;=9,0.9,1))))))*$Y$1),1),"")</f>
      </c>
      <c r="V1173" s="37">
        <v>7.3</v>
      </c>
      <c r="W1173" s="38"/>
    </row>
    <row r="1174" ht="24" customHeight="1" spans="1:23" x14ac:dyDescent="0.25">
      <c r="A1174" s="31">
        <v>225</v>
      </c>
      <c r="B1174" s="32" t="s">
        <v>1266</v>
      </c>
      <c r="C1174" s="33" t="s">
        <v>24</v>
      </c>
      <c r="D1174" s="34">
        <v>2012</v>
      </c>
      <c r="E1174" s="34" t="s">
        <v>30</v>
      </c>
      <c r="F1174" s="6"/>
      <c r="G1174" s="6"/>
      <c r="H1174" s="6"/>
      <c r="I1174" s="6"/>
      <c r="J1174" s="6">
        <v>8</v>
      </c>
      <c r="K1174" s="6">
        <v>6</v>
      </c>
      <c r="L1174" s="6"/>
      <c r="M1174" s="6"/>
      <c r="N1174" s="6"/>
      <c r="O1174" s="6"/>
      <c r="P1174" s="6"/>
      <c r="Q1174" s="6">
        <v>6</v>
      </c>
      <c r="R1174" s="6"/>
      <c r="S1174" s="35">
        <f>SUM(F1174:R1174)</f>
        <v>20</v>
      </c>
      <c r="T1174" s="35">
        <f>COUNT(F1174:R1174)</f>
        <v>3</v>
      </c>
      <c r="U1174" s="36">
        <f>IF(T1174&gt;=2,ROUND((IF(T1174=2,0.55,IF(T1174&lt;=4,0.7,IF(T1174&lt;=6,0.8,IF(T1174&lt;=9,0.9,1))))*(S1174/T1174)+(1-(IF(T1174=2,0.55,IF(T1174&lt;=4,0.7,IF(T1174&lt;=6,0.8,IF(T1174&lt;=9,0.9,1))))))*$Y$1),1),"")</f>
        <v>7.1</v>
      </c>
      <c r="V1174" s="37">
        <v>7</v>
      </c>
      <c r="W1174" s="38"/>
    </row>
    <row r="1175" ht="24" customHeight="1" spans="1:23" x14ac:dyDescent="0.25">
      <c r="A1175" s="31">
        <v>1824</v>
      </c>
      <c r="B1175" s="32" t="s">
        <v>1267</v>
      </c>
      <c r="C1175" s="33" t="s">
        <v>24</v>
      </c>
      <c r="D1175" s="34">
        <v>2015</v>
      </c>
      <c r="E1175" s="34" t="s">
        <v>30</v>
      </c>
      <c r="F1175" s="6"/>
      <c r="G1175" s="6"/>
      <c r="H1175" s="6"/>
      <c r="I1175" s="6"/>
      <c r="J1175" s="6"/>
      <c r="K1175" s="6">
        <v>8</v>
      </c>
      <c r="L1175" s="6">
        <v>8</v>
      </c>
      <c r="M1175" s="6"/>
      <c r="N1175" s="6"/>
      <c r="O1175" s="6">
        <v>8</v>
      </c>
      <c r="P1175" s="6"/>
      <c r="Q1175" s="6">
        <v>8</v>
      </c>
      <c r="R1175" s="6"/>
      <c r="S1175" s="35">
        <f>SUM(F1175:R1175)</f>
        <v>32</v>
      </c>
      <c r="T1175" s="35">
        <f>COUNT(F1175:R1175)</f>
        <v>4</v>
      </c>
      <c r="U1175" s="36">
        <f>IF(T1175&gt;=2,ROUND((IF(T1175=2,0.55,IF(T1175&lt;=4,0.7,IF(T1175&lt;=6,0.8,IF(T1175&lt;=9,0.9,1))))*(S1175/T1175)+(1-(IF(T1175=2,0.55,IF(T1175&lt;=4,0.7,IF(T1175&lt;=6,0.8,IF(T1175&lt;=9,0.9,1))))))*$Y$1),1),"")</f>
        <v>8</v>
      </c>
      <c r="V1175" s="37">
        <v>6.8</v>
      </c>
      <c r="W1175" s="38"/>
    </row>
    <row r="1176" ht="24" customHeight="1" spans="1:23" x14ac:dyDescent="0.25">
      <c r="A1176" s="31">
        <v>1543</v>
      </c>
      <c r="B1176" s="32" t="s">
        <v>1268</v>
      </c>
      <c r="C1176" s="33" t="s">
        <v>24</v>
      </c>
      <c r="D1176" s="34">
        <v>2022</v>
      </c>
      <c r="E1176" s="34" t="s">
        <v>30</v>
      </c>
      <c r="F1176" s="6"/>
      <c r="G1176" s="6"/>
      <c r="H1176" s="6"/>
      <c r="I1176" s="6"/>
      <c r="J1176" s="6">
        <v>7</v>
      </c>
      <c r="K1176" s="6"/>
      <c r="L1176" s="6"/>
      <c r="M1176" s="6"/>
      <c r="N1176" s="6"/>
      <c r="O1176" s="6">
        <v>6</v>
      </c>
      <c r="P1176" s="6"/>
      <c r="Q1176" s="6"/>
      <c r="R1176" s="6"/>
      <c r="S1176" s="35">
        <f>SUM(F1176:R1176)</f>
        <v>13</v>
      </c>
      <c r="T1176" s="35">
        <f>COUNT(F1176:R1176)</f>
        <v>2</v>
      </c>
      <c r="U1176" s="36">
        <f>IF(T1176&gt;=2,ROUND((IF(T1176=2,0.55,IF(T1176&lt;=4,0.7,IF(T1176&lt;=6,0.8,IF(T1176&lt;=9,0.9,1))))*(S1176/T1176)+(1-(IF(T1176=2,0.55,IF(T1176&lt;=4,0.7,IF(T1176&lt;=6,0.8,IF(T1176&lt;=9,0.9,1))))))*$Y$1),1),"")</f>
        <v>7.2</v>
      </c>
      <c r="V1176" s="37">
        <v>6.6</v>
      </c>
      <c r="W1176" s="38"/>
    </row>
    <row r="1177" ht="24" customHeight="1" spans="1:23" x14ac:dyDescent="0.25">
      <c r="A1177" s="31">
        <v>1305</v>
      </c>
      <c r="B1177" s="32" t="s">
        <v>1269</v>
      </c>
      <c r="C1177" s="33" t="s">
        <v>29</v>
      </c>
      <c r="D1177" s="34">
        <v>2011</v>
      </c>
      <c r="E1177" s="34" t="s">
        <v>27</v>
      </c>
      <c r="F1177" s="6"/>
      <c r="G1177" s="6"/>
      <c r="H1177" s="6"/>
      <c r="I1177" s="6"/>
      <c r="J1177" s="6"/>
      <c r="K1177" s="6">
        <v>8</v>
      </c>
      <c r="L1177" s="6"/>
      <c r="M1177" s="6"/>
      <c r="N1177" s="6"/>
      <c r="O1177" s="6"/>
      <c r="P1177" s="6"/>
      <c r="Q1177" s="6">
        <v>8</v>
      </c>
      <c r="R1177" s="6"/>
      <c r="S1177" s="35">
        <f>SUM(F1177:R1177)</f>
        <v>16</v>
      </c>
      <c r="T1177" s="35">
        <f>COUNT(F1177:R1177)</f>
        <v>2</v>
      </c>
      <c r="U1177" s="36">
        <f>IF(T1177&gt;=2,ROUND((IF(T1177=2,0.55,IF(T1177&lt;=4,0.7,IF(T1177&lt;=6,0.8,IF(T1177&lt;=9,0.9,1))))*(S1177/T1177)+(1-(IF(T1177=2,0.55,IF(T1177&lt;=4,0.7,IF(T1177&lt;=6,0.8,IF(T1177&lt;=9,0.9,1))))))*$Y$1),1),"")</f>
        <v>8</v>
      </c>
      <c r="V1177" s="37">
        <v>8.3</v>
      </c>
      <c r="W1177" s="38"/>
    </row>
    <row r="1178" ht="24" customHeight="1" spans="1:23" x14ac:dyDescent="0.25">
      <c r="A1178" s="31">
        <v>635</v>
      </c>
      <c r="B1178" s="32" t="s">
        <v>1270</v>
      </c>
      <c r="C1178" s="33" t="s">
        <v>24</v>
      </c>
      <c r="D1178" s="34">
        <v>2020</v>
      </c>
      <c r="E1178" s="34" t="s">
        <v>137</v>
      </c>
      <c r="F1178" s="6"/>
      <c r="G1178" s="6"/>
      <c r="H1178" s="6"/>
      <c r="I1178" s="6"/>
      <c r="J1178" s="6">
        <v>8</v>
      </c>
      <c r="K1178" s="6"/>
      <c r="L1178" s="6"/>
      <c r="M1178" s="6"/>
      <c r="N1178" s="6"/>
      <c r="O1178" s="6"/>
      <c r="P1178" s="6"/>
      <c r="Q1178" s="6"/>
      <c r="R1178" s="6"/>
      <c r="S1178" s="35">
        <f>SUM(F1178:R1178)</f>
        <v>8</v>
      </c>
      <c r="T1178" s="35">
        <f>COUNT(F1178:R1178)</f>
        <v>1</v>
      </c>
      <c r="U1178" s="36">
        <f>IF(T1178&gt;=2,ROUND((IF(T1178=2,0.55,IF(T1178&lt;=4,0.7,IF(T1178&lt;=6,0.8,IF(T1178&lt;=9,0.9,1))))*(S1178/T1178)+(1-(IF(T1178=2,0.55,IF(T1178&lt;=4,0.7,IF(T1178&lt;=6,0.8,IF(T1178&lt;=9,0.9,1))))))*$Y$1),1),"")</f>
      </c>
      <c r="V1178" s="37"/>
      <c r="W1178" s="38"/>
    </row>
    <row r="1179" ht="24" customHeight="1" spans="1:23" x14ac:dyDescent="0.25">
      <c r="A1179" s="31">
        <v>2012</v>
      </c>
      <c r="B1179" s="32" t="s">
        <v>1271</v>
      </c>
      <c r="C1179" s="33" t="s">
        <v>29</v>
      </c>
      <c r="D1179" s="34">
        <v>2024</v>
      </c>
      <c r="E1179" s="34"/>
      <c r="F1179" s="6"/>
      <c r="G1179" s="6"/>
      <c r="H1179" s="6"/>
      <c r="I1179" s="6"/>
      <c r="J1179" s="6"/>
      <c r="K1179" s="6"/>
      <c r="L1179" s="6"/>
      <c r="M1179" s="6"/>
      <c r="N1179" s="6">
        <v>8</v>
      </c>
      <c r="O1179" s="6"/>
      <c r="P1179" s="6"/>
      <c r="Q1179" s="6"/>
      <c r="R1179" s="6"/>
      <c r="S1179" s="35">
        <f>SUM(F1179:R1179)</f>
        <v>8</v>
      </c>
      <c r="T1179" s="35">
        <f>COUNT(F1179:R1179)</f>
        <v>1</v>
      </c>
      <c r="U1179" s="36">
        <f>IF(T1179&gt;=2,ROUND((IF(T1179=2,0.55,IF(T1179&lt;=4,0.7,IF(T1179&lt;=6,0.8,IF(T1179&lt;=9,0.9,1))))*(S1179/T1179)+(1-(IF(T1179=2,0.55,IF(T1179&lt;=4,0.7,IF(T1179&lt;=6,0.8,IF(T1179&lt;=9,0.9,1))))))*$Y$1),1),"")</f>
      </c>
      <c r="V1179" s="37">
        <v>6.4</v>
      </c>
      <c r="W1179" s="38"/>
    </row>
    <row r="1180" ht="24" customHeight="1" spans="1:23" x14ac:dyDescent="0.25">
      <c r="A1180" s="31">
        <v>504</v>
      </c>
      <c r="B1180" s="32" t="s">
        <v>1272</v>
      </c>
      <c r="C1180" s="33" t="s">
        <v>24</v>
      </c>
      <c r="D1180" s="34">
        <v>2002</v>
      </c>
      <c r="E1180" s="34" t="s">
        <v>25</v>
      </c>
      <c r="F1180" s="6"/>
      <c r="G1180" s="6">
        <v>8</v>
      </c>
      <c r="H1180" s="6"/>
      <c r="I1180" s="6"/>
      <c r="J1180" s="6"/>
      <c r="K1180" s="6"/>
      <c r="L1180" s="6"/>
      <c r="M1180" s="6"/>
      <c r="N1180" s="6"/>
      <c r="O1180" s="6"/>
      <c r="P1180" s="6">
        <v>8</v>
      </c>
      <c r="Q1180" s="6"/>
      <c r="R1180" s="6"/>
      <c r="S1180" s="35">
        <f>SUM(F1180:R1180)</f>
        <v>16</v>
      </c>
      <c r="T1180" s="35">
        <f>COUNT(F1180:R1180)</f>
        <v>2</v>
      </c>
      <c r="U1180" s="36">
        <f>IF(T1180&gt;=2,ROUND((IF(T1180=2,0.55,IF(T1180&lt;=4,0.7,IF(T1180&lt;=6,0.8,IF(T1180&lt;=9,0.9,1))))*(S1180/T1180)+(1-(IF(T1180=2,0.55,IF(T1180&lt;=4,0.7,IF(T1180&lt;=6,0.8,IF(T1180&lt;=9,0.9,1))))))*$Y$1),1),"")</f>
        <v>8</v>
      </c>
      <c r="V1180" s="37">
        <v>7.4</v>
      </c>
      <c r="W1180" s="38"/>
    </row>
    <row r="1181" ht="24" customHeight="1" spans="1:23" x14ac:dyDescent="0.25">
      <c r="A1181" s="31">
        <v>1943</v>
      </c>
      <c r="B1181" s="32" t="s">
        <v>1273</v>
      </c>
      <c r="C1181" s="33" t="s">
        <v>24</v>
      </c>
      <c r="D1181" s="34">
        <v>2024</v>
      </c>
      <c r="E1181" s="34" t="s">
        <v>30</v>
      </c>
      <c r="F1181" s="6"/>
      <c r="G1181" s="6"/>
      <c r="H1181" s="6"/>
      <c r="I1181" s="6"/>
      <c r="J1181" s="6"/>
      <c r="K1181" s="6"/>
      <c r="L1181" s="6"/>
      <c r="M1181" s="6"/>
      <c r="N1181" s="6"/>
      <c r="O1181" s="6">
        <v>8</v>
      </c>
      <c r="P1181" s="6"/>
      <c r="Q1181" s="6"/>
      <c r="R1181" s="6"/>
      <c r="S1181" s="35">
        <f>SUM(F1181:R1181)</f>
        <v>8</v>
      </c>
      <c r="T1181" s="35">
        <f>COUNT(F1181:R1181)</f>
        <v>1</v>
      </c>
      <c r="U1181" s="36">
        <f>IF(T1181&gt;=2,ROUND((IF(T1181=2,0.55,IF(T1181&lt;=4,0.7,IF(T1181&lt;=6,0.8,IF(T1181&lt;=9,0.9,1))))*(S1181/T1181)+(1-(IF(T1181=2,0.55,IF(T1181&lt;=4,0.7,IF(T1181&lt;=6,0.8,IF(T1181&lt;=9,0.9,1))))))*$Y$1),1),"")</f>
      </c>
      <c r="V1181" s="37">
        <v>7</v>
      </c>
      <c r="W1181" s="38"/>
    </row>
    <row r="1182" ht="24" customHeight="1" spans="1:23" x14ac:dyDescent="0.25">
      <c r="A1182" s="31">
        <v>1243</v>
      </c>
      <c r="B1182" s="32" t="s">
        <v>1274</v>
      </c>
      <c r="C1182" s="33" t="s">
        <v>29</v>
      </c>
      <c r="D1182" s="34">
        <v>2022</v>
      </c>
      <c r="E1182" s="34" t="s">
        <v>30</v>
      </c>
      <c r="F1182" s="6"/>
      <c r="G1182" s="6"/>
      <c r="H1182" s="6">
        <v>7</v>
      </c>
      <c r="I1182" s="6"/>
      <c r="J1182" s="6"/>
      <c r="K1182" s="6">
        <v>6</v>
      </c>
      <c r="L1182" s="6"/>
      <c r="M1182" s="6"/>
      <c r="N1182" s="6">
        <v>8</v>
      </c>
      <c r="O1182" s="6"/>
      <c r="P1182" s="6"/>
      <c r="Q1182" s="6">
        <v>6</v>
      </c>
      <c r="R1182" s="6"/>
      <c r="S1182" s="35">
        <f>SUM(F1182:R1182)</f>
        <v>27</v>
      </c>
      <c r="T1182" s="35">
        <f>COUNT(F1182:R1182)</f>
        <v>4</v>
      </c>
      <c r="U1182" s="36">
        <f>IF(T1182&gt;=2,ROUND((IF(T1182=2,0.55,IF(T1182&lt;=4,0.7,IF(T1182&lt;=6,0.8,IF(T1182&lt;=9,0.9,1))))*(S1182/T1182)+(1-(IF(T1182=2,0.55,IF(T1182&lt;=4,0.7,IF(T1182&lt;=6,0.8,IF(T1182&lt;=9,0.9,1))))))*$Y$1),1),"")</f>
        <v>7.2</v>
      </c>
      <c r="V1182" s="37">
        <v>6.9</v>
      </c>
      <c r="W1182" s="38"/>
    </row>
    <row r="1183" ht="24" customHeight="1" spans="1:23" s="39" customFormat="1" x14ac:dyDescent="0.25">
      <c r="A1183" s="31">
        <v>68</v>
      </c>
      <c r="B1183" s="32" t="s">
        <v>1275</v>
      </c>
      <c r="C1183" s="33" t="s">
        <v>24</v>
      </c>
      <c r="D1183" s="34">
        <v>2014</v>
      </c>
      <c r="E1183" s="34" t="s">
        <v>30</v>
      </c>
      <c r="F1183" s="6"/>
      <c r="G1183" s="6"/>
      <c r="H1183" s="6"/>
      <c r="I1183" s="6">
        <v>6</v>
      </c>
      <c r="J1183" s="6">
        <v>10</v>
      </c>
      <c r="K1183" s="6">
        <v>10</v>
      </c>
      <c r="L1183" s="6">
        <v>6</v>
      </c>
      <c r="M1183" s="6"/>
      <c r="N1183" s="6"/>
      <c r="O1183" s="6"/>
      <c r="P1183" s="6"/>
      <c r="Q1183" s="6">
        <v>10</v>
      </c>
      <c r="R1183" s="6"/>
      <c r="S1183" s="35">
        <f>SUM(F1183:R1183)</f>
        <v>42</v>
      </c>
      <c r="T1183" s="35">
        <f>COUNT(F1183:R1183)</f>
        <v>5</v>
      </c>
      <c r="U1183" s="36">
        <f>IF(T1183&gt;=2,ROUND((IF(T1183=2,0.55,IF(T1183&lt;=4,0.7,IF(T1183&lt;=6,0.8,IF(T1183&lt;=9,0.9,1))))*(S1183/T1183)+(1-(IF(T1183=2,0.55,IF(T1183&lt;=4,0.7,IF(T1183&lt;=6,0.8,IF(T1183&lt;=9,0.9,1))))))*$Y$1),1),"")</f>
        <v>8.3</v>
      </c>
      <c r="V1183" s="37">
        <v>7.2</v>
      </c>
      <c r="W1183" s="38"/>
    </row>
    <row r="1184" ht="24" customHeight="1" spans="1:23" x14ac:dyDescent="0.25">
      <c r="A1184" s="31">
        <v>66</v>
      </c>
      <c r="B1184" s="32" t="s">
        <v>1276</v>
      </c>
      <c r="C1184" s="33" t="s">
        <v>24</v>
      </c>
      <c r="D1184" s="34">
        <v>2011</v>
      </c>
      <c r="E1184" s="34" t="s">
        <v>1277</v>
      </c>
      <c r="F1184" s="6">
        <v>10</v>
      </c>
      <c r="G1184" s="6">
        <v>9</v>
      </c>
      <c r="H1184" s="6">
        <v>8</v>
      </c>
      <c r="I1184" s="6">
        <v>6</v>
      </c>
      <c r="J1184" s="6">
        <v>10</v>
      </c>
      <c r="K1184" s="6">
        <v>6</v>
      </c>
      <c r="L1184" s="6">
        <v>8</v>
      </c>
      <c r="M1184" s="6">
        <v>8</v>
      </c>
      <c r="N1184" s="6">
        <v>8</v>
      </c>
      <c r="O1184" s="6">
        <v>10</v>
      </c>
      <c r="P1184" s="6">
        <v>10</v>
      </c>
      <c r="Q1184" s="6">
        <v>6</v>
      </c>
      <c r="R1184" s="6">
        <v>10</v>
      </c>
      <c r="S1184" s="35">
        <f>SUM(F1184:R1184)</f>
        <v>109</v>
      </c>
      <c r="T1184" s="35">
        <f>COUNT(F1184:R1184)</f>
        <v>13</v>
      </c>
      <c r="U1184" s="36">
        <f>IF(T1184&gt;=2,ROUND((IF(T1184=2,0.55,IF(T1184&lt;=4,0.7,IF(T1184&lt;=6,0.8,IF(T1184&lt;=9,0.9,1))))*(S1184/T1184)+(1-(IF(T1184=2,0.55,IF(T1184&lt;=4,0.7,IF(T1184&lt;=6,0.8,IF(T1184&lt;=9,0.9,1))))))*$Y$1),1),"")</f>
        <v>8.4</v>
      </c>
      <c r="V1184" s="37">
        <v>8.5</v>
      </c>
      <c r="W1184" s="38"/>
    </row>
    <row r="1185" ht="24" customHeight="1" spans="1:23" x14ac:dyDescent="0.25">
      <c r="A1185" s="31">
        <v>1340</v>
      </c>
      <c r="B1185" s="32" t="s">
        <v>1278</v>
      </c>
      <c r="C1185" s="33" t="s">
        <v>29</v>
      </c>
      <c r="D1185" s="34">
        <v>2022</v>
      </c>
      <c r="E1185" s="34" t="s">
        <v>30</v>
      </c>
      <c r="F1185" s="6"/>
      <c r="G1185" s="6"/>
      <c r="H1185" s="6">
        <v>8</v>
      </c>
      <c r="I1185" s="6"/>
      <c r="J1185" s="6"/>
      <c r="K1185" s="6"/>
      <c r="L1185" s="6"/>
      <c r="M1185" s="6"/>
      <c r="N1185" s="6">
        <v>8</v>
      </c>
      <c r="O1185" s="6"/>
      <c r="P1185" s="6"/>
      <c r="Q1185" s="6"/>
      <c r="R1185" s="6"/>
      <c r="S1185" s="35">
        <f>SUM(F1185:R1185)</f>
        <v>16</v>
      </c>
      <c r="T1185" s="35">
        <f>COUNT(F1185:R1185)</f>
        <v>2</v>
      </c>
      <c r="U1185" s="36">
        <f>IF(T1185&gt;=2,ROUND((IF(T1185=2,0.55,IF(T1185&lt;=4,0.7,IF(T1185&lt;=6,0.8,IF(T1185&lt;=9,0.9,1))))*(S1185/T1185)+(1-(IF(T1185=2,0.55,IF(T1185&lt;=4,0.7,IF(T1185&lt;=6,0.8,IF(T1185&lt;=9,0.9,1))))))*$Y$1),1),"")</f>
        <v>8</v>
      </c>
      <c r="V1185" s="37">
        <v>6.8</v>
      </c>
      <c r="W1185" s="38"/>
    </row>
    <row r="1186" ht="24" customHeight="1" spans="1:23" x14ac:dyDescent="0.25">
      <c r="A1186" s="31">
        <v>503</v>
      </c>
      <c r="B1186" s="32" t="s">
        <v>1279</v>
      </c>
      <c r="C1186" s="33" t="s">
        <v>24</v>
      </c>
      <c r="D1186" s="34">
        <v>2014</v>
      </c>
      <c r="E1186" s="34" t="s">
        <v>92</v>
      </c>
      <c r="F1186" s="6"/>
      <c r="G1186" s="6">
        <v>8</v>
      </c>
      <c r="H1186" s="6"/>
      <c r="I1186" s="6"/>
      <c r="J1186" s="6"/>
      <c r="K1186" s="6"/>
      <c r="L1186" s="6"/>
      <c r="M1186" s="6"/>
      <c r="N1186" s="6"/>
      <c r="O1186" s="6">
        <v>8</v>
      </c>
      <c r="P1186" s="6">
        <v>8</v>
      </c>
      <c r="Q1186" s="6"/>
      <c r="R1186" s="6"/>
      <c r="S1186" s="35">
        <f>SUM(F1186:R1186)</f>
        <v>24</v>
      </c>
      <c r="T1186" s="35">
        <f>COUNT(F1186:R1186)</f>
        <v>3</v>
      </c>
      <c r="U1186" s="36">
        <f>IF(T1186&gt;=2,ROUND((IF(T1186=2,0.55,IF(T1186&lt;=4,0.7,IF(T1186&lt;=6,0.8,IF(T1186&lt;=9,0.9,1))))*(S1186/T1186)+(1-(IF(T1186=2,0.55,IF(T1186&lt;=4,0.7,IF(T1186&lt;=6,0.8,IF(T1186&lt;=9,0.9,1))))))*$Y$1),1),"")</f>
        <v>8</v>
      </c>
      <c r="V1186" s="37">
        <v>8.7</v>
      </c>
      <c r="W1186" s="38"/>
    </row>
    <row r="1187" ht="24" customHeight="1" spans="1:23" x14ac:dyDescent="0.25">
      <c r="A1187" s="31">
        <v>1356</v>
      </c>
      <c r="B1187" s="32" t="s">
        <v>1280</v>
      </c>
      <c r="C1187" s="33" t="s">
        <v>29</v>
      </c>
      <c r="D1187" s="34">
        <v>2021</v>
      </c>
      <c r="E1187" s="34" t="s">
        <v>27</v>
      </c>
      <c r="F1187" s="6"/>
      <c r="G1187" s="6"/>
      <c r="H1187" s="6"/>
      <c r="I1187" s="6"/>
      <c r="J1187" s="6"/>
      <c r="K1187" s="6"/>
      <c r="L1187" s="6">
        <v>8</v>
      </c>
      <c r="M1187" s="6"/>
      <c r="N1187" s="6"/>
      <c r="O1187" s="6"/>
      <c r="P1187" s="6"/>
      <c r="Q1187" s="6"/>
      <c r="R1187" s="6"/>
      <c r="S1187" s="35">
        <f>SUM(F1187:R1187)</f>
        <v>8</v>
      </c>
      <c r="T1187" s="35">
        <f>COUNT(F1187:R1187)</f>
        <v>1</v>
      </c>
      <c r="U1187" s="36">
        <f>IF(T1187&gt;=2,ROUND((IF(T1187=2,0.55,IF(T1187&lt;=4,0.7,IF(T1187&lt;=6,0.8,IF(T1187&lt;=9,0.9,1))))*(S1187/T1187)+(1-(IF(T1187=2,0.55,IF(T1187&lt;=4,0.7,IF(T1187&lt;=6,0.8,IF(T1187&lt;=9,0.9,1))))))*$Y$1),1),"")</f>
      </c>
      <c r="V1187" s="37">
        <v>7.8</v>
      </c>
      <c r="W1187" s="38"/>
    </row>
    <row r="1188" ht="24" customHeight="1" spans="1:23" x14ac:dyDescent="0.25">
      <c r="A1188" s="31">
        <v>419</v>
      </c>
      <c r="B1188" s="32" t="s">
        <v>1281</v>
      </c>
      <c r="C1188" s="33" t="s">
        <v>24</v>
      </c>
      <c r="D1188" s="34">
        <v>1992</v>
      </c>
      <c r="E1188" s="34" t="s">
        <v>374</v>
      </c>
      <c r="F1188" s="6">
        <v>8</v>
      </c>
      <c r="G1188" s="6">
        <v>8</v>
      </c>
      <c r="H1188" s="6">
        <v>10</v>
      </c>
      <c r="I1188" s="6">
        <v>10</v>
      </c>
      <c r="J1188" s="6">
        <v>10</v>
      </c>
      <c r="K1188" s="6">
        <v>10</v>
      </c>
      <c r="L1188" s="6">
        <v>10</v>
      </c>
      <c r="M1188" s="6">
        <v>10</v>
      </c>
      <c r="N1188" s="6">
        <v>10</v>
      </c>
      <c r="O1188" s="6"/>
      <c r="P1188" s="6">
        <v>8</v>
      </c>
      <c r="Q1188" s="6">
        <v>10</v>
      </c>
      <c r="R1188" s="6"/>
      <c r="S1188" s="35">
        <f>SUM(F1188:R1188)</f>
        <v>104</v>
      </c>
      <c r="T1188" s="35">
        <f>COUNT(F1188:R1188)</f>
        <v>11</v>
      </c>
      <c r="U1188" s="36">
        <f>IF(T1188&gt;=2,ROUND((IF(T1188=2,0.55,IF(T1188&lt;=4,0.7,IF(T1188&lt;=6,0.8,IF(T1188&lt;=9,0.9,1))))*(S1188/T1188)+(1-(IF(T1188=2,0.55,IF(T1188&lt;=4,0.7,IF(T1188&lt;=6,0.8,IF(T1188&lt;=9,0.9,1))))))*$Y$1),1),"")</f>
        <v>9.5</v>
      </c>
      <c r="V1188" s="37">
        <v>7.1</v>
      </c>
      <c r="W1188" s="38"/>
    </row>
    <row r="1189" ht="24" customHeight="1" spans="1:23" x14ac:dyDescent="0.25">
      <c r="A1189" s="31">
        <v>802</v>
      </c>
      <c r="B1189" s="32" t="s">
        <v>1282</v>
      </c>
      <c r="C1189" s="33" t="s">
        <v>24</v>
      </c>
      <c r="D1189" s="34">
        <v>2007</v>
      </c>
      <c r="E1189" s="34" t="s">
        <v>244</v>
      </c>
      <c r="F1189" s="6"/>
      <c r="G1189" s="6"/>
      <c r="H1189" s="6"/>
      <c r="I1189" s="6"/>
      <c r="J1189" s="6"/>
      <c r="K1189" s="6"/>
      <c r="L1189" s="6">
        <v>8</v>
      </c>
      <c r="M1189" s="6"/>
      <c r="N1189" s="6"/>
      <c r="O1189" s="6">
        <v>8</v>
      </c>
      <c r="P1189" s="6"/>
      <c r="Q1189" s="6"/>
      <c r="R1189" s="6"/>
      <c r="S1189" s="35">
        <f>SUM(F1189:R1189)</f>
        <v>16</v>
      </c>
      <c r="T1189" s="35">
        <f>COUNT(F1189:R1189)</f>
        <v>2</v>
      </c>
      <c r="U1189" s="36">
        <f>IF(T1189&gt;=2,ROUND((IF(T1189=2,0.55,IF(T1189&lt;=4,0.7,IF(T1189&lt;=6,0.8,IF(T1189&lt;=9,0.9,1))))*(S1189/T1189)+(1-(IF(T1189=2,0.55,IF(T1189&lt;=4,0.7,IF(T1189&lt;=6,0.8,IF(T1189&lt;=9,0.9,1))))))*$Y$1),1),"")</f>
        <v>8</v>
      </c>
      <c r="V1189" s="37">
        <v>7.2</v>
      </c>
      <c r="W1189" s="38"/>
    </row>
    <row r="1190" ht="24" customHeight="1" spans="1:23" x14ac:dyDescent="0.25">
      <c r="A1190" s="31">
        <v>1781</v>
      </c>
      <c r="B1190" s="32" t="s">
        <v>1283</v>
      </c>
      <c r="C1190" s="33" t="s">
        <v>24</v>
      </c>
      <c r="D1190" s="34">
        <v>2024</v>
      </c>
      <c r="E1190" s="34" t="s">
        <v>141</v>
      </c>
      <c r="F1190" s="6"/>
      <c r="G1190" s="6"/>
      <c r="H1190" s="6"/>
      <c r="I1190" s="6"/>
      <c r="J1190" s="6"/>
      <c r="K1190" s="6"/>
      <c r="L1190" s="6">
        <v>8</v>
      </c>
      <c r="M1190" s="6"/>
      <c r="N1190" s="6"/>
      <c r="O1190" s="6">
        <v>8</v>
      </c>
      <c r="P1190" s="6">
        <v>8</v>
      </c>
      <c r="Q1190" s="6"/>
      <c r="R1190" s="6"/>
      <c r="S1190" s="35">
        <f>SUM(F1190:R1190)</f>
        <v>24</v>
      </c>
      <c r="T1190" s="35">
        <f>COUNT(F1190:R1190)</f>
        <v>3</v>
      </c>
      <c r="U1190" s="36">
        <f>IF(T1190&gt;=2,ROUND((IF(T1190=2,0.55,IF(T1190&lt;=4,0.7,IF(T1190&lt;=6,0.8,IF(T1190&lt;=9,0.9,1))))*(S1190/T1190)+(1-(IF(T1190=2,0.55,IF(T1190&lt;=4,0.7,IF(T1190&lt;=6,0.8,IF(T1190&lt;=9,0.9,1))))))*$Y$1),1),"")</f>
        <v>8</v>
      </c>
      <c r="V1190" s="37">
        <v>6.3</v>
      </c>
      <c r="W1190" s="38"/>
    </row>
    <row r="1191" ht="24" customHeight="1" spans="1:23" x14ac:dyDescent="0.25">
      <c r="A1191" s="31">
        <v>192</v>
      </c>
      <c r="B1191" s="32" t="s">
        <v>1284</v>
      </c>
      <c r="C1191" s="33" t="s">
        <v>24</v>
      </c>
      <c r="D1191" s="34">
        <v>2018</v>
      </c>
      <c r="E1191" s="34" t="s">
        <v>30</v>
      </c>
      <c r="F1191" s="6">
        <v>8</v>
      </c>
      <c r="G1191" s="6"/>
      <c r="H1191" s="6"/>
      <c r="I1191" s="6"/>
      <c r="J1191" s="6"/>
      <c r="K1191" s="6">
        <v>8</v>
      </c>
      <c r="L1191" s="6"/>
      <c r="M1191" s="6"/>
      <c r="N1191" s="6"/>
      <c r="O1191" s="6">
        <v>8</v>
      </c>
      <c r="P1191" s="6"/>
      <c r="Q1191" s="6">
        <v>8</v>
      </c>
      <c r="R1191" s="6"/>
      <c r="S1191" s="35">
        <f>SUM(F1191:R1191)</f>
        <v>32</v>
      </c>
      <c r="T1191" s="35">
        <f>COUNT(F1191:R1191)</f>
        <v>4</v>
      </c>
      <c r="U1191" s="36">
        <f>IF(T1191&gt;=2,ROUND((IF(T1191=2,0.55,IF(T1191&lt;=4,0.7,IF(T1191&lt;=6,0.8,IF(T1191&lt;=9,0.9,1))))*(S1191/T1191)+(1-(IF(T1191=2,0.55,IF(T1191&lt;=4,0.7,IF(T1191&lt;=6,0.8,IF(T1191&lt;=9,0.9,1))))))*$Y$1),1),"")</f>
        <v>8</v>
      </c>
      <c r="V1191" s="37">
        <v>7</v>
      </c>
      <c r="W1191" s="38"/>
    </row>
    <row r="1192" ht="24" customHeight="1" spans="1:23" x14ac:dyDescent="0.25">
      <c r="A1192" s="31">
        <v>223</v>
      </c>
      <c r="B1192" s="67" t="s">
        <v>1285</v>
      </c>
      <c r="C1192" s="33" t="s">
        <v>29</v>
      </c>
      <c r="D1192" s="34">
        <v>2017</v>
      </c>
      <c r="E1192" s="34" t="s">
        <v>30</v>
      </c>
      <c r="F1192" s="6"/>
      <c r="G1192" s="6"/>
      <c r="H1192" s="6"/>
      <c r="I1192" s="6"/>
      <c r="J1192" s="6"/>
      <c r="K1192" s="6"/>
      <c r="L1192" s="6">
        <v>8</v>
      </c>
      <c r="M1192" s="6"/>
      <c r="N1192" s="6"/>
      <c r="O1192" s="6"/>
      <c r="P1192" s="6"/>
      <c r="Q1192" s="6"/>
      <c r="R1192" s="6"/>
      <c r="S1192" s="35">
        <f>SUM(F1192:R1192)</f>
        <v>8</v>
      </c>
      <c r="T1192" s="35">
        <f>COUNT(F1192:R1192)</f>
        <v>1</v>
      </c>
      <c r="U1192" s="36">
        <f>IF(T1192&gt;=2,ROUND((IF(T1192=2,0.55,IF(T1192&lt;=4,0.7,IF(T1192&lt;=6,0.8,IF(T1192&lt;=9,0.9,1))))*(S1192/T1192)+(1-(IF(T1192=2,0.55,IF(T1192&lt;=4,0.7,IF(T1192&lt;=6,0.8,IF(T1192&lt;=9,0.9,1))))))*$Y$1),1),"")</f>
      </c>
      <c r="V1192" s="37">
        <v>7.7</v>
      </c>
      <c r="W1192" s="38"/>
    </row>
    <row r="1193" ht="24" customHeight="1" spans="1:23" x14ac:dyDescent="0.25">
      <c r="A1193" s="40">
        <v>2294</v>
      </c>
      <c r="B1193" s="32" t="s">
        <v>1286</v>
      </c>
      <c r="C1193" s="33" t="s">
        <v>24</v>
      </c>
      <c r="D1193" s="34">
        <v>2013</v>
      </c>
      <c r="E1193" s="41"/>
      <c r="F1193" s="6"/>
      <c r="G1193" s="6">
        <v>6</v>
      </c>
      <c r="H1193" s="6"/>
      <c r="I1193" s="6"/>
      <c r="J1193" s="6">
        <v>8</v>
      </c>
      <c r="K1193" s="6"/>
      <c r="L1193" s="6"/>
      <c r="M1193" s="6"/>
      <c r="N1193" s="6"/>
      <c r="O1193" s="6"/>
      <c r="P1193" s="6"/>
      <c r="Q1193" s="6"/>
      <c r="R1193" s="6"/>
      <c r="S1193" s="35">
        <f>SUM(F1193:R1193)</f>
        <v>14</v>
      </c>
      <c r="T1193" s="35">
        <f>COUNT(F1193:R1193)</f>
        <v>2</v>
      </c>
      <c r="U1193" s="36">
        <f>IF(T1193&gt;=2,ROUND((IF(T1193=2,0.55,IF(T1193&lt;=4,0.7,IF(T1193&lt;=6,0.8,IF(T1193&lt;=9,0.9,1))))*(S1193/T1193)+(1-(IF(T1193=2,0.55,IF(T1193&lt;=4,0.7,IF(T1193&lt;=6,0.8,IF(T1193&lt;=9,0.9,1))))))*$Y$1),1),"")</f>
        <v>7.5</v>
      </c>
      <c r="V1193" s="37">
        <v>7.4</v>
      </c>
      <c r="W1193" s="38"/>
    </row>
    <row r="1194" ht="24" customHeight="1" spans="1:23" x14ac:dyDescent="0.25">
      <c r="A1194" s="31">
        <v>1494</v>
      </c>
      <c r="B1194" s="32" t="s">
        <v>1287</v>
      </c>
      <c r="C1194" s="33" t="s">
        <v>24</v>
      </c>
      <c r="D1194" s="34">
        <v>2016</v>
      </c>
      <c r="E1194" s="34" t="s">
        <v>30</v>
      </c>
      <c r="F1194" s="6"/>
      <c r="G1194" s="6"/>
      <c r="H1194" s="6"/>
      <c r="I1194" s="6"/>
      <c r="J1194" s="6"/>
      <c r="K1194" s="6"/>
      <c r="L1194" s="6"/>
      <c r="M1194" s="6"/>
      <c r="N1194" s="6"/>
      <c r="O1194" s="6">
        <v>6</v>
      </c>
      <c r="P1194" s="6"/>
      <c r="Q1194" s="6"/>
      <c r="R1194" s="6"/>
      <c r="S1194" s="35">
        <f>SUM(F1194:R1194)</f>
        <v>6</v>
      </c>
      <c r="T1194" s="35">
        <f>COUNT(F1194:R1194)</f>
        <v>1</v>
      </c>
      <c r="U1194" s="36">
        <f>IF(T1194&gt;=2,ROUND((IF(T1194=2,0.55,IF(T1194&lt;=4,0.7,IF(T1194&lt;=6,0.8,IF(T1194&lt;=9,0.9,1))))*(S1194/T1194)+(1-(IF(T1194=2,0.55,IF(T1194&lt;=4,0.7,IF(T1194&lt;=6,0.8,IF(T1194&lt;=9,0.9,1))))))*$Y$1),1),"")</f>
      </c>
      <c r="V1194" s="37">
        <v>6.2</v>
      </c>
      <c r="W1194" s="38"/>
    </row>
    <row r="1195" ht="24" customHeight="1" spans="1:23" x14ac:dyDescent="0.25">
      <c r="A1195" s="31">
        <v>1649</v>
      </c>
      <c r="B1195" s="32" t="s">
        <v>1288</v>
      </c>
      <c r="C1195" s="33" t="s">
        <v>24</v>
      </c>
      <c r="D1195" s="34">
        <v>2022</v>
      </c>
      <c r="E1195" s="34" t="s">
        <v>27</v>
      </c>
      <c r="F1195" s="6"/>
      <c r="G1195" s="6"/>
      <c r="H1195" s="6"/>
      <c r="I1195" s="6"/>
      <c r="J1195" s="6"/>
      <c r="K1195" s="6"/>
      <c r="L1195" s="6"/>
      <c r="M1195" s="6">
        <v>7</v>
      </c>
      <c r="N1195" s="6"/>
      <c r="O1195" s="6">
        <v>7</v>
      </c>
      <c r="P1195" s="6"/>
      <c r="Q1195" s="6"/>
      <c r="R1195" s="6"/>
      <c r="S1195" s="35">
        <f>SUM(F1195:R1195)</f>
        <v>14</v>
      </c>
      <c r="T1195" s="35">
        <f>COUNT(F1195:R1195)</f>
        <v>2</v>
      </c>
      <c r="U1195" s="36">
        <f>IF(T1195&gt;=2,ROUND((IF(T1195=2,0.55,IF(T1195&lt;=4,0.7,IF(T1195&lt;=6,0.8,IF(T1195&lt;=9,0.9,1))))*(S1195/T1195)+(1-(IF(T1195=2,0.55,IF(T1195&lt;=4,0.7,IF(T1195&lt;=6,0.8,IF(T1195&lt;=9,0.9,1))))))*$Y$1),1),"")</f>
        <v>7.5</v>
      </c>
      <c r="V1195" s="37">
        <v>6.1</v>
      </c>
      <c r="W1195" s="38"/>
    </row>
    <row r="1196" ht="24" customHeight="1" spans="1:23" x14ac:dyDescent="0.25">
      <c r="A1196" s="31">
        <v>348</v>
      </c>
      <c r="B1196" s="32" t="s">
        <v>1289</v>
      </c>
      <c r="C1196" s="33" t="s">
        <v>24</v>
      </c>
      <c r="D1196" s="34">
        <v>2018</v>
      </c>
      <c r="E1196" s="34" t="s">
        <v>1290</v>
      </c>
      <c r="F1196" s="6">
        <v>8</v>
      </c>
      <c r="G1196" s="6">
        <v>8</v>
      </c>
      <c r="H1196" s="6">
        <v>8</v>
      </c>
      <c r="I1196" s="6"/>
      <c r="J1196" s="6">
        <v>8</v>
      </c>
      <c r="K1196" s="6">
        <v>10</v>
      </c>
      <c r="L1196" s="6">
        <v>10</v>
      </c>
      <c r="M1196" s="6"/>
      <c r="N1196" s="6">
        <v>6</v>
      </c>
      <c r="O1196" s="6">
        <v>8</v>
      </c>
      <c r="P1196" s="6"/>
      <c r="Q1196" s="6">
        <v>10</v>
      </c>
      <c r="R1196" s="6"/>
      <c r="S1196" s="35">
        <f>SUM(F1196:R1196)</f>
        <v>76</v>
      </c>
      <c r="T1196" s="35">
        <f>COUNT(F1196:R1196)</f>
        <v>9</v>
      </c>
      <c r="U1196" s="36">
        <f>IF(T1196&gt;=2,ROUND((IF(T1196=2,0.55,IF(T1196&lt;=4,0.7,IF(T1196&lt;=6,0.8,IF(T1196&lt;=9,0.9,1))))*(S1196/T1196)+(1-(IF(T1196=2,0.55,IF(T1196&lt;=4,0.7,IF(T1196&lt;=6,0.8,IF(T1196&lt;=9,0.9,1))))))*$Y$1),1),"")</f>
        <v>8.4</v>
      </c>
      <c r="V1196" s="37">
        <v>7.5</v>
      </c>
      <c r="W1196" s="38"/>
    </row>
    <row r="1197" ht="24" customHeight="1" spans="1:23" x14ac:dyDescent="0.25">
      <c r="A1197" s="31">
        <v>1606</v>
      </c>
      <c r="B1197" s="32" t="s">
        <v>1291</v>
      </c>
      <c r="C1197" s="33" t="s">
        <v>24</v>
      </c>
      <c r="D1197" s="34">
        <v>2021</v>
      </c>
      <c r="E1197" s="34" t="s">
        <v>760</v>
      </c>
      <c r="F1197" s="6"/>
      <c r="G1197" s="6"/>
      <c r="H1197" s="6"/>
      <c r="I1197" s="6"/>
      <c r="J1197" s="6"/>
      <c r="K1197" s="6"/>
      <c r="L1197" s="6"/>
      <c r="M1197" s="6"/>
      <c r="N1197" s="6">
        <v>7</v>
      </c>
      <c r="O1197" s="6"/>
      <c r="P1197" s="6"/>
      <c r="Q1197" s="6"/>
      <c r="R1197" s="6"/>
      <c r="S1197" s="35">
        <f>SUM(F1197:R1197)</f>
        <v>7</v>
      </c>
      <c r="T1197" s="35">
        <f>COUNT(F1197:R1197)</f>
        <v>1</v>
      </c>
      <c r="U1197" s="36">
        <f>IF(T1197&gt;=2,ROUND((IF(T1197=2,0.55,IF(T1197&lt;=4,0.7,IF(T1197&lt;=6,0.8,IF(T1197&lt;=9,0.9,1))))*(S1197/T1197)+(1-(IF(T1197=2,0.55,IF(T1197&lt;=4,0.7,IF(T1197&lt;=6,0.8,IF(T1197&lt;=9,0.9,1))))))*$Y$1),1),"")</f>
      </c>
      <c r="V1197" s="37">
        <v>7.1</v>
      </c>
      <c r="W1197" s="38"/>
    </row>
    <row r="1198" ht="24" customHeight="1" spans="1:23" x14ac:dyDescent="0.25">
      <c r="A1198" s="47">
        <v>263</v>
      </c>
      <c r="B1198" s="32" t="s">
        <v>1292</v>
      </c>
      <c r="C1198" s="48" t="s">
        <v>24</v>
      </c>
      <c r="D1198" s="49">
        <v>2002</v>
      </c>
      <c r="E1198" s="49" t="s">
        <v>27</v>
      </c>
      <c r="F1198" s="6">
        <v>10</v>
      </c>
      <c r="G1198" s="6">
        <v>8</v>
      </c>
      <c r="H1198" s="6">
        <v>10</v>
      </c>
      <c r="I1198" s="6">
        <v>10</v>
      </c>
      <c r="J1198" s="6">
        <v>10</v>
      </c>
      <c r="K1198" s="6">
        <v>10</v>
      </c>
      <c r="L1198" s="6">
        <v>10</v>
      </c>
      <c r="M1198" s="6">
        <v>8</v>
      </c>
      <c r="N1198" s="6">
        <v>8</v>
      </c>
      <c r="O1198" s="6"/>
      <c r="P1198" s="6">
        <v>8</v>
      </c>
      <c r="Q1198" s="6">
        <v>10</v>
      </c>
      <c r="R1198" s="6">
        <v>10</v>
      </c>
      <c r="S1198" s="50">
        <f>SUM(F1198:R1198)</f>
        <v>112</v>
      </c>
      <c r="T1198" s="50">
        <f>COUNT(F1198:R1198)</f>
        <v>12</v>
      </c>
      <c r="U1198" s="36">
        <f>IF(T1198&gt;=2,ROUND((IF(T1198=2,0.55,IF(T1198&lt;=4,0.7,IF(T1198&lt;=6,0.8,IF(T1198&lt;=9,0.9,1))))*(S1198/T1198)+(1-(IF(T1198=2,0.55,IF(T1198&lt;=4,0.7,IF(T1198&lt;=6,0.8,IF(T1198&lt;=9,0.9,1))))))*$Y$1),1),"")</f>
        <v>9.3</v>
      </c>
      <c r="V1198" s="37">
        <v>6.7</v>
      </c>
      <c r="W1198" s="38" t="s">
        <v>44</v>
      </c>
    </row>
    <row r="1199" ht="24" customHeight="1" spans="1:23" x14ac:dyDescent="0.25">
      <c r="A1199" s="31">
        <v>1803</v>
      </c>
      <c r="B1199" s="32" t="s">
        <v>1293</v>
      </c>
      <c r="C1199" s="33" t="s">
        <v>29</v>
      </c>
      <c r="D1199" s="34">
        <v>2024</v>
      </c>
      <c r="E1199" s="34" t="s">
        <v>30</v>
      </c>
      <c r="F1199" s="6">
        <v>7</v>
      </c>
      <c r="G1199" s="6"/>
      <c r="H1199" s="6"/>
      <c r="I1199" s="6"/>
      <c r="J1199" s="6"/>
      <c r="K1199" s="6"/>
      <c r="L1199" s="6"/>
      <c r="M1199" s="6"/>
      <c r="N1199" s="6">
        <v>8</v>
      </c>
      <c r="O1199" s="6"/>
      <c r="P1199" s="6"/>
      <c r="Q1199" s="6"/>
      <c r="R1199" s="6"/>
      <c r="S1199" s="35">
        <f>SUM(F1199:R1199)</f>
        <v>15</v>
      </c>
      <c r="T1199" s="35">
        <f>COUNT(F1199:R1199)</f>
        <v>2</v>
      </c>
      <c r="U1199" s="36">
        <f>IF(T1199&gt;=2,ROUND((IF(T1199=2,0.55,IF(T1199&lt;=4,0.7,IF(T1199&lt;=6,0.8,IF(T1199&lt;=9,0.9,1))))*(S1199/T1199)+(1-(IF(T1199=2,0.55,IF(T1199&lt;=4,0.7,IF(T1199&lt;=6,0.8,IF(T1199&lt;=9,0.9,1))))))*$Y$1),1),"")</f>
        <v>7.8</v>
      </c>
      <c r="V1199" s="37">
        <v>6.6</v>
      </c>
      <c r="W1199" s="38"/>
    </row>
    <row r="1200" ht="24" customHeight="1" spans="1:23" x14ac:dyDescent="0.25">
      <c r="A1200" s="47">
        <v>1786</v>
      </c>
      <c r="B1200" s="32" t="s">
        <v>1294</v>
      </c>
      <c r="C1200" s="48" t="s">
        <v>24</v>
      </c>
      <c r="D1200" s="49">
        <v>2024</v>
      </c>
      <c r="E1200" s="49" t="s">
        <v>30</v>
      </c>
      <c r="F1200" s="6"/>
      <c r="G1200" s="6"/>
      <c r="H1200" s="6">
        <v>8</v>
      </c>
      <c r="I1200" s="6">
        <v>9</v>
      </c>
      <c r="J1200" s="6">
        <v>8</v>
      </c>
      <c r="K1200" s="6"/>
      <c r="L1200" s="6">
        <v>8</v>
      </c>
      <c r="M1200" s="6">
        <v>8</v>
      </c>
      <c r="N1200" s="6">
        <v>8</v>
      </c>
      <c r="O1200" s="6">
        <v>9</v>
      </c>
      <c r="P1200" s="6"/>
      <c r="Q1200" s="6"/>
      <c r="R1200" s="6"/>
      <c r="S1200" s="35">
        <f>SUM(F1200:R1200)</f>
        <v>58</v>
      </c>
      <c r="T1200" s="35">
        <f>COUNT(F1200:R1200)</f>
        <v>7</v>
      </c>
      <c r="U1200" s="36">
        <f>IF(T1200&gt;=2,ROUND((IF(T1200=2,0.55,IF(T1200&lt;=4,0.7,IF(T1200&lt;=6,0.8,IF(T1200&lt;=9,0.9,1))))*(S1200/T1200)+(1-(IF(T1200=2,0.55,IF(T1200&lt;=4,0.7,IF(T1200&lt;=6,0.8,IF(T1200&lt;=9,0.9,1))))))*$Y$1),1),"")</f>
        <v>8.3</v>
      </c>
      <c r="V1200" s="37">
        <v>7.2</v>
      </c>
      <c r="W1200" s="38" t="s">
        <v>44</v>
      </c>
    </row>
    <row r="1201" ht="24" customHeight="1" spans="1:23" x14ac:dyDescent="0.25">
      <c r="A1201" s="31">
        <v>1222</v>
      </c>
      <c r="B1201" s="32" t="s">
        <v>1295</v>
      </c>
      <c r="C1201" s="33" t="s">
        <v>24</v>
      </c>
      <c r="D1201" s="34">
        <v>2022</v>
      </c>
      <c r="E1201" s="34" t="s">
        <v>30</v>
      </c>
      <c r="F1201" s="6"/>
      <c r="G1201" s="6"/>
      <c r="H1201" s="6"/>
      <c r="I1201" s="6"/>
      <c r="J1201" s="6"/>
      <c r="K1201" s="6">
        <v>4</v>
      </c>
      <c r="L1201" s="6"/>
      <c r="M1201" s="6"/>
      <c r="N1201" s="6"/>
      <c r="O1201" s="6">
        <v>8</v>
      </c>
      <c r="P1201" s="6"/>
      <c r="Q1201" s="6">
        <v>4</v>
      </c>
      <c r="R1201" s="6"/>
      <c r="S1201" s="35">
        <f>SUM(F1201:R1201)</f>
        <v>16</v>
      </c>
      <c r="T1201" s="35">
        <f>COUNT(F1201:R1201)</f>
        <v>3</v>
      </c>
      <c r="U1201" s="36">
        <f>IF(T1201&gt;=2,ROUND((IF(T1201=2,0.55,IF(T1201&lt;=4,0.7,IF(T1201&lt;=6,0.8,IF(T1201&lt;=9,0.9,1))))*(S1201/T1201)+(1-(IF(T1201=2,0.55,IF(T1201&lt;=4,0.7,IF(T1201&lt;=6,0.8,IF(T1201&lt;=9,0.9,1))))))*$Y$1),1),"")</f>
        <v>6.2</v>
      </c>
      <c r="V1201" s="37">
        <v>4.2</v>
      </c>
      <c r="W1201" s="38"/>
    </row>
    <row r="1202" ht="24" customHeight="1" spans="1:23" s="39" customFormat="1" x14ac:dyDescent="0.25">
      <c r="A1202" s="31">
        <v>501</v>
      </c>
      <c r="B1202" s="32" t="s">
        <v>1296</v>
      </c>
      <c r="C1202" s="33" t="s">
        <v>24</v>
      </c>
      <c r="D1202" s="34">
        <v>2010</v>
      </c>
      <c r="E1202" s="34" t="s">
        <v>1297</v>
      </c>
      <c r="F1202" s="6">
        <v>8</v>
      </c>
      <c r="G1202" s="6">
        <v>9</v>
      </c>
      <c r="H1202" s="6">
        <v>8</v>
      </c>
      <c r="I1202" s="6"/>
      <c r="J1202" s="6">
        <v>10</v>
      </c>
      <c r="K1202" s="6">
        <v>8</v>
      </c>
      <c r="L1202" s="6">
        <v>10</v>
      </c>
      <c r="M1202" s="6"/>
      <c r="N1202" s="6"/>
      <c r="O1202" s="6"/>
      <c r="P1202" s="6">
        <v>8</v>
      </c>
      <c r="Q1202" s="6">
        <v>8</v>
      </c>
      <c r="R1202" s="6"/>
      <c r="S1202" s="35">
        <f>SUM(F1202:R1202)</f>
        <v>69</v>
      </c>
      <c r="T1202" s="35">
        <f>COUNT(F1202:R1202)</f>
        <v>8</v>
      </c>
      <c r="U1202" s="36">
        <f>IF(T1202&gt;=2,ROUND((IF(T1202=2,0.55,IF(T1202&lt;=4,0.7,IF(T1202&lt;=6,0.8,IF(T1202&lt;=9,0.9,1))))*(S1202/T1202)+(1-(IF(T1202=2,0.55,IF(T1202&lt;=4,0.7,IF(T1202&lt;=6,0.8,IF(T1202&lt;=9,0.9,1))))))*$Y$1),1),"")</f>
        <v>8.6</v>
      </c>
      <c r="V1202" s="37">
        <v>8.3</v>
      </c>
      <c r="W1202" s="38"/>
    </row>
    <row r="1203" ht="24" customHeight="1" spans="1:23" x14ac:dyDescent="0.25">
      <c r="A1203" s="31">
        <v>847</v>
      </c>
      <c r="B1203" s="32" t="s">
        <v>1298</v>
      </c>
      <c r="C1203" s="33" t="s">
        <v>260</v>
      </c>
      <c r="D1203" s="34">
        <v>2019</v>
      </c>
      <c r="E1203" s="34" t="s">
        <v>30</v>
      </c>
      <c r="F1203" s="6">
        <v>8</v>
      </c>
      <c r="G1203" s="6"/>
      <c r="H1203" s="6"/>
      <c r="I1203" s="6">
        <v>8</v>
      </c>
      <c r="J1203" s="6">
        <v>10</v>
      </c>
      <c r="K1203" s="6">
        <v>8</v>
      </c>
      <c r="L1203" s="6">
        <v>6</v>
      </c>
      <c r="M1203" s="6"/>
      <c r="N1203" s="6">
        <v>10</v>
      </c>
      <c r="O1203" s="6"/>
      <c r="P1203" s="6"/>
      <c r="Q1203" s="6">
        <v>8</v>
      </c>
      <c r="R1203" s="6"/>
      <c r="S1203" s="35">
        <f>SUM(F1203:R1203)</f>
        <v>58</v>
      </c>
      <c r="T1203" s="35">
        <f>COUNT(F1203:R1203)</f>
        <v>7</v>
      </c>
      <c r="U1203" s="36">
        <f>IF(T1203&gt;=2,ROUND((IF(T1203=2,0.55,IF(T1203&lt;=4,0.7,IF(T1203&lt;=6,0.8,IF(T1203&lt;=9,0.9,1))))*(S1203/T1203)+(1-(IF(T1203=2,0.55,IF(T1203&lt;=4,0.7,IF(T1203&lt;=6,0.8,IF(T1203&lt;=9,0.9,1))))))*$Y$1),1),"")</f>
        <v>8.3</v>
      </c>
      <c r="V1203" s="37">
        <v>8.3</v>
      </c>
      <c r="W1203" s="38"/>
    </row>
    <row r="1204" ht="24" customHeight="1" spans="1:23" x14ac:dyDescent="0.25">
      <c r="A1204" s="31">
        <v>359</v>
      </c>
      <c r="B1204" s="32" t="s">
        <v>1299</v>
      </c>
      <c r="C1204" s="33" t="s">
        <v>24</v>
      </c>
      <c r="D1204" s="34">
        <v>1987</v>
      </c>
      <c r="E1204" s="34" t="s">
        <v>92</v>
      </c>
      <c r="F1204" s="6"/>
      <c r="G1204" s="6"/>
      <c r="H1204" s="6"/>
      <c r="I1204" s="6"/>
      <c r="J1204" s="6"/>
      <c r="K1204" s="6">
        <v>10</v>
      </c>
      <c r="L1204" s="6">
        <v>8</v>
      </c>
      <c r="M1204" s="6"/>
      <c r="N1204" s="6"/>
      <c r="O1204" s="6"/>
      <c r="P1204" s="6"/>
      <c r="Q1204" s="6">
        <v>10</v>
      </c>
      <c r="R1204" s="6">
        <v>10</v>
      </c>
      <c r="S1204" s="35">
        <f>SUM(F1204:R1204)</f>
        <v>38</v>
      </c>
      <c r="T1204" s="35">
        <f>COUNT(F1204:R1204)</f>
        <v>4</v>
      </c>
      <c r="U1204" s="36">
        <f>IF(T1204&gt;=2,ROUND((IF(T1204=2,0.55,IF(T1204&lt;=4,0.7,IF(T1204&lt;=6,0.8,IF(T1204&lt;=9,0.9,1))))*(S1204/T1204)+(1-(IF(T1204=2,0.55,IF(T1204&lt;=4,0.7,IF(T1204&lt;=6,0.8,IF(T1204&lt;=9,0.9,1))))))*$Y$1),1),"")</f>
        <v>9.1</v>
      </c>
      <c r="V1204" s="37">
        <v>7.7</v>
      </c>
      <c r="W1204" s="38"/>
    </row>
    <row r="1205" ht="24" customHeight="1" spans="1:23" x14ac:dyDescent="0.25">
      <c r="A1205" s="31">
        <v>1643</v>
      </c>
      <c r="B1205" s="32" t="s">
        <v>1300</v>
      </c>
      <c r="C1205" s="33" t="s">
        <v>29</v>
      </c>
      <c r="D1205" s="34">
        <v>2023</v>
      </c>
      <c r="E1205" s="34" t="s">
        <v>30</v>
      </c>
      <c r="F1205" s="6"/>
      <c r="G1205" s="6"/>
      <c r="H1205" s="6">
        <v>8</v>
      </c>
      <c r="I1205" s="6"/>
      <c r="J1205" s="6">
        <v>9</v>
      </c>
      <c r="K1205" s="6"/>
      <c r="L1205" s="6"/>
      <c r="M1205" s="6"/>
      <c r="N1205" s="6">
        <v>10</v>
      </c>
      <c r="O1205" s="6"/>
      <c r="P1205" s="6"/>
      <c r="Q1205" s="6"/>
      <c r="R1205" s="6"/>
      <c r="S1205" s="35">
        <f>SUM(F1205:R1205)</f>
        <v>27</v>
      </c>
      <c r="T1205" s="35">
        <f>COUNT(F1205:R1205)</f>
        <v>3</v>
      </c>
      <c r="U1205" s="36">
        <f>IF(T1205&gt;=2,ROUND((IF(T1205=2,0.55,IF(T1205&lt;=4,0.7,IF(T1205&lt;=6,0.8,IF(T1205&lt;=9,0.9,1))))*(S1205/T1205)+(1-(IF(T1205=2,0.55,IF(T1205&lt;=4,0.7,IF(T1205&lt;=6,0.8,IF(T1205&lt;=9,0.9,1))))))*$Y$1),1),"")</f>
        <v>8.7</v>
      </c>
      <c r="V1205" s="37">
        <v>7.4</v>
      </c>
      <c r="W1205" s="38"/>
    </row>
    <row r="1206" ht="24" customHeight="1" spans="1:23" x14ac:dyDescent="0.25">
      <c r="A1206" s="47">
        <v>1172</v>
      </c>
      <c r="B1206" s="32" t="s">
        <v>1301</v>
      </c>
      <c r="C1206" s="48" t="s">
        <v>24</v>
      </c>
      <c r="D1206" s="49">
        <v>2021</v>
      </c>
      <c r="E1206" s="49" t="s">
        <v>30</v>
      </c>
      <c r="F1206" s="6">
        <v>8</v>
      </c>
      <c r="G1206" s="6">
        <v>8</v>
      </c>
      <c r="H1206" s="6">
        <v>8</v>
      </c>
      <c r="I1206" s="6">
        <v>8</v>
      </c>
      <c r="J1206" s="6">
        <v>8</v>
      </c>
      <c r="K1206" s="6">
        <v>8</v>
      </c>
      <c r="L1206" s="6">
        <v>6</v>
      </c>
      <c r="M1206" s="6"/>
      <c r="N1206" s="6">
        <v>6</v>
      </c>
      <c r="O1206" s="6">
        <v>8</v>
      </c>
      <c r="P1206" s="6">
        <v>8</v>
      </c>
      <c r="Q1206" s="6">
        <v>8</v>
      </c>
      <c r="R1206" s="6">
        <v>8</v>
      </c>
      <c r="S1206" s="50">
        <f>SUM(F1206:R1206)</f>
        <v>92</v>
      </c>
      <c r="T1206" s="50">
        <f>COUNT(F1206:R1206)</f>
        <v>12</v>
      </c>
      <c r="U1206" s="36">
        <f>IF(T1206&gt;=2,ROUND((IF(T1206=2,0.55,IF(T1206&lt;=4,0.7,IF(T1206&lt;=6,0.8,IF(T1206&lt;=9,0.9,1))))*(S1206/T1206)+(1-(IF(T1206=2,0.55,IF(T1206&lt;=4,0.7,IF(T1206&lt;=6,0.8,IF(T1206&lt;=9,0.9,1))))))*$Y$1),1),"")</f>
        <v>7.7</v>
      </c>
      <c r="V1206" s="37">
        <v>7.2</v>
      </c>
      <c r="W1206" s="38" t="s">
        <v>44</v>
      </c>
    </row>
    <row r="1207" ht="24" customHeight="1" spans="1:23" x14ac:dyDescent="0.25">
      <c r="A1207" s="31">
        <v>1704</v>
      </c>
      <c r="B1207" s="32" t="s">
        <v>1302</v>
      </c>
      <c r="C1207" s="33" t="s">
        <v>24</v>
      </c>
      <c r="D1207" s="34">
        <v>2022</v>
      </c>
      <c r="E1207" s="34" t="s">
        <v>30</v>
      </c>
      <c r="F1207" s="6"/>
      <c r="G1207" s="6"/>
      <c r="H1207" s="6"/>
      <c r="I1207" s="6"/>
      <c r="J1207" s="6"/>
      <c r="K1207" s="6"/>
      <c r="L1207" s="6"/>
      <c r="M1207" s="6">
        <v>7</v>
      </c>
      <c r="N1207" s="6"/>
      <c r="O1207" s="6"/>
      <c r="P1207" s="6"/>
      <c r="Q1207" s="6"/>
      <c r="R1207" s="6"/>
      <c r="S1207" s="35">
        <f>SUM(F1207:R1207)</f>
        <v>7</v>
      </c>
      <c r="T1207" s="35">
        <f>COUNT(F1207:R1207)</f>
        <v>1</v>
      </c>
      <c r="U1207" s="36">
        <f>IF(T1207&gt;=2,ROUND((IF(T1207=2,0.55,IF(T1207&lt;=4,0.7,IF(T1207&lt;=6,0.8,IF(T1207&lt;=9,0.9,1))))*(S1207/T1207)+(1-(IF(T1207=2,0.55,IF(T1207&lt;=4,0.7,IF(T1207&lt;=6,0.8,IF(T1207&lt;=9,0.9,1))))))*$Y$1),1),"")</f>
      </c>
      <c r="V1207" s="37">
        <v>5.8</v>
      </c>
      <c r="W1207" s="38"/>
    </row>
    <row r="1208" ht="24" customHeight="1" spans="1:23" x14ac:dyDescent="0.25">
      <c r="A1208" s="31">
        <v>239</v>
      </c>
      <c r="B1208" s="32" t="s">
        <v>1303</v>
      </c>
      <c r="C1208" s="33" t="s">
        <v>24</v>
      </c>
      <c r="D1208" s="34">
        <v>2010</v>
      </c>
      <c r="E1208" s="34" t="s">
        <v>30</v>
      </c>
      <c r="F1208" s="6">
        <v>8</v>
      </c>
      <c r="G1208" s="6">
        <v>7</v>
      </c>
      <c r="H1208" s="6">
        <v>8</v>
      </c>
      <c r="I1208" s="6">
        <v>9</v>
      </c>
      <c r="J1208" s="6">
        <v>8</v>
      </c>
      <c r="K1208" s="6">
        <v>8</v>
      </c>
      <c r="L1208" s="6">
        <v>10</v>
      </c>
      <c r="M1208" s="6">
        <v>8</v>
      </c>
      <c r="N1208" s="6">
        <v>10</v>
      </c>
      <c r="O1208" s="6">
        <v>8</v>
      </c>
      <c r="P1208" s="6">
        <v>6</v>
      </c>
      <c r="Q1208" s="6">
        <v>8</v>
      </c>
      <c r="R1208" s="6">
        <v>10</v>
      </c>
      <c r="S1208" s="35">
        <f>SUM(F1208:R1208)</f>
        <v>108</v>
      </c>
      <c r="T1208" s="35">
        <f>COUNT(F1208:R1208)</f>
        <v>13</v>
      </c>
      <c r="U1208" s="36">
        <f>IF(T1208&gt;=2,ROUND((IF(T1208=2,0.55,IF(T1208&lt;=4,0.7,IF(T1208&lt;=6,0.8,IF(T1208&lt;=9,0.9,1))))*(S1208/T1208)+(1-(IF(T1208=2,0.55,IF(T1208&lt;=4,0.7,IF(T1208&lt;=6,0.8,IF(T1208&lt;=9,0.9,1))))))*$Y$1),1),"")</f>
        <v>8.3</v>
      </c>
      <c r="V1208" s="37">
        <v>8.2</v>
      </c>
      <c r="W1208" s="38"/>
    </row>
    <row r="1209" ht="24" customHeight="1" spans="1:23" x14ac:dyDescent="0.25">
      <c r="A1209" s="31">
        <v>809</v>
      </c>
      <c r="B1209" s="32" t="s">
        <v>1304</v>
      </c>
      <c r="C1209" s="33" t="s">
        <v>29</v>
      </c>
      <c r="D1209" s="34">
        <v>2018</v>
      </c>
      <c r="E1209" s="34" t="s">
        <v>43</v>
      </c>
      <c r="F1209" s="6"/>
      <c r="G1209" s="6"/>
      <c r="H1209" s="6"/>
      <c r="I1209" s="6"/>
      <c r="J1209" s="6"/>
      <c r="K1209" s="6"/>
      <c r="L1209" s="6">
        <v>8</v>
      </c>
      <c r="M1209" s="6"/>
      <c r="N1209" s="6"/>
      <c r="O1209" s="6"/>
      <c r="P1209" s="6"/>
      <c r="Q1209" s="6"/>
      <c r="R1209" s="6"/>
      <c r="S1209" s="35">
        <f>SUM(F1209:R1209)</f>
        <v>8</v>
      </c>
      <c r="T1209" s="35">
        <f>COUNT(F1209:R1209)</f>
        <v>1</v>
      </c>
      <c r="U1209" s="36">
        <f>IF(T1209&gt;=2,ROUND((IF(T1209=2,0.55,IF(T1209&lt;=4,0.7,IF(T1209&lt;=6,0.8,IF(T1209&lt;=9,0.9,1))))*(S1209/T1209)+(1-(IF(T1209=2,0.55,IF(T1209&lt;=4,0.7,IF(T1209&lt;=6,0.8,IF(T1209&lt;=9,0.9,1))))))*$Y$1),1),"")</f>
      </c>
      <c r="V1209" s="37">
        <v>7.1</v>
      </c>
      <c r="W1209" s="38"/>
    </row>
    <row r="1210" ht="24" customHeight="1" spans="1:23" x14ac:dyDescent="0.25">
      <c r="A1210" s="31">
        <v>1348</v>
      </c>
      <c r="B1210" s="32" t="s">
        <v>1305</v>
      </c>
      <c r="C1210" s="33" t="s">
        <v>29</v>
      </c>
      <c r="D1210" s="34">
        <v>2019</v>
      </c>
      <c r="E1210" s="34" t="s">
        <v>30</v>
      </c>
      <c r="F1210" s="6"/>
      <c r="G1210" s="6"/>
      <c r="H1210" s="6">
        <v>8</v>
      </c>
      <c r="I1210" s="6"/>
      <c r="J1210" s="6"/>
      <c r="K1210" s="6"/>
      <c r="L1210" s="6"/>
      <c r="M1210" s="6">
        <v>8</v>
      </c>
      <c r="N1210" s="6">
        <v>8</v>
      </c>
      <c r="O1210" s="6"/>
      <c r="P1210" s="6"/>
      <c r="Q1210" s="6"/>
      <c r="R1210" s="6"/>
      <c r="S1210" s="35">
        <f>SUM(F1210:R1210)</f>
        <v>24</v>
      </c>
      <c r="T1210" s="35">
        <f>COUNT(F1210:R1210)</f>
        <v>3</v>
      </c>
      <c r="U1210" s="36">
        <f>IF(T1210&gt;=2,ROUND((IF(T1210=2,0.55,IF(T1210&lt;=4,0.7,IF(T1210&lt;=6,0.8,IF(T1210&lt;=9,0.9,1))))*(S1210/T1210)+(1-(IF(T1210=2,0.55,IF(T1210&lt;=4,0.7,IF(T1210&lt;=6,0.8,IF(T1210&lt;=9,0.9,1))))))*$Y$1),1),"")</f>
        <v>8</v>
      </c>
      <c r="V1210" s="37">
        <v>7.2</v>
      </c>
      <c r="W1210" s="38"/>
    </row>
    <row r="1211" ht="24" customHeight="1" spans="1:23" x14ac:dyDescent="0.25">
      <c r="A1211" s="40">
        <v>2182</v>
      </c>
      <c r="B1211" s="32" t="s">
        <v>1306</v>
      </c>
      <c r="C1211" s="33" t="s">
        <v>24</v>
      </c>
      <c r="D1211" s="34">
        <v>2006</v>
      </c>
      <c r="E1211" s="41"/>
      <c r="F1211" s="6"/>
      <c r="G1211" s="6">
        <v>7</v>
      </c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35">
        <f>SUM(F1211:R1211)</f>
        <v>7</v>
      </c>
      <c r="T1211" s="35">
        <f>COUNT(F1211:R1211)</f>
        <v>1</v>
      </c>
      <c r="U1211" s="36">
        <f>IF(T1211&gt;=2,ROUND((IF(T1211=2,0.55,IF(T1211&lt;=4,0.7,IF(T1211&lt;=6,0.8,IF(T1211&lt;=9,0.9,1))))*(S1211/T1211)+(1-(IF(T1211=2,0.55,IF(T1211&lt;=4,0.7,IF(T1211&lt;=6,0.8,IF(T1211&lt;=9,0.9,1))))))*$Y$1),1),"")</f>
      </c>
      <c r="V1211" s="37">
        <v>5.7</v>
      </c>
      <c r="W1211" s="38"/>
    </row>
    <row r="1212" ht="24" customHeight="1" spans="1:23" x14ac:dyDescent="0.25">
      <c r="A1212" s="31">
        <v>1143</v>
      </c>
      <c r="B1212" s="32" t="s">
        <v>1307</v>
      </c>
      <c r="C1212" s="33" t="s">
        <v>24</v>
      </c>
      <c r="D1212" s="34">
        <v>2021</v>
      </c>
      <c r="E1212" s="34" t="s">
        <v>30</v>
      </c>
      <c r="F1212" s="6">
        <v>6</v>
      </c>
      <c r="G1212" s="6"/>
      <c r="H1212" s="6"/>
      <c r="I1212" s="6"/>
      <c r="J1212" s="6"/>
      <c r="K1212" s="6"/>
      <c r="L1212" s="6"/>
      <c r="M1212" s="6"/>
      <c r="N1212" s="6"/>
      <c r="O1212" s="6">
        <v>6</v>
      </c>
      <c r="P1212" s="6"/>
      <c r="Q1212" s="6"/>
      <c r="R1212" s="6"/>
      <c r="S1212" s="35">
        <f>SUM(F1212:R1212)</f>
        <v>12</v>
      </c>
      <c r="T1212" s="35">
        <f>COUNT(F1212:R1212)</f>
        <v>2</v>
      </c>
      <c r="U1212" s="36">
        <f>IF(T1212&gt;=2,ROUND((IF(T1212=2,0.55,IF(T1212&lt;=4,0.7,IF(T1212&lt;=6,0.8,IF(T1212&lt;=9,0.9,1))))*(S1212/T1212)+(1-(IF(T1212=2,0.55,IF(T1212&lt;=4,0.7,IF(T1212&lt;=6,0.8,IF(T1212&lt;=9,0.9,1))))))*$Y$1),1),"")</f>
        <v>6.9</v>
      </c>
      <c r="V1212" s="37">
        <v>6.6</v>
      </c>
      <c r="W1212" s="38"/>
    </row>
    <row r="1213" ht="24" customHeight="1" spans="1:23" x14ac:dyDescent="0.25">
      <c r="A1213" s="31">
        <v>2465</v>
      </c>
      <c r="B1213" s="32" t="s">
        <v>1308</v>
      </c>
      <c r="C1213" s="33" t="s">
        <v>24</v>
      </c>
      <c r="D1213" s="34">
        <v>2025</v>
      </c>
      <c r="E1213" s="41"/>
      <c r="F1213" s="6">
        <v>8</v>
      </c>
      <c r="G1213" s="6">
        <v>9</v>
      </c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35">
        <f>SUM(F1213:R1213)</f>
        <v>17</v>
      </c>
      <c r="T1213" s="35">
        <f>COUNT(F1213:R1213)</f>
        <v>2</v>
      </c>
      <c r="U1213" s="36">
        <f>IF(T1213&gt;=2,ROUND((IF(T1213=2,0.55,IF(T1213&lt;=4,0.7,IF(T1213&lt;=6,0.8,IF(T1213&lt;=9,0.9,1))))*(S1213/T1213)+(1-(IF(T1213=2,0.55,IF(T1213&lt;=4,0.7,IF(T1213&lt;=6,0.8,IF(T1213&lt;=9,0.9,1))))))*$Y$1),1),"")</f>
        <v>8.3</v>
      </c>
      <c r="V1213" s="37">
        <v>8.4</v>
      </c>
      <c r="W1213" s="38"/>
    </row>
    <row r="1214" ht="24" customHeight="1" spans="1:23" x14ac:dyDescent="0.25">
      <c r="A1214" s="31">
        <v>984</v>
      </c>
      <c r="B1214" s="32" t="s">
        <v>1309</v>
      </c>
      <c r="C1214" s="33" t="s">
        <v>24</v>
      </c>
      <c r="D1214" s="34">
        <v>2020</v>
      </c>
      <c r="E1214" s="34" t="s">
        <v>106</v>
      </c>
      <c r="F1214" s="6"/>
      <c r="G1214" s="6"/>
      <c r="H1214" s="6"/>
      <c r="I1214" s="6"/>
      <c r="J1214" s="6"/>
      <c r="K1214" s="6"/>
      <c r="L1214" s="6">
        <v>10</v>
      </c>
      <c r="M1214" s="6"/>
      <c r="N1214" s="6"/>
      <c r="O1214" s="6"/>
      <c r="P1214" s="6"/>
      <c r="Q1214" s="6"/>
      <c r="R1214" s="6"/>
      <c r="S1214" s="35">
        <f>SUM(F1214:R1214)</f>
        <v>10</v>
      </c>
      <c r="T1214" s="35">
        <f>COUNT(F1214:R1214)</f>
        <v>1</v>
      </c>
      <c r="U1214" s="36">
        <f>IF(T1214&gt;=2,ROUND((IF(T1214=2,0.55,IF(T1214&lt;=4,0.7,IF(T1214&lt;=6,0.8,IF(T1214&lt;=9,0.9,1))))*(S1214/T1214)+(1-(IF(T1214=2,0.55,IF(T1214&lt;=4,0.7,IF(T1214&lt;=6,0.8,IF(T1214&lt;=9,0.9,1))))))*$Y$1),1),"")</f>
      </c>
      <c r="V1214" s="37">
        <v>8.1</v>
      </c>
      <c r="W1214" s="38"/>
    </row>
    <row r="1215" ht="24" customHeight="1" spans="1:23" x14ac:dyDescent="0.25">
      <c r="A1215" s="31">
        <v>1754</v>
      </c>
      <c r="B1215" s="32" t="s">
        <v>1310</v>
      </c>
      <c r="C1215" s="33" t="s">
        <v>24</v>
      </c>
      <c r="D1215" s="34">
        <v>2018</v>
      </c>
      <c r="E1215" s="34" t="s">
        <v>30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>
        <v>7</v>
      </c>
      <c r="P1215" s="6"/>
      <c r="Q1215" s="6"/>
      <c r="R1215" s="6"/>
      <c r="S1215" s="35">
        <f>SUM(F1215:R1215)</f>
        <v>7</v>
      </c>
      <c r="T1215" s="35">
        <f>COUNT(F1215:R1215)</f>
        <v>1</v>
      </c>
      <c r="U1215" s="36">
        <f>IF(T1215&gt;=2,ROUND((IF(T1215=2,0.55,IF(T1215&lt;=4,0.7,IF(T1215&lt;=6,0.8,IF(T1215&lt;=9,0.9,1))))*(S1215/T1215)+(1-(IF(T1215=2,0.55,IF(T1215&lt;=4,0.7,IF(T1215&lt;=6,0.8,IF(T1215&lt;=9,0.9,1))))))*$Y$1),1),"")</f>
      </c>
      <c r="V1215" s="37">
        <v>5.7</v>
      </c>
      <c r="W1215" s="38"/>
    </row>
    <row r="1216" ht="24" customHeight="1" spans="1:23" x14ac:dyDescent="0.25">
      <c r="A1216" s="31">
        <v>1135</v>
      </c>
      <c r="B1216" s="32" t="s">
        <v>1311</v>
      </c>
      <c r="C1216" s="33" t="s">
        <v>24</v>
      </c>
      <c r="D1216" s="34">
        <v>2021</v>
      </c>
      <c r="E1216" s="34" t="s">
        <v>30</v>
      </c>
      <c r="F1216" s="6">
        <v>6</v>
      </c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35">
        <f>SUM(F1216:R1216)</f>
        <v>6</v>
      </c>
      <c r="T1216" s="35">
        <f>COUNT(F1216:R1216)</f>
        <v>1</v>
      </c>
      <c r="U1216" s="36">
        <f>IF(T1216&gt;=2,ROUND((IF(T1216=2,0.55,IF(T1216&lt;=4,0.7,IF(T1216&lt;=6,0.8,IF(T1216&lt;=9,0.9,1))))*(S1216/T1216)+(1-(IF(T1216=2,0.55,IF(T1216&lt;=4,0.7,IF(T1216&lt;=6,0.8,IF(T1216&lt;=9,0.9,1))))))*$Y$1),1),"")</f>
      </c>
      <c r="V1216" s="37">
        <v>5.3</v>
      </c>
      <c r="W1216" s="38"/>
    </row>
    <row r="1217" ht="24" customHeight="1" spans="1:23" x14ac:dyDescent="0.25">
      <c r="A1217" s="47">
        <v>1423</v>
      </c>
      <c r="B1217" s="32" t="s">
        <v>1312</v>
      </c>
      <c r="C1217" s="48" t="s">
        <v>158</v>
      </c>
      <c r="D1217" s="49">
        <v>2015</v>
      </c>
      <c r="E1217" s="49" t="s">
        <v>122</v>
      </c>
      <c r="F1217" s="6">
        <v>8</v>
      </c>
      <c r="G1217" s="6">
        <v>9</v>
      </c>
      <c r="H1217" s="6">
        <v>8</v>
      </c>
      <c r="I1217" s="6">
        <v>9</v>
      </c>
      <c r="J1217" s="6">
        <v>6</v>
      </c>
      <c r="K1217" s="6">
        <v>8</v>
      </c>
      <c r="L1217" s="6">
        <v>7</v>
      </c>
      <c r="M1217" s="6">
        <v>8</v>
      </c>
      <c r="N1217" s="6">
        <v>8</v>
      </c>
      <c r="O1217" s="6">
        <v>8</v>
      </c>
      <c r="P1217" s="6">
        <v>8</v>
      </c>
      <c r="Q1217" s="6">
        <v>8</v>
      </c>
      <c r="R1217" s="6">
        <v>6</v>
      </c>
      <c r="S1217" s="50">
        <f>SUM(F1217:R1217)</f>
        <v>101</v>
      </c>
      <c r="T1217" s="50">
        <f>COUNT(F1217:R1217)</f>
        <v>13</v>
      </c>
      <c r="U1217" s="36">
        <f>IF(T1217&gt;=2,ROUND((IF(T1217=2,0.55,IF(T1217&lt;=4,0.7,IF(T1217&lt;=6,0.8,IF(T1217&lt;=9,0.9,1))))*(S1217/T1217)+(1-(IF(T1217=2,0.55,IF(T1217&lt;=4,0.7,IF(T1217&lt;=6,0.8,IF(T1217&lt;=9,0.9,1))))))*$Y$1),1),"")</f>
        <v>7.8</v>
      </c>
      <c r="V1217" s="37">
        <v>8.6</v>
      </c>
      <c r="W1217" s="38" t="s">
        <v>44</v>
      </c>
    </row>
    <row r="1218" ht="47.25" customHeight="1" spans="1:23" x14ac:dyDescent="0.25">
      <c r="A1218" s="47">
        <v>1160</v>
      </c>
      <c r="B1218" s="32" t="s">
        <v>1313</v>
      </c>
      <c r="C1218" s="48" t="s">
        <v>24</v>
      </c>
      <c r="D1218" s="49">
        <v>2021</v>
      </c>
      <c r="E1218" s="49" t="s">
        <v>951</v>
      </c>
      <c r="F1218" s="6">
        <v>6</v>
      </c>
      <c r="G1218" s="6">
        <v>6</v>
      </c>
      <c r="H1218" s="6"/>
      <c r="I1218" s="6">
        <v>8</v>
      </c>
      <c r="J1218" s="6">
        <v>8</v>
      </c>
      <c r="K1218" s="6">
        <v>6</v>
      </c>
      <c r="L1218" s="6">
        <v>6</v>
      </c>
      <c r="M1218" s="6">
        <v>6</v>
      </c>
      <c r="N1218" s="6">
        <v>8</v>
      </c>
      <c r="O1218" s="6">
        <v>8</v>
      </c>
      <c r="P1218" s="6">
        <v>8</v>
      </c>
      <c r="Q1218" s="6">
        <v>6</v>
      </c>
      <c r="R1218" s="6"/>
      <c r="S1218" s="50">
        <f>SUM(F1218:R1218)</f>
        <v>76</v>
      </c>
      <c r="T1218" s="50">
        <f>COUNT(F1218:R1218)</f>
        <v>11</v>
      </c>
      <c r="U1218" s="36">
        <f>IF(T1218&gt;=2,ROUND((IF(T1218=2,0.55,IF(T1218&lt;=4,0.7,IF(T1218&lt;=6,0.8,IF(T1218&lt;=9,0.9,1))))*(S1218/T1218)+(1-(IF(T1218=2,0.55,IF(T1218&lt;=4,0.7,IF(T1218&lt;=6,0.8,IF(T1218&lt;=9,0.9,1))))))*$Y$1),1),"")</f>
        <v>6.9</v>
      </c>
      <c r="V1218" s="37">
        <v>6.6</v>
      </c>
      <c r="W1218" s="38" t="s">
        <v>44</v>
      </c>
    </row>
    <row r="1219" ht="24" customHeight="1" spans="1:23" x14ac:dyDescent="0.25">
      <c r="A1219" s="31">
        <v>840</v>
      </c>
      <c r="B1219" s="32" t="s">
        <v>1314</v>
      </c>
      <c r="C1219" s="33" t="s">
        <v>24</v>
      </c>
      <c r="D1219" s="34">
        <v>2013</v>
      </c>
      <c r="E1219" s="34" t="s">
        <v>30</v>
      </c>
      <c r="F1219" s="6"/>
      <c r="G1219" s="6"/>
      <c r="H1219" s="6"/>
      <c r="I1219" s="6"/>
      <c r="J1219" s="6">
        <v>8</v>
      </c>
      <c r="K1219" s="6"/>
      <c r="L1219" s="6"/>
      <c r="M1219" s="6"/>
      <c r="N1219" s="6"/>
      <c r="O1219" s="6"/>
      <c r="P1219" s="6"/>
      <c r="Q1219" s="6"/>
      <c r="R1219" s="6"/>
      <c r="S1219" s="35">
        <f>SUM(F1219:R1219)</f>
        <v>8</v>
      </c>
      <c r="T1219" s="35">
        <f>COUNT(F1219:R1219)</f>
        <v>1</v>
      </c>
      <c r="U1219" s="36">
        <f>IF(T1219&gt;=2,ROUND((IF(T1219=2,0.55,IF(T1219&lt;=4,0.7,IF(T1219&lt;=6,0.8,IF(T1219&lt;=9,0.9,1))))*(S1219/T1219)+(1-(IF(T1219=2,0.55,IF(T1219&lt;=4,0.7,IF(T1219&lt;=6,0.8,IF(T1219&lt;=9,0.9,1))))))*$Y$1),1),"")</f>
      </c>
      <c r="V1219" s="37">
        <v>8.6</v>
      </c>
      <c r="W1219" s="38"/>
    </row>
    <row r="1220" ht="24" customHeight="1" spans="1:23" x14ac:dyDescent="0.25">
      <c r="A1220" s="40">
        <v>2146</v>
      </c>
      <c r="B1220" s="32" t="s">
        <v>1315</v>
      </c>
      <c r="C1220" s="33" t="s">
        <v>24</v>
      </c>
      <c r="D1220" s="34">
        <v>2004</v>
      </c>
      <c r="E1220" s="41"/>
      <c r="F1220" s="6"/>
      <c r="G1220" s="6">
        <v>7</v>
      </c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35">
        <f>SUM(F1220:R1220)</f>
        <v>7</v>
      </c>
      <c r="T1220" s="35">
        <f>COUNT(F1220:R1220)</f>
        <v>1</v>
      </c>
      <c r="U1220" s="36">
        <f>IF(T1220&gt;=2,ROUND((IF(T1220=2,0.55,IF(T1220&lt;=4,0.7,IF(T1220&lt;=6,0.8,IF(T1220&lt;=9,0.9,1))))*(S1220/T1220)+(1-(IF(T1220=2,0.55,IF(T1220&lt;=4,0.7,IF(T1220&lt;=6,0.8,IF(T1220&lt;=9,0.9,1))))))*$Y$1),1),"")</f>
      </c>
      <c r="V1220" s="37">
        <v>8.1</v>
      </c>
      <c r="W1220" s="38"/>
    </row>
    <row r="1221" ht="24" customHeight="1" spans="1:23" s="39" customFormat="1" x14ac:dyDescent="0.25">
      <c r="A1221" s="40">
        <v>2217</v>
      </c>
      <c r="B1221" s="32" t="s">
        <v>1316</v>
      </c>
      <c r="C1221" s="33" t="s">
        <v>24</v>
      </c>
      <c r="D1221" s="34">
        <v>2008</v>
      </c>
      <c r="E1221" s="41"/>
      <c r="F1221" s="6"/>
      <c r="G1221" s="6">
        <v>7</v>
      </c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35">
        <f>SUM(F1221:R1221)</f>
        <v>7</v>
      </c>
      <c r="T1221" s="35">
        <f>COUNT(F1221:R1221)</f>
        <v>1</v>
      </c>
      <c r="U1221" s="36">
        <f>IF(T1221&gt;=2,ROUND((IF(T1221=2,0.55,IF(T1221&lt;=4,0.7,IF(T1221&lt;=6,0.8,IF(T1221&lt;=9,0.9,1))))*(S1221/T1221)+(1-(IF(T1221=2,0.55,IF(T1221&lt;=4,0.7,IF(T1221&lt;=6,0.8,IF(T1221&lt;=9,0.9,1))))))*$Y$1),1),"")</f>
      </c>
      <c r="V1221" s="37">
        <v>7.1</v>
      </c>
      <c r="W1221" s="38"/>
    </row>
    <row r="1222" ht="24" customHeight="1" spans="1:23" x14ac:dyDescent="0.25">
      <c r="A1222" s="40">
        <v>2145</v>
      </c>
      <c r="B1222" s="32" t="s">
        <v>1317</v>
      </c>
      <c r="C1222" s="33" t="s">
        <v>24</v>
      </c>
      <c r="D1222" s="34">
        <v>2004</v>
      </c>
      <c r="E1222" s="41"/>
      <c r="F1222" s="6"/>
      <c r="G1222" s="6">
        <v>7</v>
      </c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35">
        <f>SUM(F1222:R1222)</f>
        <v>7</v>
      </c>
      <c r="T1222" s="35">
        <f>COUNT(F1222:R1222)</f>
        <v>1</v>
      </c>
      <c r="U1222" s="36">
        <f>IF(T1222&gt;=2,ROUND((IF(T1222=2,0.55,IF(T1222&lt;=4,0.7,IF(T1222&lt;=6,0.8,IF(T1222&lt;=9,0.9,1))))*(S1222/T1222)+(1-(IF(T1222=2,0.55,IF(T1222&lt;=4,0.7,IF(T1222&lt;=6,0.8,IF(T1222&lt;=9,0.9,1))))))*$Y$1),1),"")</f>
      </c>
      <c r="V1222" s="37">
        <v>7.4</v>
      </c>
      <c r="W1222" s="38"/>
    </row>
    <row r="1223" ht="24" customHeight="1" spans="1:23" x14ac:dyDescent="0.25">
      <c r="A1223" s="31">
        <v>397</v>
      </c>
      <c r="B1223" s="32" t="s">
        <v>1318</v>
      </c>
      <c r="C1223" s="33" t="s">
        <v>24</v>
      </c>
      <c r="D1223" s="34">
        <v>2010</v>
      </c>
      <c r="E1223" s="34" t="s">
        <v>27</v>
      </c>
      <c r="F1223" s="6"/>
      <c r="G1223" s="6"/>
      <c r="H1223" s="6"/>
      <c r="I1223" s="6"/>
      <c r="J1223" s="6"/>
      <c r="K1223" s="6">
        <v>6</v>
      </c>
      <c r="L1223" s="6"/>
      <c r="M1223" s="6"/>
      <c r="N1223" s="6"/>
      <c r="O1223" s="6"/>
      <c r="P1223" s="6"/>
      <c r="Q1223" s="6">
        <v>6</v>
      </c>
      <c r="R1223" s="6">
        <v>8</v>
      </c>
      <c r="S1223" s="35">
        <f>SUM(F1223:R1223)</f>
        <v>20</v>
      </c>
      <c r="T1223" s="35">
        <f>COUNT(F1223:R1223)</f>
        <v>3</v>
      </c>
      <c r="U1223" s="36">
        <f>IF(T1223&gt;=2,ROUND((IF(T1223=2,0.55,IF(T1223&lt;=4,0.7,IF(T1223&lt;=6,0.8,IF(T1223&lt;=9,0.9,1))))*(S1223/T1223)+(1-(IF(T1223=2,0.55,IF(T1223&lt;=4,0.7,IF(T1223&lt;=6,0.8,IF(T1223&lt;=9,0.9,1))))))*$Y$1),1),"")</f>
        <v>7.1</v>
      </c>
      <c r="V1223" s="37">
        <v>5.4</v>
      </c>
      <c r="W1223" s="38"/>
    </row>
    <row r="1224" ht="24" customHeight="1" spans="1:23" x14ac:dyDescent="0.25">
      <c r="A1224" s="31">
        <v>65</v>
      </c>
      <c r="B1224" s="32" t="s">
        <v>1319</v>
      </c>
      <c r="C1224" s="33" t="s">
        <v>24</v>
      </c>
      <c r="D1224" s="34">
        <v>2000</v>
      </c>
      <c r="E1224" s="34" t="s">
        <v>92</v>
      </c>
      <c r="F1224" s="6">
        <v>8</v>
      </c>
      <c r="G1224" s="6"/>
      <c r="H1224" s="6"/>
      <c r="I1224" s="6"/>
      <c r="J1224" s="6"/>
      <c r="K1224" s="6">
        <v>10</v>
      </c>
      <c r="L1224" s="6">
        <v>10</v>
      </c>
      <c r="M1224" s="6"/>
      <c r="N1224" s="6"/>
      <c r="O1224" s="6"/>
      <c r="P1224" s="6"/>
      <c r="Q1224" s="6">
        <v>10</v>
      </c>
      <c r="R1224" s="6"/>
      <c r="S1224" s="35">
        <f>SUM(F1224:R1224)</f>
        <v>38</v>
      </c>
      <c r="T1224" s="35">
        <f>COUNT(F1224:R1224)</f>
        <v>4</v>
      </c>
      <c r="U1224" s="36">
        <f>IF(T1224&gt;=2,ROUND((IF(T1224=2,0.55,IF(T1224&lt;=4,0.7,IF(T1224&lt;=6,0.8,IF(T1224&lt;=9,0.9,1))))*(S1224/T1224)+(1-(IF(T1224=2,0.55,IF(T1224&lt;=4,0.7,IF(T1224&lt;=6,0.8,IF(T1224&lt;=9,0.9,1))))))*$Y$1),1),"")</f>
        <v>9.1</v>
      </c>
      <c r="V1224" s="37">
        <v>7.2</v>
      </c>
      <c r="W1224" s="38"/>
    </row>
    <row r="1225" ht="24" customHeight="1" spans="1:23" x14ac:dyDescent="0.25">
      <c r="A1225" s="31">
        <v>2513</v>
      </c>
      <c r="B1225" s="32" t="s">
        <v>1320</v>
      </c>
      <c r="C1225" s="33" t="s">
        <v>24</v>
      </c>
      <c r="D1225" s="34" t="s">
        <v>146</v>
      </c>
      <c r="E1225" s="34" t="s">
        <v>951</v>
      </c>
      <c r="F1225" s="53"/>
      <c r="G1225" s="54"/>
      <c r="H1225" s="55"/>
      <c r="I1225" s="56"/>
      <c r="J1225" s="57"/>
      <c r="K1225" s="58"/>
      <c r="L1225" s="59">
        <v>8.5</v>
      </c>
      <c r="M1225" s="60"/>
      <c r="N1225" s="61"/>
      <c r="O1225" s="62"/>
      <c r="P1225" s="63"/>
      <c r="Q1225" s="64"/>
      <c r="R1225" s="65"/>
      <c r="S1225" s="35">
        <f>SUM(F1225:R1225)</f>
        <v>8.5</v>
      </c>
      <c r="T1225" s="35">
        <f>COUNT(F1225:R1225)</f>
        <v>1</v>
      </c>
      <c r="U1225" s="66"/>
      <c r="V1225" s="37">
        <v>8.2</v>
      </c>
      <c r="W1225" s="38"/>
    </row>
    <row r="1226" ht="24" customHeight="1" spans="1:23" x14ac:dyDescent="0.25">
      <c r="A1226" s="31">
        <v>500</v>
      </c>
      <c r="B1226" s="32" t="s">
        <v>1321</v>
      </c>
      <c r="C1226" s="33" t="s">
        <v>24</v>
      </c>
      <c r="D1226" s="34">
        <v>2018</v>
      </c>
      <c r="E1226" s="34" t="s">
        <v>106</v>
      </c>
      <c r="F1226" s="6"/>
      <c r="G1226" s="6">
        <v>8</v>
      </c>
      <c r="H1226" s="6"/>
      <c r="I1226" s="6"/>
      <c r="J1226" s="6"/>
      <c r="K1226" s="6"/>
      <c r="L1226" s="6"/>
      <c r="M1226" s="6"/>
      <c r="N1226" s="6"/>
      <c r="O1226" s="6"/>
      <c r="P1226" s="6">
        <v>8</v>
      </c>
      <c r="Q1226" s="6"/>
      <c r="R1226" s="6"/>
      <c r="S1226" s="35">
        <f>SUM(F1226:R1226)</f>
        <v>16</v>
      </c>
      <c r="T1226" s="35">
        <f>COUNT(F1226:R1226)</f>
        <v>2</v>
      </c>
      <c r="U1226" s="36">
        <f>IF(T1226&gt;=2,ROUND((IF(T1226=2,0.55,IF(T1226&lt;=4,0.7,IF(T1226&lt;=6,0.8,IF(T1226&lt;=9,0.9,1))))*(S1226/T1226)+(1-(IF(T1226=2,0.55,IF(T1226&lt;=4,0.7,IF(T1226&lt;=6,0.8,IF(T1226&lt;=9,0.9,1))))))*$Y$1),1),"")</f>
        <v>8</v>
      </c>
      <c r="V1226" s="37">
        <v>8.4</v>
      </c>
      <c r="W1226" s="38"/>
    </row>
    <row r="1227" ht="24" customHeight="1" spans="1:23" x14ac:dyDescent="0.25">
      <c r="A1227" s="40">
        <v>2201</v>
      </c>
      <c r="B1227" s="32" t="s">
        <v>1322</v>
      </c>
      <c r="C1227" s="33" t="s">
        <v>24</v>
      </c>
      <c r="D1227" s="34">
        <v>2007</v>
      </c>
      <c r="E1227" s="41"/>
      <c r="F1227" s="6"/>
      <c r="G1227" s="6">
        <v>7</v>
      </c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35">
        <f>SUM(F1227:R1227)</f>
        <v>7</v>
      </c>
      <c r="T1227" s="35">
        <f>COUNT(F1227:R1227)</f>
        <v>1</v>
      </c>
      <c r="U1227" s="36">
        <f>IF(T1227&gt;=2,ROUND((IF(T1227=2,0.55,IF(T1227&lt;=4,0.7,IF(T1227&lt;=6,0.8,IF(T1227&lt;=9,0.9,1))))*(S1227/T1227)+(1-(IF(T1227=2,0.55,IF(T1227&lt;=4,0.7,IF(T1227&lt;=6,0.8,IF(T1227&lt;=9,0.9,1))))))*$Y$1),1),"")</f>
      </c>
      <c r="V1227" s="37">
        <v>6.3</v>
      </c>
      <c r="W1227" s="38"/>
    </row>
    <row r="1228" ht="24" customHeight="1" spans="1:23" x14ac:dyDescent="0.25">
      <c r="A1228" s="40">
        <v>2318</v>
      </c>
      <c r="B1228" s="32" t="s">
        <v>1323</v>
      </c>
      <c r="C1228" s="33" t="s">
        <v>24</v>
      </c>
      <c r="D1228" s="34">
        <v>2018</v>
      </c>
      <c r="E1228" s="41"/>
      <c r="F1228" s="6"/>
      <c r="G1228" s="6">
        <v>8</v>
      </c>
      <c r="H1228" s="6"/>
      <c r="I1228" s="6"/>
      <c r="J1228" s="6"/>
      <c r="K1228" s="6"/>
      <c r="L1228" s="6">
        <v>8</v>
      </c>
      <c r="M1228" s="6"/>
      <c r="N1228" s="6"/>
      <c r="O1228" s="6"/>
      <c r="P1228" s="6"/>
      <c r="Q1228" s="6">
        <v>3.5</v>
      </c>
      <c r="R1228" s="6"/>
      <c r="S1228" s="35">
        <f>SUM(F1228:R1228)</f>
        <v>19.5</v>
      </c>
      <c r="T1228" s="35">
        <f>COUNT(F1228:R1228)</f>
        <v>3</v>
      </c>
      <c r="U1228" s="36">
        <f>IF(T1228&gt;=2,ROUND((IF(T1228=2,0.55,IF(T1228&lt;=4,0.7,IF(T1228&lt;=6,0.8,IF(T1228&lt;=9,0.9,1))))*(S1228/T1228)+(1-(IF(T1228=2,0.55,IF(T1228&lt;=4,0.7,IF(T1228&lt;=6,0.8,IF(T1228&lt;=9,0.9,1))))))*$Y$1),1),"")</f>
        <v>7</v>
      </c>
      <c r="V1228" s="37">
        <v>7.8</v>
      </c>
      <c r="W1228" s="38"/>
    </row>
    <row r="1229" ht="24" customHeight="1" spans="1:23" x14ac:dyDescent="0.25">
      <c r="A1229" s="31">
        <v>160</v>
      </c>
      <c r="B1229" s="32" t="s">
        <v>1324</v>
      </c>
      <c r="C1229" s="33" t="s">
        <v>24</v>
      </c>
      <c r="D1229" s="34">
        <v>2015</v>
      </c>
      <c r="E1229" s="34" t="s">
        <v>92</v>
      </c>
      <c r="F1229" s="6"/>
      <c r="G1229" s="6"/>
      <c r="H1229" s="6"/>
      <c r="I1229" s="6"/>
      <c r="J1229" s="6"/>
      <c r="K1229" s="6"/>
      <c r="L1229" s="6">
        <v>8</v>
      </c>
      <c r="M1229" s="6"/>
      <c r="N1229" s="6"/>
      <c r="O1229" s="6"/>
      <c r="P1229" s="6"/>
      <c r="Q1229" s="6"/>
      <c r="R1229" s="6"/>
      <c r="S1229" s="35">
        <f>SUM(F1229:R1229)</f>
        <v>8</v>
      </c>
      <c r="T1229" s="35">
        <f>COUNT(F1229:R1229)</f>
        <v>1</v>
      </c>
      <c r="U1229" s="36">
        <f>IF(T1229&gt;=2,ROUND((IF(T1229=2,0.55,IF(T1229&lt;=4,0.7,IF(T1229&lt;=6,0.8,IF(T1229&lt;=9,0.9,1))))*(S1229/T1229)+(1-(IF(T1229=2,0.55,IF(T1229&lt;=4,0.7,IF(T1229&lt;=6,0.8,IF(T1229&lt;=9,0.9,1))))))*$Y$1),1),"")</f>
      </c>
      <c r="V1229" s="37">
        <v>6.6</v>
      </c>
      <c r="W1229" s="38"/>
    </row>
    <row r="1230" ht="24" customHeight="1" spans="1:23" x14ac:dyDescent="0.25">
      <c r="A1230" s="47">
        <v>2035</v>
      </c>
      <c r="B1230" s="32" t="s">
        <v>1325</v>
      </c>
      <c r="C1230" s="48" t="s">
        <v>24</v>
      </c>
      <c r="D1230" s="49">
        <v>2025</v>
      </c>
      <c r="E1230" s="52"/>
      <c r="F1230" s="6"/>
      <c r="G1230" s="6">
        <v>9</v>
      </c>
      <c r="H1230" s="6">
        <v>10</v>
      </c>
      <c r="I1230" s="6"/>
      <c r="J1230" s="6"/>
      <c r="K1230" s="6"/>
      <c r="L1230" s="6">
        <v>9</v>
      </c>
      <c r="M1230" s="6">
        <v>9</v>
      </c>
      <c r="N1230" s="6"/>
      <c r="O1230" s="6"/>
      <c r="P1230" s="6">
        <v>9</v>
      </c>
      <c r="Q1230" s="6"/>
      <c r="R1230" s="6">
        <v>10</v>
      </c>
      <c r="S1230" s="50">
        <f>SUM(F1230:R1230)</f>
        <v>56</v>
      </c>
      <c r="T1230" s="50">
        <f>COUNT(F1230:R1230)</f>
        <v>6</v>
      </c>
      <c r="U1230" s="36">
        <f>IF(T1230&gt;=2,ROUND((IF(T1230=2,0.55,IF(T1230&lt;=4,0.7,IF(T1230&lt;=6,0.8,IF(T1230&lt;=9,0.9,1))))*(S1230/T1230)+(1-(IF(T1230=2,0.55,IF(T1230&lt;=4,0.7,IF(T1230&lt;=6,0.8,IF(T1230&lt;=9,0.9,1))))))*$Y$1),1),"")</f>
        <v>9.1</v>
      </c>
      <c r="V1230" s="37">
        <v>7.8</v>
      </c>
      <c r="W1230" s="38" t="s">
        <v>44</v>
      </c>
    </row>
    <row r="1231" ht="24" customHeight="1" spans="1:23" x14ac:dyDescent="0.25">
      <c r="A1231" s="40">
        <v>2364</v>
      </c>
      <c r="B1231" s="32" t="s">
        <v>1326</v>
      </c>
      <c r="C1231" s="33" t="s">
        <v>29</v>
      </c>
      <c r="D1231" s="34">
        <v>2018</v>
      </c>
      <c r="E1231" s="41"/>
      <c r="F1231" s="6">
        <v>6</v>
      </c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35">
        <f>SUM(F1231:R1231)</f>
        <v>6</v>
      </c>
      <c r="T1231" s="35">
        <f>COUNT(F1231:R1231)</f>
        <v>1</v>
      </c>
      <c r="U1231" s="36">
        <f>IF(T1231&gt;=2,ROUND((IF(T1231=2,0.55,IF(T1231&lt;=4,0.7,IF(T1231&lt;=6,0.8,IF(T1231&lt;=9,0.9,1))))*(S1231/T1231)+(1-(IF(T1231=2,0.55,IF(T1231&lt;=4,0.7,IF(T1231&lt;=6,0.8,IF(T1231&lt;=9,0.9,1))))))*$Y$1),1),"")</f>
      </c>
      <c r="V1231" s="37">
        <v>7.4</v>
      </c>
      <c r="W1231" s="38"/>
    </row>
    <row r="1232" ht="24" customHeight="1" spans="1:23" x14ac:dyDescent="0.25">
      <c r="A1232" s="40">
        <v>2415</v>
      </c>
      <c r="B1232" s="32" t="s">
        <v>1327</v>
      </c>
      <c r="C1232" s="33" t="s">
        <v>24</v>
      </c>
      <c r="D1232" s="34">
        <v>2025</v>
      </c>
      <c r="E1232" s="41"/>
      <c r="F1232" s="6"/>
      <c r="G1232" s="6"/>
      <c r="H1232" s="6"/>
      <c r="I1232" s="6"/>
      <c r="J1232" s="6">
        <v>9</v>
      </c>
      <c r="K1232" s="6">
        <v>8</v>
      </c>
      <c r="L1232" s="6">
        <v>8</v>
      </c>
      <c r="M1232" s="6"/>
      <c r="N1232" s="6"/>
      <c r="O1232" s="6">
        <v>9</v>
      </c>
      <c r="P1232" s="6"/>
      <c r="Q1232" s="6">
        <v>8</v>
      </c>
      <c r="R1232" s="6"/>
      <c r="S1232" s="35">
        <f>SUM(F1232:R1232)</f>
        <v>42</v>
      </c>
      <c r="T1232" s="35">
        <f>COUNT(F1232:R1232)</f>
        <v>5</v>
      </c>
      <c r="U1232" s="36">
        <f>IF(T1232&gt;=2,ROUND((IF(T1232=2,0.55,IF(T1232&lt;=4,0.7,IF(T1232&lt;=6,0.8,IF(T1232&lt;=9,0.9,1))))*(S1232/T1232)+(1-(IF(T1232=2,0.55,IF(T1232&lt;=4,0.7,IF(T1232&lt;=6,0.8,IF(T1232&lt;=9,0.9,1))))))*$Y$1),1),"")</f>
        <v>8.3</v>
      </c>
      <c r="V1232" s="37">
        <v>7.9</v>
      </c>
      <c r="W1232" s="38"/>
    </row>
    <row r="1233" ht="24" customHeight="1" spans="1:23" x14ac:dyDescent="0.25">
      <c r="A1233" s="31">
        <v>178</v>
      </c>
      <c r="B1233" s="32" t="s">
        <v>1328</v>
      </c>
      <c r="C1233" s="33" t="s">
        <v>29</v>
      </c>
      <c r="D1233" s="34">
        <v>2019</v>
      </c>
      <c r="E1233" s="34" t="s">
        <v>30</v>
      </c>
      <c r="F1233" s="6"/>
      <c r="G1233" s="6">
        <v>8</v>
      </c>
      <c r="H1233" s="6"/>
      <c r="I1233" s="6"/>
      <c r="J1233" s="6">
        <v>10</v>
      </c>
      <c r="K1233" s="6">
        <v>8</v>
      </c>
      <c r="L1233" s="6">
        <v>6</v>
      </c>
      <c r="M1233" s="6"/>
      <c r="N1233" s="6"/>
      <c r="O1233" s="6"/>
      <c r="P1233" s="6">
        <v>8</v>
      </c>
      <c r="Q1233" s="6">
        <v>8</v>
      </c>
      <c r="R1233" s="6"/>
      <c r="S1233" s="35">
        <f>SUM(F1233:R1233)</f>
        <v>48</v>
      </c>
      <c r="T1233" s="35">
        <f>COUNT(F1233:R1233)</f>
        <v>6</v>
      </c>
      <c r="U1233" s="36">
        <f>IF(T1233&gt;=2,ROUND((IF(T1233=2,0.55,IF(T1233&lt;=4,0.7,IF(T1233&lt;=6,0.8,IF(T1233&lt;=9,0.9,1))))*(S1233/T1233)+(1-(IF(T1233=2,0.55,IF(T1233&lt;=4,0.7,IF(T1233&lt;=6,0.8,IF(T1233&lt;=9,0.9,1))))))*$Y$1),1),"")</f>
        <v>8</v>
      </c>
      <c r="V1233" s="37"/>
      <c r="W1233" s="38"/>
    </row>
    <row r="1234" ht="47.25" customHeight="1" spans="1:23" x14ac:dyDescent="0.25">
      <c r="A1234" s="47">
        <v>680</v>
      </c>
      <c r="B1234" s="32" t="s">
        <v>1329</v>
      </c>
      <c r="C1234" s="48" t="s">
        <v>24</v>
      </c>
      <c r="D1234" s="49">
        <v>2014</v>
      </c>
      <c r="E1234" s="49" t="s">
        <v>30</v>
      </c>
      <c r="F1234" s="6">
        <v>8</v>
      </c>
      <c r="G1234" s="6">
        <v>8</v>
      </c>
      <c r="H1234" s="6">
        <v>8</v>
      </c>
      <c r="I1234" s="6">
        <v>8</v>
      </c>
      <c r="J1234" s="6">
        <v>6</v>
      </c>
      <c r="K1234" s="6">
        <v>8</v>
      </c>
      <c r="L1234" s="6">
        <v>8</v>
      </c>
      <c r="M1234" s="6">
        <v>6</v>
      </c>
      <c r="N1234" s="6">
        <v>6</v>
      </c>
      <c r="O1234" s="6"/>
      <c r="P1234" s="6">
        <v>8</v>
      </c>
      <c r="Q1234" s="6">
        <v>8</v>
      </c>
      <c r="R1234" s="6">
        <v>6</v>
      </c>
      <c r="S1234" s="50">
        <f>SUM(F1234:R1234)</f>
        <v>88</v>
      </c>
      <c r="T1234" s="50">
        <f>COUNT(F1234:R1234)</f>
        <v>12</v>
      </c>
      <c r="U1234" s="36">
        <f>IF(T1234&gt;=2,ROUND((IF(T1234=2,0.55,IF(T1234&lt;=4,0.7,IF(T1234&lt;=6,0.8,IF(T1234&lt;=9,0.9,1))))*(S1234/T1234)+(1-(IF(T1234=2,0.55,IF(T1234&lt;=4,0.7,IF(T1234&lt;=6,0.8,IF(T1234&lt;=9,0.9,1))))))*$Y$1),1),"")</f>
        <v>7.3</v>
      </c>
      <c r="V1234" s="37">
        <v>7.9</v>
      </c>
      <c r="W1234" s="38" t="s">
        <v>44</v>
      </c>
    </row>
    <row r="1235" ht="24" customHeight="1" spans="1:23" x14ac:dyDescent="0.25">
      <c r="A1235" s="31">
        <v>1879</v>
      </c>
      <c r="B1235" s="32" t="s">
        <v>1330</v>
      </c>
      <c r="C1235" s="33" t="s">
        <v>29</v>
      </c>
      <c r="D1235" s="34">
        <v>2024</v>
      </c>
      <c r="E1235" s="34" t="s">
        <v>30</v>
      </c>
      <c r="F1235" s="6">
        <v>8</v>
      </c>
      <c r="G1235" s="6"/>
      <c r="H1235" s="6"/>
      <c r="I1235" s="6"/>
      <c r="J1235" s="6"/>
      <c r="K1235" s="6"/>
      <c r="L1235" s="6"/>
      <c r="M1235" s="6"/>
      <c r="N1235" s="6">
        <v>10</v>
      </c>
      <c r="O1235" s="6"/>
      <c r="P1235" s="6"/>
      <c r="Q1235" s="6"/>
      <c r="R1235" s="6"/>
      <c r="S1235" s="35">
        <f>SUM(F1235:R1235)</f>
        <v>18</v>
      </c>
      <c r="T1235" s="35">
        <f>COUNT(F1235:R1235)</f>
        <v>2</v>
      </c>
      <c r="U1235" s="36">
        <f>IF(T1235&gt;=2,ROUND((IF(T1235=2,0.55,IF(T1235&lt;=4,0.7,IF(T1235&lt;=6,0.8,IF(T1235&lt;=9,0.9,1))))*(S1235/T1235)+(1-(IF(T1235=2,0.55,IF(T1235&lt;=4,0.7,IF(T1235&lt;=6,0.8,IF(T1235&lt;=9,0.9,1))))))*$Y$1),1),"")</f>
        <v>8.6</v>
      </c>
      <c r="V1235" s="37">
        <v>7.7</v>
      </c>
      <c r="W1235" s="38"/>
    </row>
    <row r="1236" ht="24" customHeight="1" spans="1:23" s="39" customFormat="1" x14ac:dyDescent="0.25">
      <c r="A1236" s="31">
        <v>1083</v>
      </c>
      <c r="B1236" s="32" t="s">
        <v>1331</v>
      </c>
      <c r="C1236" s="33" t="s">
        <v>29</v>
      </c>
      <c r="D1236" s="34">
        <v>2021</v>
      </c>
      <c r="E1236" s="34" t="s">
        <v>30</v>
      </c>
      <c r="F1236" s="6"/>
      <c r="G1236" s="6"/>
      <c r="H1236" s="6">
        <v>8</v>
      </c>
      <c r="I1236" s="6"/>
      <c r="J1236" s="6"/>
      <c r="K1236" s="6"/>
      <c r="L1236" s="6">
        <v>8</v>
      </c>
      <c r="M1236" s="6"/>
      <c r="N1236" s="6">
        <v>8</v>
      </c>
      <c r="O1236" s="6"/>
      <c r="P1236" s="6"/>
      <c r="Q1236" s="6"/>
      <c r="R1236" s="6"/>
      <c r="S1236" s="35">
        <f>SUM(F1236:R1236)</f>
        <v>24</v>
      </c>
      <c r="T1236" s="35">
        <f>COUNT(F1236:R1236)</f>
        <v>3</v>
      </c>
      <c r="U1236" s="36">
        <f>IF(T1236&gt;=2,ROUND((IF(T1236=2,0.55,IF(T1236&lt;=4,0.7,IF(T1236&lt;=6,0.8,IF(T1236&lt;=9,0.9,1))))*(S1236/T1236)+(1-(IF(T1236=2,0.55,IF(T1236&lt;=4,0.7,IF(T1236&lt;=6,0.8,IF(T1236&lt;=9,0.9,1))))))*$Y$1),1),"")</f>
        <v>8</v>
      </c>
      <c r="V1236" s="37">
        <v>7</v>
      </c>
      <c r="W1236" s="38"/>
    </row>
    <row r="1237" ht="24" customHeight="1" spans="1:23" x14ac:dyDescent="0.25">
      <c r="A1237" s="31">
        <v>299</v>
      </c>
      <c r="B1237" s="32" t="s">
        <v>1332</v>
      </c>
      <c r="C1237" s="33" t="s">
        <v>24</v>
      </c>
      <c r="D1237" s="34">
        <v>2011</v>
      </c>
      <c r="E1237" s="34" t="s">
        <v>137</v>
      </c>
      <c r="F1237" s="6"/>
      <c r="G1237" s="6">
        <v>8</v>
      </c>
      <c r="H1237" s="6">
        <v>8</v>
      </c>
      <c r="I1237" s="6"/>
      <c r="J1237" s="6"/>
      <c r="K1237" s="6">
        <v>6</v>
      </c>
      <c r="L1237" s="6">
        <v>7</v>
      </c>
      <c r="M1237" s="6">
        <v>8</v>
      </c>
      <c r="N1237" s="6"/>
      <c r="O1237" s="6"/>
      <c r="P1237" s="6">
        <v>8</v>
      </c>
      <c r="Q1237" s="6">
        <v>6</v>
      </c>
      <c r="R1237" s="6"/>
      <c r="S1237" s="35">
        <f>SUM(F1237:R1237)</f>
        <v>51</v>
      </c>
      <c r="T1237" s="35">
        <f>COUNT(F1237:R1237)</f>
        <v>7</v>
      </c>
      <c r="U1237" s="36">
        <f>IF(T1237&gt;=2,ROUND((IF(T1237=2,0.55,IF(T1237&lt;=4,0.7,IF(T1237&lt;=6,0.8,IF(T1237&lt;=9,0.9,1))))*(S1237/T1237)+(1-(IF(T1237=2,0.55,IF(T1237&lt;=4,0.7,IF(T1237&lt;=6,0.8,IF(T1237&lt;=9,0.9,1))))))*$Y$1),1),"")</f>
        <v>7.4</v>
      </c>
      <c r="V1237" s="37">
        <v>8.1</v>
      </c>
      <c r="W1237" s="38"/>
    </row>
    <row r="1238" ht="24" customHeight="1" spans="1:23" x14ac:dyDescent="0.25">
      <c r="A1238" s="31">
        <v>228</v>
      </c>
      <c r="B1238" s="32" t="s">
        <v>1333</v>
      </c>
      <c r="C1238" s="33" t="s">
        <v>24</v>
      </c>
      <c r="D1238" s="34">
        <v>2019</v>
      </c>
      <c r="E1238" s="34" t="s">
        <v>30</v>
      </c>
      <c r="F1238" s="6">
        <v>8</v>
      </c>
      <c r="G1238" s="6">
        <v>8</v>
      </c>
      <c r="H1238" s="6">
        <v>8</v>
      </c>
      <c r="I1238" s="6">
        <v>6</v>
      </c>
      <c r="J1238" s="6">
        <v>10</v>
      </c>
      <c r="K1238" s="6">
        <v>8</v>
      </c>
      <c r="L1238" s="6">
        <v>6</v>
      </c>
      <c r="M1238" s="6"/>
      <c r="N1238" s="6"/>
      <c r="O1238" s="6"/>
      <c r="P1238" s="6">
        <v>6</v>
      </c>
      <c r="Q1238" s="6">
        <v>8</v>
      </c>
      <c r="R1238" s="6"/>
      <c r="S1238" s="35">
        <f>SUM(F1238:R1238)</f>
        <v>68</v>
      </c>
      <c r="T1238" s="35">
        <f>COUNT(F1238:R1238)</f>
        <v>9</v>
      </c>
      <c r="U1238" s="36">
        <f>IF(T1238&gt;=2,ROUND((IF(T1238=2,0.55,IF(T1238&lt;=4,0.7,IF(T1238&lt;=6,0.8,IF(T1238&lt;=9,0.9,1))))*(S1238/T1238)+(1-(IF(T1238=2,0.55,IF(T1238&lt;=4,0.7,IF(T1238&lt;=6,0.8,IF(T1238&lt;=9,0.9,1))))))*$Y$1),1),"")</f>
        <v>7.6</v>
      </c>
      <c r="V1238" s="37">
        <v>7.9</v>
      </c>
      <c r="W1238" s="38"/>
    </row>
    <row r="1239" ht="24" customHeight="1" spans="1:23" x14ac:dyDescent="0.25">
      <c r="A1239" s="31">
        <v>2000</v>
      </c>
      <c r="B1239" s="32" t="s">
        <v>1334</v>
      </c>
      <c r="C1239" s="33" t="s">
        <v>24</v>
      </c>
      <c r="D1239" s="34">
        <v>2025</v>
      </c>
      <c r="E1239" s="34" t="s">
        <v>30</v>
      </c>
      <c r="F1239" s="6"/>
      <c r="G1239" s="6"/>
      <c r="H1239" s="6"/>
      <c r="I1239" s="6"/>
      <c r="J1239" s="6">
        <v>8</v>
      </c>
      <c r="K1239" s="6"/>
      <c r="L1239" s="6"/>
      <c r="M1239" s="6"/>
      <c r="N1239" s="6"/>
      <c r="O1239" s="6">
        <v>7</v>
      </c>
      <c r="P1239" s="6"/>
      <c r="Q1239" s="6"/>
      <c r="R1239" s="6"/>
      <c r="S1239" s="35">
        <f>SUM(F1239:R1239)</f>
        <v>15</v>
      </c>
      <c r="T1239" s="35">
        <f>COUNT(F1239:R1239)</f>
        <v>2</v>
      </c>
      <c r="U1239" s="36">
        <f>IF(T1239&gt;=2,ROUND((IF(T1239=2,0.55,IF(T1239&lt;=4,0.7,IF(T1239&lt;=6,0.8,IF(T1239&lt;=9,0.9,1))))*(S1239/T1239)+(1-(IF(T1239=2,0.55,IF(T1239&lt;=4,0.7,IF(T1239&lt;=6,0.8,IF(T1239&lt;=9,0.9,1))))))*$Y$1),1),"")</f>
        <v>7.8</v>
      </c>
      <c r="V1239" s="37">
        <v>6.3</v>
      </c>
      <c r="W1239" s="38"/>
    </row>
    <row r="1240" ht="24" customHeight="1" spans="1:23" s="39" customFormat="1" x14ac:dyDescent="0.25">
      <c r="A1240" s="40">
        <v>2420</v>
      </c>
      <c r="B1240" s="32" t="s">
        <v>1335</v>
      </c>
      <c r="C1240" s="33" t="s">
        <v>24</v>
      </c>
      <c r="D1240" s="34">
        <v>2026</v>
      </c>
      <c r="E1240" s="41"/>
      <c r="F1240" s="6">
        <v>7</v>
      </c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35">
        <f>SUM(F1240:R1240)</f>
        <v>7</v>
      </c>
      <c r="T1240" s="35">
        <f>COUNT(F1240:R1240)</f>
        <v>1</v>
      </c>
      <c r="U1240" s="36">
        <f>IF(T1240&gt;=2,ROUND((IF(T1240=2,0.55,IF(T1240&lt;=4,0.7,IF(T1240&lt;=6,0.8,IF(T1240&lt;=9,0.9,1))))*(S1240/T1240)+(1-(IF(T1240=2,0.55,IF(T1240&lt;=4,0.7,IF(T1240&lt;=6,0.8,IF(T1240&lt;=9,0.9,1))))))*$Y$1),1),"")</f>
      </c>
      <c r="V1240" s="37">
        <v>7.1</v>
      </c>
      <c r="W1240" s="38"/>
    </row>
    <row r="1241" ht="24" customHeight="1" spans="1:23" x14ac:dyDescent="0.25">
      <c r="A1241" s="31">
        <v>826</v>
      </c>
      <c r="B1241" s="32" t="s">
        <v>1336</v>
      </c>
      <c r="C1241" s="33" t="s">
        <v>29</v>
      </c>
      <c r="D1241" s="34">
        <v>2017</v>
      </c>
      <c r="E1241" s="34" t="s">
        <v>30</v>
      </c>
      <c r="F1241" s="6"/>
      <c r="G1241" s="6"/>
      <c r="H1241" s="6"/>
      <c r="I1241" s="6"/>
      <c r="J1241" s="6">
        <v>10</v>
      </c>
      <c r="K1241" s="6"/>
      <c r="L1241" s="6">
        <v>6</v>
      </c>
      <c r="M1241" s="6"/>
      <c r="N1241" s="6">
        <v>10</v>
      </c>
      <c r="O1241" s="6"/>
      <c r="P1241" s="6"/>
      <c r="Q1241" s="6"/>
      <c r="R1241" s="6"/>
      <c r="S1241" s="35">
        <f>SUM(F1241:R1241)</f>
        <v>26</v>
      </c>
      <c r="T1241" s="35">
        <f>COUNT(F1241:R1241)</f>
        <v>3</v>
      </c>
      <c r="U1241" s="36">
        <f>IF(T1241&gt;=2,ROUND((IF(T1241=2,0.55,IF(T1241&lt;=4,0.7,IF(T1241&lt;=6,0.8,IF(T1241&lt;=9,0.9,1))))*(S1241/T1241)+(1-(IF(T1241=2,0.55,IF(T1241&lt;=4,0.7,IF(T1241&lt;=6,0.8,IF(T1241&lt;=9,0.9,1))))))*$Y$1),1),"")</f>
        <v>8.5</v>
      </c>
      <c r="V1241" s="37">
        <v>7.6</v>
      </c>
      <c r="W1241" s="38"/>
    </row>
    <row r="1242" ht="24" customHeight="1" spans="1:23" x14ac:dyDescent="0.25">
      <c r="A1242" s="31">
        <v>2459</v>
      </c>
      <c r="B1242" s="32" t="s">
        <v>1337</v>
      </c>
      <c r="C1242" s="33" t="s">
        <v>24</v>
      </c>
      <c r="D1242" s="34">
        <v>2024</v>
      </c>
      <c r="E1242" s="41"/>
      <c r="F1242" s="6"/>
      <c r="G1242" s="6"/>
      <c r="H1242" s="6"/>
      <c r="I1242" s="6">
        <v>8</v>
      </c>
      <c r="J1242" s="6"/>
      <c r="K1242" s="6"/>
      <c r="L1242" s="6"/>
      <c r="M1242" s="6"/>
      <c r="N1242" s="6"/>
      <c r="O1242" s="6"/>
      <c r="P1242" s="6"/>
      <c r="Q1242" s="6"/>
      <c r="R1242" s="6"/>
      <c r="S1242" s="35">
        <f>SUM(F1242:R1242)</f>
        <v>8</v>
      </c>
      <c r="T1242" s="35">
        <f>COUNT(F1242:R1242)</f>
        <v>1</v>
      </c>
      <c r="U1242" s="36">
        <f>IF(T1242&gt;=2,ROUND((IF(T1242=2,0.55,IF(T1242&lt;=4,0.7,IF(T1242&lt;=6,0.8,IF(T1242&lt;=9,0.9,1))))*(S1242/T1242)+(1-(IF(T1242=2,0.55,IF(T1242&lt;=4,0.7,IF(T1242&lt;=6,0.8,IF(T1242&lt;=9,0.9,1))))))*$Y$1),1),"")</f>
      </c>
      <c r="V1242" s="37">
        <v>5.8</v>
      </c>
      <c r="W1242" s="38"/>
    </row>
    <row r="1243" ht="24" customHeight="1" spans="1:23" x14ac:dyDescent="0.25">
      <c r="A1243" s="31">
        <v>1514</v>
      </c>
      <c r="B1243" s="32" t="s">
        <v>1338</v>
      </c>
      <c r="C1243" s="33" t="s">
        <v>24</v>
      </c>
      <c r="D1243" s="34">
        <v>2016</v>
      </c>
      <c r="E1243" s="34" t="s">
        <v>30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>
        <v>6</v>
      </c>
      <c r="P1243" s="6"/>
      <c r="Q1243" s="6"/>
      <c r="R1243" s="6"/>
      <c r="S1243" s="35">
        <f>SUM(F1243:R1243)</f>
        <v>6</v>
      </c>
      <c r="T1243" s="35">
        <f>COUNT(F1243:R1243)</f>
        <v>1</v>
      </c>
      <c r="U1243" s="36">
        <f>IF(T1243&gt;=2,ROUND((IF(T1243=2,0.55,IF(T1243&lt;=4,0.7,IF(T1243&lt;=6,0.8,IF(T1243&lt;=9,0.9,1))))*(S1243/T1243)+(1-(IF(T1243=2,0.55,IF(T1243&lt;=4,0.7,IF(T1243&lt;=6,0.8,IF(T1243&lt;=9,0.9,1))))))*$Y$1),1),"")</f>
      </c>
      <c r="V1243" s="37">
        <v>6.4</v>
      </c>
      <c r="W1243" s="38"/>
    </row>
    <row r="1244" ht="24" customHeight="1" spans="1:23" x14ac:dyDescent="0.25">
      <c r="A1244" s="31">
        <v>1501</v>
      </c>
      <c r="B1244" s="32" t="s">
        <v>1339</v>
      </c>
      <c r="C1244" s="33" t="s">
        <v>24</v>
      </c>
      <c r="D1244" s="34">
        <v>2020</v>
      </c>
      <c r="E1244" s="34" t="s">
        <v>30</v>
      </c>
      <c r="F1244" s="6"/>
      <c r="G1244" s="6"/>
      <c r="H1244" s="6"/>
      <c r="I1244" s="6"/>
      <c r="J1244" s="6"/>
      <c r="K1244" s="6">
        <v>5</v>
      </c>
      <c r="L1244" s="6"/>
      <c r="M1244" s="6"/>
      <c r="N1244" s="6"/>
      <c r="O1244" s="6"/>
      <c r="P1244" s="6"/>
      <c r="Q1244" s="6">
        <v>5</v>
      </c>
      <c r="R1244" s="6"/>
      <c r="S1244" s="35">
        <f>SUM(F1244:R1244)</f>
        <v>10</v>
      </c>
      <c r="T1244" s="35">
        <f>COUNT(F1244:R1244)</f>
        <v>2</v>
      </c>
      <c r="U1244" s="36">
        <f>IF(T1244&gt;=2,ROUND((IF(T1244=2,0.55,IF(T1244&lt;=4,0.7,IF(T1244&lt;=6,0.8,IF(T1244&lt;=9,0.9,1))))*(S1244/T1244)+(1-(IF(T1244=2,0.55,IF(T1244&lt;=4,0.7,IF(T1244&lt;=6,0.8,IF(T1244&lt;=9,0.9,1))))))*$Y$1),1),"")</f>
        <v>6.4</v>
      </c>
      <c r="V1244" s="37">
        <v>5.6</v>
      </c>
      <c r="W1244" s="38"/>
    </row>
    <row r="1245" ht="24" customHeight="1" spans="1:23" x14ac:dyDescent="0.25">
      <c r="A1245" s="31">
        <v>951</v>
      </c>
      <c r="B1245" s="32" t="s">
        <v>1340</v>
      </c>
      <c r="C1245" s="33" t="s">
        <v>114</v>
      </c>
      <c r="D1245" s="34">
        <v>1989</v>
      </c>
      <c r="E1245" s="34" t="s">
        <v>48</v>
      </c>
      <c r="F1245" s="6"/>
      <c r="G1245" s="6">
        <v>7</v>
      </c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35">
        <f>SUM(F1245:R1245)</f>
        <v>7</v>
      </c>
      <c r="T1245" s="35">
        <f>COUNT(F1245:R1245)</f>
        <v>1</v>
      </c>
      <c r="U1245" s="36">
        <f>IF(T1245&gt;=2,ROUND((IF(T1245=2,0.55,IF(T1245&lt;=4,0.7,IF(T1245&lt;=6,0.8,IF(T1245&lt;=9,0.9,1))))*(S1245/T1245)+(1-(IF(T1245=2,0.55,IF(T1245&lt;=4,0.7,IF(T1245&lt;=6,0.8,IF(T1245&lt;=9,0.9,1))))))*$Y$1),1),"")</f>
      </c>
      <c r="V1245" s="37">
        <v>7.7</v>
      </c>
      <c r="W1245" s="38"/>
    </row>
    <row r="1246" ht="24" customHeight="1" spans="1:23" x14ac:dyDescent="0.25">
      <c r="A1246" s="31">
        <v>714</v>
      </c>
      <c r="B1246" s="32" t="s">
        <v>1341</v>
      </c>
      <c r="C1246" s="33" t="s">
        <v>24</v>
      </c>
      <c r="D1246" s="34">
        <v>2019</v>
      </c>
      <c r="E1246" s="34" t="s">
        <v>52</v>
      </c>
      <c r="F1246" s="6"/>
      <c r="G1246" s="6"/>
      <c r="H1246" s="6"/>
      <c r="I1246" s="6"/>
      <c r="J1246" s="6"/>
      <c r="K1246" s="6">
        <v>10</v>
      </c>
      <c r="L1246" s="6"/>
      <c r="M1246" s="6"/>
      <c r="N1246" s="6"/>
      <c r="O1246" s="6"/>
      <c r="P1246" s="6"/>
      <c r="Q1246" s="6">
        <v>10</v>
      </c>
      <c r="R1246" s="6"/>
      <c r="S1246" s="35">
        <f>SUM(F1246:R1246)</f>
        <v>20</v>
      </c>
      <c r="T1246" s="35">
        <f>COUNT(F1246:R1246)</f>
        <v>2</v>
      </c>
      <c r="U1246" s="36">
        <f>IF(T1246&gt;=2,ROUND((IF(T1246=2,0.55,IF(T1246&lt;=4,0.7,IF(T1246&lt;=6,0.8,IF(T1246&lt;=9,0.9,1))))*(S1246/T1246)+(1-(IF(T1246=2,0.55,IF(T1246&lt;=4,0.7,IF(T1246&lt;=6,0.8,IF(T1246&lt;=9,0.9,1))))))*$Y$1),1),"")</f>
        <v>9.1</v>
      </c>
      <c r="V1246" s="37">
        <v>6.8</v>
      </c>
      <c r="W1246" s="38"/>
    </row>
    <row r="1247" ht="24" customHeight="1" spans="1:23" x14ac:dyDescent="0.25">
      <c r="A1247" s="31">
        <v>1793</v>
      </c>
      <c r="B1247" s="32" t="s">
        <v>1342</v>
      </c>
      <c r="C1247" s="33" t="s">
        <v>29</v>
      </c>
      <c r="D1247" s="34">
        <v>2017</v>
      </c>
      <c r="E1247" s="34" t="s">
        <v>48</v>
      </c>
      <c r="F1247" s="6"/>
      <c r="G1247" s="6"/>
      <c r="H1247" s="6">
        <v>8</v>
      </c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35">
        <f>SUM(F1247:R1247)</f>
        <v>8</v>
      </c>
      <c r="T1247" s="35">
        <f>COUNT(F1247:R1247)</f>
        <v>1</v>
      </c>
      <c r="U1247" s="36">
        <f>IF(T1247&gt;=2,ROUND((IF(T1247=2,0.55,IF(T1247&lt;=4,0.7,IF(T1247&lt;=6,0.8,IF(T1247&lt;=9,0.9,1))))*(S1247/T1247)+(1-(IF(T1247=2,0.55,IF(T1247&lt;=4,0.7,IF(T1247&lt;=6,0.8,IF(T1247&lt;=9,0.9,1))))))*$Y$1),1),"")</f>
      </c>
      <c r="V1247" s="37">
        <v>7.6</v>
      </c>
      <c r="W1247" s="38"/>
    </row>
    <row r="1248" ht="24" customHeight="1" spans="1:23" x14ac:dyDescent="0.25">
      <c r="A1248" s="40">
        <v>2051</v>
      </c>
      <c r="B1248" s="32" t="s">
        <v>1343</v>
      </c>
      <c r="C1248" s="33" t="s">
        <v>24</v>
      </c>
      <c r="D1248" s="34">
        <v>2024</v>
      </c>
      <c r="E1248" s="41"/>
      <c r="F1248" s="6">
        <v>6</v>
      </c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35">
        <f>SUM(F1248:R1248)</f>
        <v>6</v>
      </c>
      <c r="T1248" s="35">
        <f>COUNT(F1248:R1248)</f>
        <v>1</v>
      </c>
      <c r="U1248" s="36">
        <f>IF(T1248&gt;=2,ROUND((IF(T1248=2,0.55,IF(T1248&lt;=4,0.7,IF(T1248&lt;=6,0.8,IF(T1248&lt;=9,0.9,1))))*(S1248/T1248)+(1-(IF(T1248=2,0.55,IF(T1248&lt;=4,0.7,IF(T1248&lt;=6,0.8,IF(T1248&lt;=9,0.9,1))))))*$Y$1),1),"")</f>
      </c>
      <c r="V1248" s="37">
        <v>7.1</v>
      </c>
      <c r="W1248" s="38"/>
    </row>
    <row r="1249" ht="24" customHeight="1" spans="1:23" x14ac:dyDescent="0.25">
      <c r="A1249" s="31">
        <v>1816</v>
      </c>
      <c r="B1249" s="32" t="s">
        <v>1344</v>
      </c>
      <c r="C1249" s="33" t="s">
        <v>24</v>
      </c>
      <c r="D1249" s="34">
        <v>1986</v>
      </c>
      <c r="E1249" s="34" t="s">
        <v>25</v>
      </c>
      <c r="F1249" s="6"/>
      <c r="G1249" s="6"/>
      <c r="H1249" s="6"/>
      <c r="I1249" s="6"/>
      <c r="J1249" s="6">
        <v>8</v>
      </c>
      <c r="K1249" s="6"/>
      <c r="L1249" s="6"/>
      <c r="M1249" s="6"/>
      <c r="N1249" s="6"/>
      <c r="O1249" s="6"/>
      <c r="P1249" s="6"/>
      <c r="Q1249" s="6"/>
      <c r="R1249" s="6"/>
      <c r="S1249" s="35">
        <f>SUM(F1249:R1249)</f>
        <v>8</v>
      </c>
      <c r="T1249" s="35">
        <f>COUNT(F1249:R1249)</f>
        <v>1</v>
      </c>
      <c r="U1249" s="36">
        <f>IF(T1249&gt;=2,ROUND((IF(T1249=2,0.55,IF(T1249&lt;=4,0.7,IF(T1249&lt;=6,0.8,IF(T1249&lt;=9,0.9,1))))*(S1249/T1249)+(1-(IF(T1249=2,0.55,IF(T1249&lt;=4,0.7,IF(T1249&lt;=6,0.8,IF(T1249&lt;=9,0.9,1))))))*$Y$1),1),"")</f>
      </c>
      <c r="V1249" s="37">
        <v>7.8</v>
      </c>
      <c r="W1249" s="38"/>
    </row>
    <row r="1250" ht="24" customHeight="1" spans="1:23" x14ac:dyDescent="0.25">
      <c r="A1250" s="31">
        <v>434</v>
      </c>
      <c r="B1250" s="32" t="s">
        <v>1345</v>
      </c>
      <c r="C1250" s="33" t="s">
        <v>24</v>
      </c>
      <c r="D1250" s="34">
        <v>2017</v>
      </c>
      <c r="E1250" s="34" t="s">
        <v>27</v>
      </c>
      <c r="F1250" s="6"/>
      <c r="G1250" s="6"/>
      <c r="H1250" s="6"/>
      <c r="I1250" s="6"/>
      <c r="J1250" s="6"/>
      <c r="K1250" s="6">
        <v>6</v>
      </c>
      <c r="L1250" s="6"/>
      <c r="M1250" s="6"/>
      <c r="N1250" s="6"/>
      <c r="O1250" s="6"/>
      <c r="P1250" s="6"/>
      <c r="Q1250" s="6">
        <v>6</v>
      </c>
      <c r="R1250" s="6"/>
      <c r="S1250" s="35">
        <f>SUM(F1250:R1250)</f>
        <v>12</v>
      </c>
      <c r="T1250" s="35">
        <f>COUNT(F1250:R1250)</f>
        <v>2</v>
      </c>
      <c r="U1250" s="36">
        <f>IF(T1250&gt;=2,ROUND((IF(T1250=2,0.55,IF(T1250&lt;=4,0.7,IF(T1250&lt;=6,0.8,IF(T1250&lt;=9,0.9,1))))*(S1250/T1250)+(1-(IF(T1250=2,0.55,IF(T1250&lt;=4,0.7,IF(T1250&lt;=6,0.8,IF(T1250&lt;=9,0.9,1))))))*$Y$1),1),"")</f>
        <v>6.9</v>
      </c>
      <c r="V1250" s="37">
        <v>6.1</v>
      </c>
      <c r="W1250" s="38"/>
    </row>
    <row r="1251" ht="24" customHeight="1" spans="1:23" x14ac:dyDescent="0.25">
      <c r="A1251" s="31">
        <v>548</v>
      </c>
      <c r="B1251" s="32" t="s">
        <v>1346</v>
      </c>
      <c r="C1251" s="33" t="s">
        <v>29</v>
      </c>
      <c r="D1251" s="34">
        <v>2017</v>
      </c>
      <c r="E1251" s="34" t="s">
        <v>30</v>
      </c>
      <c r="F1251" s="6"/>
      <c r="G1251" s="6"/>
      <c r="H1251" s="6"/>
      <c r="I1251" s="6"/>
      <c r="J1251" s="6"/>
      <c r="K1251" s="6"/>
      <c r="L1251" s="6"/>
      <c r="M1251" s="6"/>
      <c r="N1251" s="6">
        <v>8</v>
      </c>
      <c r="O1251" s="6"/>
      <c r="P1251" s="6"/>
      <c r="Q1251" s="6"/>
      <c r="R1251" s="6"/>
      <c r="S1251" s="35">
        <f>SUM(F1251:R1251)</f>
        <v>8</v>
      </c>
      <c r="T1251" s="35">
        <f>COUNT(F1251:R1251)</f>
        <v>1</v>
      </c>
      <c r="U1251" s="36">
        <f>IF(T1251&gt;=2,ROUND((IF(T1251=2,0.55,IF(T1251&lt;=4,0.7,IF(T1251&lt;=6,0.8,IF(T1251&lt;=9,0.9,1))))*(S1251/T1251)+(1-(IF(T1251=2,0.55,IF(T1251&lt;=4,0.7,IF(T1251&lt;=6,0.8,IF(T1251&lt;=9,0.9,1))))))*$Y$1),1),"")</f>
      </c>
      <c r="V1251" s="37">
        <v>7.5</v>
      </c>
      <c r="W1251" s="38"/>
    </row>
    <row r="1252" ht="24" customHeight="1" spans="1:23" x14ac:dyDescent="0.25">
      <c r="A1252" s="40">
        <v>2423</v>
      </c>
      <c r="B1252" s="32" t="s">
        <v>1347</v>
      </c>
      <c r="C1252" s="33" t="s">
        <v>24</v>
      </c>
      <c r="D1252" s="34">
        <v>2025</v>
      </c>
      <c r="E1252" s="41"/>
      <c r="F1252" s="6">
        <v>9</v>
      </c>
      <c r="G1252" s="6">
        <v>9</v>
      </c>
      <c r="H1252" s="6">
        <v>8</v>
      </c>
      <c r="I1252" s="6">
        <v>10</v>
      </c>
      <c r="J1252" s="6">
        <v>9</v>
      </c>
      <c r="K1252" s="6">
        <v>8</v>
      </c>
      <c r="L1252" s="6">
        <v>9</v>
      </c>
      <c r="M1252" s="6"/>
      <c r="N1252" s="6"/>
      <c r="O1252" s="6">
        <v>9</v>
      </c>
      <c r="P1252" s="6">
        <v>9</v>
      </c>
      <c r="Q1252" s="6">
        <v>8</v>
      </c>
      <c r="R1252" s="6"/>
      <c r="S1252" s="35">
        <f>SUM(F1252:R1252)</f>
        <v>88</v>
      </c>
      <c r="T1252" s="35">
        <f>COUNT(F1252:R1252)</f>
        <v>10</v>
      </c>
      <c r="U1252" s="36">
        <f>IF(T1252&gt;=2,ROUND((IF(T1252=2,0.55,IF(T1252&lt;=4,0.7,IF(T1252&lt;=6,0.8,IF(T1252&lt;=9,0.9,1))))*(S1252/T1252)+(1-(IF(T1252=2,0.55,IF(T1252&lt;=4,0.7,IF(T1252&lt;=6,0.8,IF(T1252&lt;=9,0.9,1))))))*$Y$1),1),"")</f>
        <v>8.8</v>
      </c>
      <c r="V1252" s="37">
        <v>7.8</v>
      </c>
      <c r="W1252" s="38"/>
    </row>
    <row r="1253" ht="24" customHeight="1" spans="1:23" x14ac:dyDescent="0.25">
      <c r="A1253" s="31">
        <v>881</v>
      </c>
      <c r="B1253" s="32" t="s">
        <v>1348</v>
      </c>
      <c r="C1253" s="33" t="s">
        <v>24</v>
      </c>
      <c r="D1253" s="34">
        <v>2019</v>
      </c>
      <c r="E1253" s="34" t="s">
        <v>33</v>
      </c>
      <c r="F1253" s="6"/>
      <c r="G1253" s="6"/>
      <c r="H1253" s="6"/>
      <c r="I1253" s="6"/>
      <c r="J1253" s="6"/>
      <c r="K1253" s="6">
        <v>6</v>
      </c>
      <c r="L1253" s="6"/>
      <c r="M1253" s="6"/>
      <c r="N1253" s="6"/>
      <c r="O1253" s="6"/>
      <c r="P1253" s="6"/>
      <c r="Q1253" s="6">
        <v>6</v>
      </c>
      <c r="R1253" s="6"/>
      <c r="S1253" s="35">
        <f>SUM(F1253:R1253)</f>
        <v>12</v>
      </c>
      <c r="T1253" s="35">
        <f>COUNT(F1253:R1253)</f>
        <v>2</v>
      </c>
      <c r="U1253" s="36">
        <f>IF(T1253&gt;=2,ROUND((IF(T1253=2,0.55,IF(T1253&lt;=4,0.7,IF(T1253&lt;=6,0.8,IF(T1253&lt;=9,0.9,1))))*(S1253/T1253)+(1-(IF(T1253=2,0.55,IF(T1253&lt;=4,0.7,IF(T1253&lt;=6,0.8,IF(T1253&lt;=9,0.9,1))))))*$Y$1),1),"")</f>
        <v>6.9</v>
      </c>
      <c r="V1253" s="37">
        <v>6.3</v>
      </c>
      <c r="W1253" s="38"/>
    </row>
    <row r="1254" ht="24" customHeight="1" spans="1:23" x14ac:dyDescent="0.25">
      <c r="A1254" s="40">
        <v>2082</v>
      </c>
      <c r="B1254" s="32" t="s">
        <v>1349</v>
      </c>
      <c r="C1254" s="33" t="s">
        <v>24</v>
      </c>
      <c r="D1254" s="34">
        <v>1979</v>
      </c>
      <c r="E1254" s="41"/>
      <c r="F1254" s="6"/>
      <c r="G1254" s="6">
        <v>7</v>
      </c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35">
        <f>SUM(F1254:R1254)</f>
        <v>7</v>
      </c>
      <c r="T1254" s="35">
        <f>COUNT(F1254:R1254)</f>
        <v>1</v>
      </c>
      <c r="U1254" s="36">
        <f>IF(T1254&gt;=2,ROUND((IF(T1254=2,0.55,IF(T1254&lt;=4,0.7,IF(T1254&lt;=6,0.8,IF(T1254&lt;=9,0.9,1))))*(S1254/T1254)+(1-(IF(T1254=2,0.55,IF(T1254&lt;=4,0.7,IF(T1254&lt;=6,0.8,IF(T1254&lt;=9,0.9,1))))))*$Y$1),1),"")</f>
      </c>
      <c r="V1254" s="37">
        <v>7.5</v>
      </c>
      <c r="W1254" s="38"/>
    </row>
    <row r="1255" ht="24" customHeight="1" spans="1:23" x14ac:dyDescent="0.25">
      <c r="A1255" s="40">
        <v>2255</v>
      </c>
      <c r="B1255" s="32" t="s">
        <v>1350</v>
      </c>
      <c r="C1255" s="33" t="s">
        <v>24</v>
      </c>
      <c r="D1255" s="34">
        <v>2010</v>
      </c>
      <c r="E1255" s="41"/>
      <c r="F1255" s="6"/>
      <c r="G1255" s="6">
        <v>7</v>
      </c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35">
        <f>SUM(F1255:R1255)</f>
        <v>7</v>
      </c>
      <c r="T1255" s="35">
        <f>COUNT(F1255:R1255)</f>
        <v>1</v>
      </c>
      <c r="U1255" s="36">
        <f>IF(T1255&gt;=2,ROUND((IF(T1255=2,0.55,IF(T1255&lt;=4,0.7,IF(T1255&lt;=6,0.8,IF(T1255&lt;=9,0.9,1))))*(S1255/T1255)+(1-(IF(T1255=2,0.55,IF(T1255&lt;=4,0.7,IF(T1255&lt;=6,0.8,IF(T1255&lt;=9,0.9,1))))))*$Y$1),1),"")</f>
      </c>
      <c r="V1255" s="37">
        <v>6.8</v>
      </c>
      <c r="W1255" s="38"/>
    </row>
    <row r="1256" ht="24" customHeight="1" spans="1:23" x14ac:dyDescent="0.25">
      <c r="A1256" s="31">
        <v>842</v>
      </c>
      <c r="B1256" s="32" t="s">
        <v>1351</v>
      </c>
      <c r="C1256" s="33" t="s">
        <v>29</v>
      </c>
      <c r="D1256" s="34">
        <v>2019</v>
      </c>
      <c r="E1256" s="34" t="s">
        <v>30</v>
      </c>
      <c r="F1256" s="6"/>
      <c r="G1256" s="6"/>
      <c r="H1256" s="6"/>
      <c r="I1256" s="6"/>
      <c r="J1256" s="6"/>
      <c r="K1256" s="6"/>
      <c r="L1256" s="6">
        <v>8</v>
      </c>
      <c r="M1256" s="6"/>
      <c r="N1256" s="6"/>
      <c r="O1256" s="6"/>
      <c r="P1256" s="6"/>
      <c r="Q1256" s="6"/>
      <c r="R1256" s="6"/>
      <c r="S1256" s="35">
        <f>SUM(F1256:R1256)</f>
        <v>8</v>
      </c>
      <c r="T1256" s="35">
        <f>COUNT(F1256:R1256)</f>
        <v>1</v>
      </c>
      <c r="U1256" s="36">
        <f>IF(T1256&gt;=2,ROUND((IF(T1256=2,0.55,IF(T1256&lt;=4,0.7,IF(T1256&lt;=6,0.8,IF(T1256&lt;=9,0.9,1))))*(S1256/T1256)+(1-(IF(T1256=2,0.55,IF(T1256&lt;=4,0.7,IF(T1256&lt;=6,0.8,IF(T1256&lt;=9,0.9,1))))))*$Y$1),1),"")</f>
      </c>
      <c r="V1256" s="37">
        <v>6.5</v>
      </c>
      <c r="W1256" s="38"/>
    </row>
    <row r="1257" ht="24" customHeight="1" spans="1:23" x14ac:dyDescent="0.25">
      <c r="A1257" s="40">
        <v>2225</v>
      </c>
      <c r="B1257" s="32" t="s">
        <v>1352</v>
      </c>
      <c r="C1257" s="33" t="s">
        <v>24</v>
      </c>
      <c r="D1257" s="34">
        <v>2008</v>
      </c>
      <c r="E1257" s="41"/>
      <c r="F1257" s="6"/>
      <c r="G1257" s="6">
        <v>7</v>
      </c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35">
        <f>SUM(F1257:R1257)</f>
        <v>7</v>
      </c>
      <c r="T1257" s="35">
        <f>COUNT(F1257:R1257)</f>
        <v>1</v>
      </c>
      <c r="U1257" s="36">
        <f>IF(T1257&gt;=2,ROUND((IF(T1257=2,0.55,IF(T1257&lt;=4,0.7,IF(T1257&lt;=6,0.8,IF(T1257&lt;=9,0.9,1))))*(S1257/T1257)+(1-(IF(T1257=2,0.55,IF(T1257&lt;=4,0.7,IF(T1257&lt;=6,0.8,IF(T1257&lt;=9,0.9,1))))))*$Y$1),1),"")</f>
      </c>
      <c r="V1257" s="37">
        <v>7.6</v>
      </c>
      <c r="W1257" s="38"/>
    </row>
    <row r="1258" ht="24" customHeight="1" spans="1:23" x14ac:dyDescent="0.25">
      <c r="A1258" s="31">
        <v>1495</v>
      </c>
      <c r="B1258" s="32" t="s">
        <v>1353</v>
      </c>
      <c r="C1258" s="33" t="s">
        <v>29</v>
      </c>
      <c r="D1258" s="34">
        <v>2023</v>
      </c>
      <c r="E1258" s="34" t="s">
        <v>30</v>
      </c>
      <c r="F1258" s="6"/>
      <c r="G1258" s="6"/>
      <c r="H1258" s="6">
        <v>8</v>
      </c>
      <c r="I1258" s="6"/>
      <c r="J1258" s="6"/>
      <c r="K1258" s="6">
        <v>9</v>
      </c>
      <c r="L1258" s="6">
        <v>10</v>
      </c>
      <c r="M1258" s="6"/>
      <c r="N1258" s="6">
        <v>8</v>
      </c>
      <c r="O1258" s="6"/>
      <c r="P1258" s="6"/>
      <c r="Q1258" s="6">
        <v>9</v>
      </c>
      <c r="R1258" s="6"/>
      <c r="S1258" s="35">
        <f>SUM(F1258:R1258)</f>
        <v>44</v>
      </c>
      <c r="T1258" s="35">
        <f>COUNT(F1258:R1258)</f>
        <v>5</v>
      </c>
      <c r="U1258" s="36">
        <f>IF(T1258&gt;=2,ROUND((IF(T1258=2,0.55,IF(T1258&lt;=4,0.7,IF(T1258&lt;=6,0.8,IF(T1258&lt;=9,0.9,1))))*(S1258/T1258)+(1-(IF(T1258=2,0.55,IF(T1258&lt;=4,0.7,IF(T1258&lt;=6,0.8,IF(T1258&lt;=9,0.9,1))))))*$Y$1),1),"")</f>
        <v>8.7</v>
      </c>
      <c r="V1258" s="37">
        <v>8.6</v>
      </c>
      <c r="W1258" s="38"/>
    </row>
    <row r="1259" ht="24" customHeight="1" spans="1:23" x14ac:dyDescent="0.25">
      <c r="A1259" s="40">
        <v>2348</v>
      </c>
      <c r="B1259" s="32" t="s">
        <v>1354</v>
      </c>
      <c r="C1259" s="33" t="s">
        <v>29</v>
      </c>
      <c r="D1259" s="34">
        <v>2025</v>
      </c>
      <c r="E1259" s="41"/>
      <c r="F1259" s="6">
        <v>8</v>
      </c>
      <c r="G1259" s="6"/>
      <c r="H1259" s="6"/>
      <c r="I1259" s="6">
        <v>9</v>
      </c>
      <c r="J1259" s="6"/>
      <c r="K1259" s="6"/>
      <c r="L1259" s="6">
        <v>9</v>
      </c>
      <c r="M1259" s="6"/>
      <c r="N1259" s="6"/>
      <c r="O1259" s="6"/>
      <c r="P1259" s="6"/>
      <c r="Q1259" s="6"/>
      <c r="R1259" s="6"/>
      <c r="S1259" s="35">
        <f>SUM(F1259:R1259)</f>
        <v>26</v>
      </c>
      <c r="T1259" s="35">
        <f>COUNT(F1259:R1259)</f>
        <v>3</v>
      </c>
      <c r="U1259" s="36">
        <f>IF(T1259&gt;=2,ROUND((IF(T1259=2,0.55,IF(T1259&lt;=4,0.7,IF(T1259&lt;=6,0.8,IF(T1259&lt;=9,0.9,1))))*(S1259/T1259)+(1-(IF(T1259=2,0.55,IF(T1259&lt;=4,0.7,IF(T1259&lt;=6,0.8,IF(T1259&lt;=9,0.9,1))))))*$Y$1),1),"")</f>
        <v>8.5</v>
      </c>
      <c r="V1259" s="37">
        <v>8.7</v>
      </c>
      <c r="W1259" s="38"/>
    </row>
    <row r="1260" ht="24" customHeight="1" spans="1:23" x14ac:dyDescent="0.25">
      <c r="A1260" s="31">
        <v>259</v>
      </c>
      <c r="B1260" s="32" t="s">
        <v>1355</v>
      </c>
      <c r="C1260" s="33" t="s">
        <v>24</v>
      </c>
      <c r="D1260" s="34">
        <v>2018</v>
      </c>
      <c r="E1260" s="34" t="s">
        <v>92</v>
      </c>
      <c r="F1260" s="6"/>
      <c r="G1260" s="6"/>
      <c r="H1260" s="6"/>
      <c r="I1260" s="6"/>
      <c r="J1260" s="6"/>
      <c r="K1260" s="6"/>
      <c r="L1260" s="6">
        <v>10</v>
      </c>
      <c r="M1260" s="6"/>
      <c r="N1260" s="6"/>
      <c r="O1260" s="6"/>
      <c r="P1260" s="6"/>
      <c r="Q1260" s="6"/>
      <c r="R1260" s="6"/>
      <c r="S1260" s="35">
        <f>SUM(F1260:R1260)</f>
        <v>10</v>
      </c>
      <c r="T1260" s="35">
        <f>COUNT(F1260:R1260)</f>
        <v>1</v>
      </c>
      <c r="U1260" s="36">
        <f>IF(T1260&gt;=2,ROUND((IF(T1260=2,0.55,IF(T1260&lt;=4,0.7,IF(T1260&lt;=6,0.8,IF(T1260&lt;=9,0.9,1))))*(S1260/T1260)+(1-(IF(T1260=2,0.55,IF(T1260&lt;=4,0.7,IF(T1260&lt;=6,0.8,IF(T1260&lt;=9,0.9,1))))))*$Y$1),1),"")</f>
      </c>
      <c r="V1260" s="37">
        <v>7.5</v>
      </c>
      <c r="W1260" s="38"/>
    </row>
    <row r="1261" ht="24" customHeight="1" spans="1:23" x14ac:dyDescent="0.25">
      <c r="A1261" s="31">
        <v>414</v>
      </c>
      <c r="B1261" s="32" t="s">
        <v>1356</v>
      </c>
      <c r="C1261" s="33" t="s">
        <v>24</v>
      </c>
      <c r="D1261" s="34">
        <v>1956</v>
      </c>
      <c r="E1261" s="34" t="s">
        <v>919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>
        <v>10</v>
      </c>
      <c r="Q1261" s="6"/>
      <c r="R1261" s="6"/>
      <c r="S1261" s="35">
        <f>SUM(F1261:R1261)</f>
        <v>10</v>
      </c>
      <c r="T1261" s="35">
        <f>COUNT(F1261:R1261)</f>
        <v>1</v>
      </c>
      <c r="U1261" s="36">
        <f>IF(T1261&gt;=2,ROUND((IF(T1261=2,0.55,IF(T1261&lt;=4,0.7,IF(T1261&lt;=6,0.8,IF(T1261&lt;=9,0.9,1))))*(S1261/T1261)+(1-(IF(T1261=2,0.55,IF(T1261&lt;=4,0.7,IF(T1261&lt;=6,0.8,IF(T1261&lt;=9,0.9,1))))))*$Y$1),1),"")</f>
      </c>
      <c r="V1261" s="37">
        <v>6.7</v>
      </c>
      <c r="W1261" s="38"/>
    </row>
    <row r="1262" ht="24" customHeight="1" spans="1:23" x14ac:dyDescent="0.25">
      <c r="A1262" s="40">
        <v>2224</v>
      </c>
      <c r="B1262" s="32" t="s">
        <v>1357</v>
      </c>
      <c r="C1262" s="33" t="s">
        <v>24</v>
      </c>
      <c r="D1262" s="34">
        <v>2008</v>
      </c>
      <c r="E1262" s="41"/>
      <c r="F1262" s="6"/>
      <c r="G1262" s="6">
        <v>7</v>
      </c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35">
        <f>SUM(F1262:R1262)</f>
        <v>7</v>
      </c>
      <c r="T1262" s="35">
        <f>COUNT(F1262:R1262)</f>
        <v>1</v>
      </c>
      <c r="U1262" s="36">
        <f>IF(T1262&gt;=2,ROUND((IF(T1262=2,0.55,IF(T1262&lt;=4,0.7,IF(T1262&lt;=6,0.8,IF(T1262&lt;=9,0.9,1))))*(S1262/T1262)+(1-(IF(T1262=2,0.55,IF(T1262&lt;=4,0.7,IF(T1262&lt;=6,0.8,IF(T1262&lt;=9,0.9,1))))))*$Y$1),1),"")</f>
      </c>
      <c r="V1262" s="37">
        <v>7.5</v>
      </c>
      <c r="W1262" s="38"/>
    </row>
    <row r="1263" ht="24" customHeight="1" spans="1:23" x14ac:dyDescent="0.25">
      <c r="A1263" s="31">
        <v>499</v>
      </c>
      <c r="B1263" s="32" t="s">
        <v>1358</v>
      </c>
      <c r="C1263" s="33" t="s">
        <v>24</v>
      </c>
      <c r="D1263" s="34">
        <v>1972</v>
      </c>
      <c r="E1263" s="34" t="s">
        <v>52</v>
      </c>
      <c r="F1263" s="6"/>
      <c r="G1263" s="6">
        <v>8</v>
      </c>
      <c r="H1263" s="6"/>
      <c r="I1263" s="6"/>
      <c r="J1263" s="6"/>
      <c r="K1263" s="6"/>
      <c r="L1263" s="6"/>
      <c r="M1263" s="6"/>
      <c r="N1263" s="6"/>
      <c r="O1263" s="6"/>
      <c r="P1263" s="6">
        <v>8</v>
      </c>
      <c r="Q1263" s="6"/>
      <c r="R1263" s="6"/>
      <c r="S1263" s="35">
        <f>SUM(F1263:R1263)</f>
        <v>16</v>
      </c>
      <c r="T1263" s="35">
        <f>COUNT(F1263:R1263)</f>
        <v>2</v>
      </c>
      <c r="U1263" s="36">
        <f>IF(T1263&gt;=2,ROUND((IF(T1263=2,0.55,IF(T1263&lt;=4,0.7,IF(T1263&lt;=6,0.8,IF(T1263&lt;=9,0.9,1))))*(S1263/T1263)+(1-(IF(T1263=2,0.55,IF(T1263&lt;=4,0.7,IF(T1263&lt;=6,0.8,IF(T1263&lt;=9,0.9,1))))))*$Y$1),1),"")</f>
        <v>8</v>
      </c>
      <c r="V1263" s="37">
        <v>7.9</v>
      </c>
      <c r="W1263" s="38"/>
    </row>
    <row r="1264" ht="24" customHeight="1" spans="1:23" x14ac:dyDescent="0.25">
      <c r="A1264" s="31">
        <v>1755</v>
      </c>
      <c r="B1264" s="32" t="s">
        <v>1359</v>
      </c>
      <c r="C1264" s="33" t="s">
        <v>29</v>
      </c>
      <c r="D1264" s="34">
        <v>2024</v>
      </c>
      <c r="E1264" s="34" t="s">
        <v>30</v>
      </c>
      <c r="F1264" s="6">
        <v>6</v>
      </c>
      <c r="G1264" s="6"/>
      <c r="H1264" s="6"/>
      <c r="I1264" s="6">
        <v>6</v>
      </c>
      <c r="J1264" s="6"/>
      <c r="K1264" s="6"/>
      <c r="L1264" s="6"/>
      <c r="M1264" s="6"/>
      <c r="N1264" s="6"/>
      <c r="O1264" s="6"/>
      <c r="P1264" s="6"/>
      <c r="Q1264" s="6"/>
      <c r="R1264" s="6"/>
      <c r="S1264" s="35">
        <f>SUM(F1264:R1264)</f>
        <v>12</v>
      </c>
      <c r="T1264" s="35">
        <f>COUNT(F1264:R1264)</f>
        <v>2</v>
      </c>
      <c r="U1264" s="36">
        <f>IF(T1264&gt;=2,ROUND((IF(T1264=2,0.55,IF(T1264&lt;=4,0.7,IF(T1264&lt;=6,0.8,IF(T1264&lt;=9,0.9,1))))*(S1264/T1264)+(1-(IF(T1264=2,0.55,IF(T1264&lt;=4,0.7,IF(T1264&lt;=6,0.8,IF(T1264&lt;=9,0.9,1))))))*$Y$1),1),"")</f>
        <v>6.9</v>
      </c>
      <c r="V1264" s="37">
        <v>7.2</v>
      </c>
      <c r="W1264" s="38"/>
    </row>
    <row r="1265" ht="24" customHeight="1" spans="1:23" x14ac:dyDescent="0.25">
      <c r="A1265" s="31">
        <v>64</v>
      </c>
      <c r="B1265" s="32" t="s">
        <v>1360</v>
      </c>
      <c r="C1265" s="33" t="s">
        <v>29</v>
      </c>
      <c r="D1265" s="34">
        <v>2016</v>
      </c>
      <c r="E1265" s="34" t="s">
        <v>30</v>
      </c>
      <c r="F1265" s="6"/>
      <c r="G1265" s="6"/>
      <c r="H1265" s="6">
        <v>10</v>
      </c>
      <c r="I1265" s="6"/>
      <c r="J1265" s="6"/>
      <c r="K1265" s="6">
        <v>10</v>
      </c>
      <c r="L1265" s="6"/>
      <c r="M1265" s="6">
        <v>8</v>
      </c>
      <c r="N1265" s="6"/>
      <c r="O1265" s="6"/>
      <c r="P1265" s="6"/>
      <c r="Q1265" s="6">
        <v>10</v>
      </c>
      <c r="R1265" s="6"/>
      <c r="S1265" s="35">
        <f>SUM(F1265:R1265)</f>
        <v>38</v>
      </c>
      <c r="T1265" s="35">
        <f>COUNT(F1265:R1265)</f>
        <v>4</v>
      </c>
      <c r="U1265" s="36">
        <f>IF(T1265&gt;=2,ROUND((IF(T1265=2,0.55,IF(T1265&lt;=4,0.7,IF(T1265&lt;=6,0.8,IF(T1265&lt;=9,0.9,1))))*(S1265/T1265)+(1-(IF(T1265=2,0.55,IF(T1265&lt;=4,0.7,IF(T1265&lt;=6,0.8,IF(T1265&lt;=9,0.9,1))))))*$Y$1),1),"")</f>
        <v>9.1</v>
      </c>
      <c r="V1265" s="37">
        <v>7.5</v>
      </c>
      <c r="W1265" s="38"/>
    </row>
    <row r="1266" ht="24" customHeight="1" spans="1:23" s="39" customFormat="1" x14ac:dyDescent="0.25">
      <c r="A1266" s="47">
        <v>63</v>
      </c>
      <c r="B1266" s="32" t="s">
        <v>1361</v>
      </c>
      <c r="C1266" s="48" t="s">
        <v>24</v>
      </c>
      <c r="D1266" s="49">
        <v>2018</v>
      </c>
      <c r="E1266" s="49" t="s">
        <v>27</v>
      </c>
      <c r="F1266" s="6">
        <v>10</v>
      </c>
      <c r="G1266" s="6">
        <v>10</v>
      </c>
      <c r="H1266" s="6">
        <v>10</v>
      </c>
      <c r="I1266" s="6">
        <v>10</v>
      </c>
      <c r="J1266" s="6">
        <v>10</v>
      </c>
      <c r="K1266" s="6">
        <v>10</v>
      </c>
      <c r="L1266" s="6">
        <v>10</v>
      </c>
      <c r="M1266" s="6">
        <v>10</v>
      </c>
      <c r="N1266" s="6">
        <v>10</v>
      </c>
      <c r="O1266" s="6">
        <v>10</v>
      </c>
      <c r="P1266" s="6">
        <v>10</v>
      </c>
      <c r="Q1266" s="6">
        <v>10</v>
      </c>
      <c r="R1266" s="6">
        <v>10</v>
      </c>
      <c r="S1266" s="50">
        <f>SUM(F1266:R1266)</f>
        <v>130</v>
      </c>
      <c r="T1266" s="50">
        <f>COUNT(F1266:R1266)</f>
        <v>13</v>
      </c>
      <c r="U1266" s="36">
        <f>IF(T1266&gt;=2,ROUND((IF(T1266=2,0.55,IF(T1266&lt;=4,0.7,IF(T1266&lt;=6,0.8,IF(T1266&lt;=9,0.9,1))))*(S1266/T1266)+(1-(IF(T1266=2,0.55,IF(T1266&lt;=4,0.7,IF(T1266&lt;=6,0.8,IF(T1266&lt;=9,0.9,1))))))*$Y$1),1),"")</f>
        <v>10</v>
      </c>
      <c r="V1266" s="37">
        <v>8.2</v>
      </c>
      <c r="W1266" s="38" t="s">
        <v>44</v>
      </c>
    </row>
    <row r="1267" ht="24" customHeight="1" spans="1:23" x14ac:dyDescent="0.25">
      <c r="A1267" s="31">
        <v>1277</v>
      </c>
      <c r="B1267" s="32" t="s">
        <v>1362</v>
      </c>
      <c r="C1267" s="33" t="s">
        <v>24</v>
      </c>
      <c r="D1267" s="34">
        <v>2022</v>
      </c>
      <c r="E1267" s="34" t="s">
        <v>30</v>
      </c>
      <c r="F1267" s="6">
        <v>6</v>
      </c>
      <c r="G1267" s="6"/>
      <c r="H1267" s="6"/>
      <c r="I1267" s="6"/>
      <c r="J1267" s="6"/>
      <c r="K1267" s="6">
        <v>6</v>
      </c>
      <c r="L1267" s="6">
        <v>7</v>
      </c>
      <c r="M1267" s="6"/>
      <c r="N1267" s="6"/>
      <c r="O1267" s="6">
        <v>7</v>
      </c>
      <c r="P1267" s="6"/>
      <c r="Q1267" s="6">
        <v>6</v>
      </c>
      <c r="R1267" s="6"/>
      <c r="S1267" s="35">
        <f>SUM(F1267:R1267)</f>
        <v>32</v>
      </c>
      <c r="T1267" s="35">
        <f>COUNT(F1267:R1267)</f>
        <v>5</v>
      </c>
      <c r="U1267" s="36">
        <f>IF(T1267&gt;=2,ROUND((IF(T1267=2,0.55,IF(T1267&lt;=4,0.7,IF(T1267&lt;=6,0.8,IF(T1267&lt;=9,0.9,1))))*(S1267/T1267)+(1-(IF(T1267=2,0.55,IF(T1267&lt;=4,0.7,IF(T1267&lt;=6,0.8,IF(T1267&lt;=9,0.9,1))))))*$Y$1),1),"")</f>
        <v>6.7</v>
      </c>
      <c r="V1267" s="37">
        <v>5.6</v>
      </c>
      <c r="W1267" s="38"/>
    </row>
    <row r="1268" ht="24" customHeight="1" spans="1:23" x14ac:dyDescent="0.25">
      <c r="A1268" s="31">
        <v>370</v>
      </c>
      <c r="B1268" s="32" t="s">
        <v>1363</v>
      </c>
      <c r="C1268" s="33" t="s">
        <v>24</v>
      </c>
      <c r="D1268" s="34">
        <v>2014</v>
      </c>
      <c r="E1268" s="34" t="s">
        <v>43</v>
      </c>
      <c r="F1268" s="6">
        <v>8</v>
      </c>
      <c r="G1268" s="6"/>
      <c r="H1268" s="6"/>
      <c r="I1268" s="6">
        <v>8</v>
      </c>
      <c r="J1268" s="6">
        <v>8</v>
      </c>
      <c r="K1268" s="6">
        <v>8</v>
      </c>
      <c r="L1268" s="6">
        <v>10</v>
      </c>
      <c r="M1268" s="6"/>
      <c r="N1268" s="6"/>
      <c r="O1268" s="6">
        <v>8</v>
      </c>
      <c r="P1268" s="6"/>
      <c r="Q1268" s="6">
        <v>8</v>
      </c>
      <c r="R1268" s="6"/>
      <c r="S1268" s="35">
        <f>SUM(F1268:R1268)</f>
        <v>58</v>
      </c>
      <c r="T1268" s="35">
        <f>COUNT(F1268:R1268)</f>
        <v>7</v>
      </c>
      <c r="U1268" s="36">
        <f>IF(T1268&gt;=2,ROUND((IF(T1268=2,0.55,IF(T1268&lt;=4,0.7,IF(T1268&lt;=6,0.8,IF(T1268&lt;=9,0.9,1))))*(S1268/T1268)+(1-(IF(T1268=2,0.55,IF(T1268&lt;=4,0.7,IF(T1268&lt;=6,0.8,IF(T1268&lt;=9,0.9,1))))))*$Y$1),1),"")</f>
        <v>8.3</v>
      </c>
      <c r="V1268" s="37">
        <v>6.9</v>
      </c>
      <c r="W1268" s="38"/>
    </row>
    <row r="1269" ht="24" customHeight="1" spans="1:23" x14ac:dyDescent="0.25">
      <c r="A1269" s="31">
        <v>319</v>
      </c>
      <c r="B1269" s="32" t="s">
        <v>1364</v>
      </c>
      <c r="C1269" s="33" t="s">
        <v>29</v>
      </c>
      <c r="D1269" s="34">
        <v>2019</v>
      </c>
      <c r="E1269" s="34" t="s">
        <v>30</v>
      </c>
      <c r="F1269" s="6"/>
      <c r="G1269" s="6"/>
      <c r="H1269" s="6"/>
      <c r="I1269" s="6"/>
      <c r="J1269" s="6"/>
      <c r="K1269" s="6">
        <v>8</v>
      </c>
      <c r="L1269" s="6"/>
      <c r="M1269" s="6"/>
      <c r="N1269" s="6">
        <v>10</v>
      </c>
      <c r="O1269" s="6"/>
      <c r="P1269" s="6"/>
      <c r="Q1269" s="6">
        <v>8</v>
      </c>
      <c r="R1269" s="6"/>
      <c r="S1269" s="35">
        <f>SUM(F1269:R1269)</f>
        <v>26</v>
      </c>
      <c r="T1269" s="35">
        <f>COUNT(F1269:R1269)</f>
        <v>3</v>
      </c>
      <c r="U1269" s="36">
        <f>IF(T1269&gt;=2,ROUND((IF(T1269=2,0.55,IF(T1269&lt;=4,0.7,IF(T1269&lt;=6,0.8,IF(T1269&lt;=9,0.9,1))))*(S1269/T1269)+(1-(IF(T1269=2,0.55,IF(T1269&lt;=4,0.7,IF(T1269&lt;=6,0.8,IF(T1269&lt;=9,0.9,1))))))*$Y$1),1),"")</f>
        <v>8.5</v>
      </c>
      <c r="V1269" s="37">
        <v>8.6</v>
      </c>
      <c r="W1269" s="38"/>
    </row>
    <row r="1270" ht="24" customHeight="1" spans="1:23" x14ac:dyDescent="0.25">
      <c r="A1270" s="69">
        <v>1246</v>
      </c>
      <c r="B1270" s="32" t="s">
        <v>1365</v>
      </c>
      <c r="C1270" s="48" t="s">
        <v>24</v>
      </c>
      <c r="D1270" s="49">
        <v>2008</v>
      </c>
      <c r="E1270" s="49" t="s">
        <v>30</v>
      </c>
      <c r="F1270" s="6">
        <v>8</v>
      </c>
      <c r="G1270" s="6">
        <v>7</v>
      </c>
      <c r="H1270" s="6">
        <v>10</v>
      </c>
      <c r="I1270" s="6"/>
      <c r="J1270" s="6">
        <v>9</v>
      </c>
      <c r="K1270" s="6"/>
      <c r="L1270" s="6"/>
      <c r="M1270" s="6">
        <v>8</v>
      </c>
      <c r="N1270" s="6">
        <v>8</v>
      </c>
      <c r="O1270" s="6">
        <v>8</v>
      </c>
      <c r="P1270" s="6">
        <v>8</v>
      </c>
      <c r="Q1270" s="6"/>
      <c r="R1270" s="6"/>
      <c r="S1270" s="50">
        <f>SUM(F1270:R1270)</f>
        <v>66</v>
      </c>
      <c r="T1270" s="50">
        <f>COUNT(F1270:R1270)</f>
        <v>8</v>
      </c>
      <c r="U1270" s="36">
        <f>IF(T1270&gt;=2,ROUND((IF(T1270=2,0.55,IF(T1270&lt;=4,0.7,IF(T1270&lt;=6,0.8,IF(T1270&lt;=9,0.9,1))))*(S1270/T1270)+(1-(IF(T1270=2,0.55,IF(T1270&lt;=4,0.7,IF(T1270&lt;=6,0.8,IF(T1270&lt;=9,0.9,1))))))*$Y$1),1),"")</f>
        <v>8.2</v>
      </c>
      <c r="V1270" s="37">
        <v>8.1</v>
      </c>
      <c r="W1270" s="38" t="s">
        <v>44</v>
      </c>
    </row>
    <row r="1271" ht="24" customHeight="1" spans="1:23" x14ac:dyDescent="0.25">
      <c r="A1271" s="31">
        <v>1158</v>
      </c>
      <c r="B1271" s="32" t="s">
        <v>1366</v>
      </c>
      <c r="C1271" s="33" t="s">
        <v>29</v>
      </c>
      <c r="D1271" s="34">
        <v>2014</v>
      </c>
      <c r="E1271" s="34" t="s">
        <v>760</v>
      </c>
      <c r="F1271" s="6"/>
      <c r="G1271" s="6"/>
      <c r="H1271" s="6"/>
      <c r="I1271" s="6"/>
      <c r="J1271" s="6"/>
      <c r="K1271" s="6"/>
      <c r="L1271" s="6">
        <v>8</v>
      </c>
      <c r="M1271" s="6"/>
      <c r="N1271" s="6"/>
      <c r="O1271" s="6"/>
      <c r="P1271" s="6"/>
      <c r="Q1271" s="6"/>
      <c r="R1271" s="6"/>
      <c r="S1271" s="35">
        <f>SUM(F1271:R1271)</f>
        <v>8</v>
      </c>
      <c r="T1271" s="35">
        <f>COUNT(F1271:R1271)</f>
        <v>1</v>
      </c>
      <c r="U1271" s="36">
        <f>IF(T1271&gt;=2,ROUND((IF(T1271=2,0.55,IF(T1271&lt;=4,0.7,IF(T1271&lt;=6,0.8,IF(T1271&lt;=9,0.9,1))))*(S1271/T1271)+(1-(IF(T1271=2,0.55,IF(T1271&lt;=4,0.7,IF(T1271&lt;=6,0.8,IF(T1271&lt;=9,0.9,1))))))*$Y$1),1),"")</f>
      </c>
      <c r="V1271" s="37">
        <v>7</v>
      </c>
      <c r="W1271" s="38"/>
    </row>
    <row r="1272" ht="24" customHeight="1" spans="1:23" x14ac:dyDescent="0.25">
      <c r="A1272" s="31">
        <v>1821</v>
      </c>
      <c r="B1272" s="32" t="s">
        <v>1367</v>
      </c>
      <c r="C1272" s="33" t="s">
        <v>24</v>
      </c>
      <c r="D1272" s="34">
        <v>2014</v>
      </c>
      <c r="E1272" s="34" t="s">
        <v>27</v>
      </c>
      <c r="F1272" s="6"/>
      <c r="G1272" s="6"/>
      <c r="H1272" s="6"/>
      <c r="I1272" s="6"/>
      <c r="J1272" s="6"/>
      <c r="K1272" s="6">
        <v>8</v>
      </c>
      <c r="L1272" s="6">
        <v>6</v>
      </c>
      <c r="M1272" s="6"/>
      <c r="N1272" s="6"/>
      <c r="O1272" s="6"/>
      <c r="P1272" s="6"/>
      <c r="Q1272" s="6">
        <v>8</v>
      </c>
      <c r="R1272" s="6"/>
      <c r="S1272" s="35">
        <f>SUM(F1272:R1272)</f>
        <v>22</v>
      </c>
      <c r="T1272" s="35">
        <f>COUNT(F1272:R1272)</f>
        <v>3</v>
      </c>
      <c r="U1272" s="36">
        <f>IF(T1272&gt;=2,ROUND((IF(T1272=2,0.55,IF(T1272&lt;=4,0.7,IF(T1272&lt;=6,0.8,IF(T1272&lt;=9,0.9,1))))*(S1272/T1272)+(1-(IF(T1272=2,0.55,IF(T1272&lt;=4,0.7,IF(T1272&lt;=6,0.8,IF(T1272&lt;=9,0.9,1))))))*$Y$1),1),"")</f>
        <v>7.6</v>
      </c>
      <c r="V1272" s="37">
        <v>5.7</v>
      </c>
      <c r="W1272" s="38"/>
    </row>
    <row r="1273" ht="24" customHeight="1" spans="1:23" x14ac:dyDescent="0.25">
      <c r="A1273" s="31">
        <v>1127</v>
      </c>
      <c r="B1273" s="32" t="s">
        <v>1368</v>
      </c>
      <c r="C1273" s="33" t="s">
        <v>114</v>
      </c>
      <c r="D1273" s="34">
        <v>2018</v>
      </c>
      <c r="E1273" s="34" t="s">
        <v>27</v>
      </c>
      <c r="F1273" s="6">
        <v>8</v>
      </c>
      <c r="G1273" s="6"/>
      <c r="H1273" s="6"/>
      <c r="I1273" s="6"/>
      <c r="J1273" s="6">
        <v>8</v>
      </c>
      <c r="K1273" s="6">
        <v>8</v>
      </c>
      <c r="L1273" s="6">
        <v>6</v>
      </c>
      <c r="M1273" s="6"/>
      <c r="N1273" s="6"/>
      <c r="O1273" s="6">
        <v>8</v>
      </c>
      <c r="P1273" s="6"/>
      <c r="Q1273" s="6">
        <v>8</v>
      </c>
      <c r="R1273" s="6"/>
      <c r="S1273" s="35">
        <f>SUM(F1273:R1273)</f>
        <v>46</v>
      </c>
      <c r="T1273" s="35">
        <f>COUNT(F1273:R1273)</f>
        <v>6</v>
      </c>
      <c r="U1273" s="36">
        <f>IF(T1273&gt;=2,ROUND((IF(T1273=2,0.55,IF(T1273&lt;=4,0.7,IF(T1273&lt;=6,0.8,IF(T1273&lt;=9,0.9,1))))*(S1273/T1273)+(1-(IF(T1273=2,0.55,IF(T1273&lt;=4,0.7,IF(T1273&lt;=6,0.8,IF(T1273&lt;=9,0.9,1))))))*$Y$1),1),"")</f>
        <v>7.8</v>
      </c>
      <c r="V1273" s="37">
        <v>7.2</v>
      </c>
      <c r="W1273" s="38"/>
    </row>
    <row r="1274" ht="24" customHeight="1" spans="1:23" x14ac:dyDescent="0.25">
      <c r="A1274" s="31">
        <v>2007</v>
      </c>
      <c r="B1274" s="32" t="s">
        <v>1369</v>
      </c>
      <c r="C1274" s="33" t="s">
        <v>24</v>
      </c>
      <c r="D1274" s="34">
        <v>1997</v>
      </c>
      <c r="E1274" s="34"/>
      <c r="F1274" s="6">
        <v>7</v>
      </c>
      <c r="G1274" s="6"/>
      <c r="H1274" s="6"/>
      <c r="I1274" s="6"/>
      <c r="J1274" s="6">
        <v>8</v>
      </c>
      <c r="K1274" s="6"/>
      <c r="L1274" s="6"/>
      <c r="M1274" s="6"/>
      <c r="N1274" s="6"/>
      <c r="O1274" s="6"/>
      <c r="P1274" s="6"/>
      <c r="Q1274" s="6"/>
      <c r="R1274" s="6"/>
      <c r="S1274" s="35">
        <f>SUM(F1274:R1274)</f>
        <v>15</v>
      </c>
      <c r="T1274" s="35">
        <f>COUNT(F1274:R1274)</f>
        <v>2</v>
      </c>
      <c r="U1274" s="36">
        <f>IF(T1274&gt;=2,ROUND((IF(T1274=2,0.55,IF(T1274&lt;=4,0.7,IF(T1274&lt;=6,0.8,IF(T1274&lt;=9,0.9,1))))*(S1274/T1274)+(1-(IF(T1274=2,0.55,IF(T1274&lt;=4,0.7,IF(T1274&lt;=6,0.8,IF(T1274&lt;=9,0.9,1))))))*$Y$1),1),"")</f>
        <v>7.8</v>
      </c>
      <c r="V1274" s="37">
        <v>7.7</v>
      </c>
      <c r="W1274" s="38"/>
    </row>
    <row r="1275" ht="24" customHeight="1" spans="1:23" x14ac:dyDescent="0.25">
      <c r="A1275" s="40">
        <v>2216</v>
      </c>
      <c r="B1275" s="32" t="s">
        <v>1370</v>
      </c>
      <c r="C1275" s="33" t="s">
        <v>24</v>
      </c>
      <c r="D1275" s="34">
        <v>2008</v>
      </c>
      <c r="E1275" s="41"/>
      <c r="F1275" s="6"/>
      <c r="G1275" s="6">
        <v>7</v>
      </c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35">
        <f>SUM(F1275:R1275)</f>
        <v>7</v>
      </c>
      <c r="T1275" s="35">
        <f>COUNT(F1275:R1275)</f>
        <v>1</v>
      </c>
      <c r="U1275" s="36">
        <f>IF(T1275&gt;=2,ROUND((IF(T1275=2,0.55,IF(T1275&lt;=4,0.7,IF(T1275&lt;=6,0.8,IF(T1275&lt;=9,0.9,1))))*(S1275/T1275)+(1-(IF(T1275=2,0.55,IF(T1275&lt;=4,0.7,IF(T1275&lt;=6,0.8,IF(T1275&lt;=9,0.9,1))))))*$Y$1),1),"")</f>
      </c>
      <c r="V1275" s="37">
        <v>7</v>
      </c>
      <c r="W1275" s="38"/>
    </row>
    <row r="1276" ht="24" customHeight="1" spans="1:23" x14ac:dyDescent="0.25">
      <c r="A1276" s="47">
        <v>1880</v>
      </c>
      <c r="B1276" s="32" t="s">
        <v>1371</v>
      </c>
      <c r="C1276" s="48" t="s">
        <v>24</v>
      </c>
      <c r="D1276" s="49">
        <v>2023</v>
      </c>
      <c r="E1276" s="49" t="s">
        <v>141</v>
      </c>
      <c r="F1276" s="6">
        <v>8</v>
      </c>
      <c r="G1276" s="6">
        <v>7</v>
      </c>
      <c r="H1276" s="6">
        <v>7</v>
      </c>
      <c r="I1276" s="6">
        <v>7</v>
      </c>
      <c r="J1276" s="6">
        <v>8</v>
      </c>
      <c r="K1276" s="6">
        <v>9</v>
      </c>
      <c r="L1276" s="6">
        <v>6</v>
      </c>
      <c r="M1276" s="6">
        <v>6</v>
      </c>
      <c r="N1276" s="6">
        <v>6</v>
      </c>
      <c r="O1276" s="6">
        <v>6</v>
      </c>
      <c r="P1276" s="6">
        <v>6</v>
      </c>
      <c r="Q1276" s="6">
        <v>9</v>
      </c>
      <c r="R1276" s="6"/>
      <c r="S1276" s="50">
        <f>SUM(F1276:R1276)</f>
        <v>85</v>
      </c>
      <c r="T1276" s="50">
        <f>COUNT(F1276:R1276)</f>
        <v>12</v>
      </c>
      <c r="U1276" s="36">
        <f>IF(T1276&gt;=2,ROUND((IF(T1276=2,0.55,IF(T1276&lt;=4,0.7,IF(T1276&lt;=6,0.8,IF(T1276&lt;=9,0.9,1))))*(S1276/T1276)+(1-(IF(T1276=2,0.55,IF(T1276&lt;=4,0.7,IF(T1276&lt;=6,0.8,IF(T1276&lt;=9,0.9,1))))))*$Y$1),1),"")</f>
        <v>7.1</v>
      </c>
      <c r="V1276" s="37">
        <v>6.4</v>
      </c>
      <c r="W1276" s="38" t="s">
        <v>44</v>
      </c>
    </row>
    <row r="1277" ht="24" customHeight="1" spans="1:23" x14ac:dyDescent="0.25">
      <c r="A1277" s="31">
        <v>212</v>
      </c>
      <c r="B1277" s="32" t="s">
        <v>1372</v>
      </c>
      <c r="C1277" s="33" t="s">
        <v>24</v>
      </c>
      <c r="D1277" s="34">
        <v>1973</v>
      </c>
      <c r="E1277" s="34" t="s">
        <v>25</v>
      </c>
      <c r="F1277" s="6">
        <v>10</v>
      </c>
      <c r="G1277" s="6">
        <v>10</v>
      </c>
      <c r="H1277" s="6">
        <v>10</v>
      </c>
      <c r="I1277" s="6">
        <v>8</v>
      </c>
      <c r="J1277" s="6">
        <v>10</v>
      </c>
      <c r="K1277" s="6">
        <v>10</v>
      </c>
      <c r="L1277" s="6">
        <v>10</v>
      </c>
      <c r="M1277" s="6">
        <v>10</v>
      </c>
      <c r="N1277" s="6">
        <v>10</v>
      </c>
      <c r="O1277" s="6">
        <v>10</v>
      </c>
      <c r="P1277" s="6">
        <v>10</v>
      </c>
      <c r="Q1277" s="6">
        <v>10</v>
      </c>
      <c r="R1277" s="6">
        <v>8</v>
      </c>
      <c r="S1277" s="35">
        <f>SUM(F1277:R1277)</f>
        <v>126</v>
      </c>
      <c r="T1277" s="35">
        <f>COUNT(F1277:R1277)</f>
        <v>13</v>
      </c>
      <c r="U1277" s="36">
        <f>IF(T1277&gt;=2,ROUND((IF(T1277=2,0.55,IF(T1277&lt;=4,0.7,IF(T1277&lt;=6,0.8,IF(T1277&lt;=9,0.9,1))))*(S1277/T1277)+(1-(IF(T1277=2,0.55,IF(T1277&lt;=4,0.7,IF(T1277&lt;=6,0.8,IF(T1277&lt;=9,0.9,1))))))*$Y$1),1),"")</f>
        <v>9.7</v>
      </c>
      <c r="V1277" s="37">
        <v>8.2</v>
      </c>
      <c r="W1277" s="38"/>
    </row>
    <row r="1278" ht="24" customHeight="1" spans="1:23" x14ac:dyDescent="0.25">
      <c r="A1278" s="31">
        <v>1661</v>
      </c>
      <c r="B1278" s="32" t="s">
        <v>1373</v>
      </c>
      <c r="C1278" s="33" t="s">
        <v>24</v>
      </c>
      <c r="D1278" s="34">
        <v>2019</v>
      </c>
      <c r="E1278" s="34" t="s">
        <v>141</v>
      </c>
      <c r="F1278" s="6"/>
      <c r="G1278" s="6"/>
      <c r="H1278" s="6"/>
      <c r="I1278" s="6"/>
      <c r="J1278" s="6"/>
      <c r="K1278" s="6"/>
      <c r="L1278" s="6"/>
      <c r="M1278" s="6"/>
      <c r="N1278" s="6"/>
      <c r="O1278" s="6">
        <v>8</v>
      </c>
      <c r="P1278" s="6"/>
      <c r="Q1278" s="6"/>
      <c r="R1278" s="6"/>
      <c r="S1278" s="35">
        <f>SUM(F1278:R1278)</f>
        <v>8</v>
      </c>
      <c r="T1278" s="35">
        <f>COUNT(F1278:R1278)</f>
        <v>1</v>
      </c>
      <c r="U1278" s="36">
        <f>IF(T1278&gt;=2,ROUND((IF(T1278=2,0.55,IF(T1278&lt;=4,0.7,IF(T1278&lt;=6,0.8,IF(T1278&lt;=9,0.9,1))))*(S1278/T1278)+(1-(IF(T1278=2,0.55,IF(T1278&lt;=4,0.7,IF(T1278&lt;=6,0.8,IF(T1278&lt;=9,0.9,1))))))*$Y$1),1),"")</f>
      </c>
      <c r="V1278" s="37">
        <v>7</v>
      </c>
      <c r="W1278" s="38"/>
    </row>
    <row r="1279" ht="24" customHeight="1" spans="1:23" x14ac:dyDescent="0.25">
      <c r="A1279" s="31">
        <v>943</v>
      </c>
      <c r="B1279" s="32" t="s">
        <v>1374</v>
      </c>
      <c r="C1279" s="33" t="s">
        <v>29</v>
      </c>
      <c r="D1279" s="34">
        <v>2017</v>
      </c>
      <c r="E1279" s="34" t="s">
        <v>30</v>
      </c>
      <c r="F1279" s="6"/>
      <c r="G1279" s="6"/>
      <c r="H1279" s="6">
        <v>8</v>
      </c>
      <c r="I1279" s="6"/>
      <c r="J1279" s="6">
        <v>10</v>
      </c>
      <c r="K1279" s="6"/>
      <c r="L1279" s="6"/>
      <c r="M1279" s="6"/>
      <c r="N1279" s="6">
        <v>10</v>
      </c>
      <c r="O1279" s="6"/>
      <c r="P1279" s="6"/>
      <c r="Q1279" s="6"/>
      <c r="R1279" s="6"/>
      <c r="S1279" s="35">
        <f>SUM(F1279:R1279)</f>
        <v>28</v>
      </c>
      <c r="T1279" s="35">
        <f>COUNT(F1279:R1279)</f>
        <v>3</v>
      </c>
      <c r="U1279" s="36">
        <f>IF(T1279&gt;=2,ROUND((IF(T1279=2,0.55,IF(T1279&lt;=4,0.7,IF(T1279&lt;=6,0.8,IF(T1279&lt;=9,0.9,1))))*(S1279/T1279)+(1-(IF(T1279=2,0.55,IF(T1279&lt;=4,0.7,IF(T1279&lt;=6,0.8,IF(T1279&lt;=9,0.9,1))))))*$Y$1),1),"")</f>
        <v>9</v>
      </c>
      <c r="V1279" s="37">
        <v>8.2</v>
      </c>
      <c r="W1279" s="38"/>
    </row>
    <row r="1280" ht="24" customHeight="1" spans="1:23" x14ac:dyDescent="0.25">
      <c r="A1280" s="47">
        <v>62</v>
      </c>
      <c r="B1280" s="32" t="s">
        <v>1375</v>
      </c>
      <c r="C1280" s="48" t="s">
        <v>24</v>
      </c>
      <c r="D1280" s="49">
        <v>2018</v>
      </c>
      <c r="E1280" s="49" t="s">
        <v>410</v>
      </c>
      <c r="F1280" s="6">
        <v>8</v>
      </c>
      <c r="G1280" s="6"/>
      <c r="H1280" s="6">
        <v>8</v>
      </c>
      <c r="I1280" s="6">
        <v>8</v>
      </c>
      <c r="J1280" s="6">
        <v>8</v>
      </c>
      <c r="K1280" s="6">
        <v>8</v>
      </c>
      <c r="L1280" s="6">
        <v>6</v>
      </c>
      <c r="M1280" s="6">
        <v>8</v>
      </c>
      <c r="N1280" s="6">
        <v>8</v>
      </c>
      <c r="O1280" s="6">
        <v>8</v>
      </c>
      <c r="P1280" s="6">
        <v>8</v>
      </c>
      <c r="Q1280" s="6">
        <v>8</v>
      </c>
      <c r="R1280" s="6">
        <v>8</v>
      </c>
      <c r="S1280" s="50">
        <f>SUM(F1280:R1280)</f>
        <v>94</v>
      </c>
      <c r="T1280" s="50">
        <f>COUNT(F1280:R1280)</f>
        <v>12</v>
      </c>
      <c r="U1280" s="36">
        <f>IF(T1280&gt;=2,ROUND((IF(T1280=2,0.55,IF(T1280&lt;=4,0.7,IF(T1280&lt;=6,0.8,IF(T1280&lt;=9,0.9,1))))*(S1280/T1280)+(1-(IF(T1280=2,0.55,IF(T1280&lt;=4,0.7,IF(T1280&lt;=6,0.8,IF(T1280&lt;=9,0.9,1))))))*$Y$1),1),"")</f>
        <v>7.8</v>
      </c>
      <c r="V1280" s="37">
        <v>6.3</v>
      </c>
      <c r="W1280" s="38" t="s">
        <v>44</v>
      </c>
    </row>
    <row r="1281" ht="24" customHeight="1" spans="1:23" x14ac:dyDescent="0.25">
      <c r="A1281" s="40">
        <v>2332</v>
      </c>
      <c r="B1281" s="32" t="s">
        <v>1376</v>
      </c>
      <c r="C1281" s="33" t="s">
        <v>24</v>
      </c>
      <c r="D1281" s="34">
        <v>2022</v>
      </c>
      <c r="E1281" s="41"/>
      <c r="F1281" s="6"/>
      <c r="G1281" s="6">
        <v>9</v>
      </c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35">
        <f>SUM(F1281:R1281)</f>
        <v>9</v>
      </c>
      <c r="T1281" s="35">
        <f>COUNT(F1281:R1281)</f>
        <v>1</v>
      </c>
      <c r="U1281" s="36">
        <f>IF(T1281&gt;=2,ROUND((IF(T1281=2,0.55,IF(T1281&lt;=4,0.7,IF(T1281&lt;=6,0.8,IF(T1281&lt;=9,0.9,1))))*(S1281/T1281)+(1-(IF(T1281=2,0.55,IF(T1281&lt;=4,0.7,IF(T1281&lt;=6,0.8,IF(T1281&lt;=9,0.9,1))))))*$Y$1),1),"")</f>
      </c>
      <c r="V1281" s="37">
        <v>7.1</v>
      </c>
      <c r="W1281" s="38"/>
    </row>
    <row r="1282" ht="24" customHeight="1" spans="1:23" x14ac:dyDescent="0.25">
      <c r="A1282" s="40">
        <v>2351</v>
      </c>
      <c r="B1282" s="32" t="s">
        <v>1377</v>
      </c>
      <c r="C1282" s="33" t="s">
        <v>24</v>
      </c>
      <c r="D1282" s="34">
        <v>2024</v>
      </c>
      <c r="E1282" s="41"/>
      <c r="F1282" s="6"/>
      <c r="G1282" s="6"/>
      <c r="H1282" s="6"/>
      <c r="I1282" s="6"/>
      <c r="J1282" s="6"/>
      <c r="K1282" s="6"/>
      <c r="L1282" s="6">
        <v>7</v>
      </c>
      <c r="M1282" s="6"/>
      <c r="N1282" s="6"/>
      <c r="O1282" s="6"/>
      <c r="P1282" s="6"/>
      <c r="Q1282" s="6"/>
      <c r="R1282" s="6"/>
      <c r="S1282" s="35">
        <f>SUM(F1282:R1282)</f>
        <v>7</v>
      </c>
      <c r="T1282" s="35">
        <f>COUNT(F1282:R1282)</f>
        <v>1</v>
      </c>
      <c r="U1282" s="36">
        <f>IF(T1282&gt;=2,ROUND((IF(T1282=2,0.55,IF(T1282&lt;=4,0.7,IF(T1282&lt;=6,0.8,IF(T1282&lt;=9,0.9,1))))*(S1282/T1282)+(1-(IF(T1282=2,0.55,IF(T1282&lt;=4,0.7,IF(T1282&lt;=6,0.8,IF(T1282&lt;=9,0.9,1))))))*$Y$1),1),"")</f>
      </c>
      <c r="V1282" s="37">
        <v>6.4</v>
      </c>
      <c r="W1282" s="38"/>
    </row>
    <row r="1283" ht="24" customHeight="1" spans="1:23" x14ac:dyDescent="0.25">
      <c r="A1283" s="31">
        <v>61</v>
      </c>
      <c r="B1283" s="32" t="s">
        <v>1378</v>
      </c>
      <c r="C1283" s="33" t="s">
        <v>24</v>
      </c>
      <c r="D1283" s="34">
        <v>2000</v>
      </c>
      <c r="E1283" s="34" t="s">
        <v>30</v>
      </c>
      <c r="F1283" s="6">
        <v>10</v>
      </c>
      <c r="G1283" s="6">
        <v>9</v>
      </c>
      <c r="H1283" s="6">
        <v>10</v>
      </c>
      <c r="I1283" s="6">
        <v>8</v>
      </c>
      <c r="J1283" s="6">
        <v>10</v>
      </c>
      <c r="K1283" s="6">
        <v>8</v>
      </c>
      <c r="L1283" s="6">
        <v>10</v>
      </c>
      <c r="M1283" s="6">
        <v>10</v>
      </c>
      <c r="N1283" s="6">
        <v>10</v>
      </c>
      <c r="O1283" s="6"/>
      <c r="P1283" s="6">
        <v>10</v>
      </c>
      <c r="Q1283" s="6">
        <v>8</v>
      </c>
      <c r="R1283" s="6"/>
      <c r="S1283" s="35">
        <f>SUM(F1283:R1283)</f>
        <v>103</v>
      </c>
      <c r="T1283" s="35">
        <f>COUNT(F1283:R1283)</f>
        <v>11</v>
      </c>
      <c r="U1283" s="36">
        <f>IF(T1283&gt;=2,ROUND((IF(T1283=2,0.55,IF(T1283&lt;=4,0.7,IF(T1283&lt;=6,0.8,IF(T1283&lt;=9,0.9,1))))*(S1283/T1283)+(1-(IF(T1283=2,0.55,IF(T1283&lt;=4,0.7,IF(T1283&lt;=6,0.8,IF(T1283&lt;=9,0.9,1))))))*$Y$1),1),"")</f>
        <v>9.4</v>
      </c>
      <c r="V1283" s="37">
        <v>8.5</v>
      </c>
      <c r="W1283" s="38"/>
    </row>
    <row r="1284" ht="24" customHeight="1" spans="1:23" x14ac:dyDescent="0.25">
      <c r="A1284" s="31">
        <v>60</v>
      </c>
      <c r="B1284" s="32" t="s">
        <v>1379</v>
      </c>
      <c r="C1284" s="33" t="s">
        <v>24</v>
      </c>
      <c r="D1284" s="34">
        <v>1990</v>
      </c>
      <c r="E1284" s="34" t="s">
        <v>30</v>
      </c>
      <c r="F1284" s="6">
        <v>8</v>
      </c>
      <c r="G1284" s="6">
        <v>7</v>
      </c>
      <c r="H1284" s="6">
        <v>10</v>
      </c>
      <c r="I1284" s="6">
        <v>10</v>
      </c>
      <c r="J1284" s="6">
        <v>8</v>
      </c>
      <c r="K1284" s="6">
        <v>6</v>
      </c>
      <c r="L1284" s="6">
        <v>10</v>
      </c>
      <c r="M1284" s="6">
        <v>10</v>
      </c>
      <c r="N1284" s="6">
        <v>10</v>
      </c>
      <c r="O1284" s="6">
        <v>10</v>
      </c>
      <c r="P1284" s="6">
        <v>8</v>
      </c>
      <c r="Q1284" s="6">
        <v>6</v>
      </c>
      <c r="R1284" s="6">
        <v>10</v>
      </c>
      <c r="S1284" s="35">
        <f>SUM(F1284:R1284)</f>
        <v>113</v>
      </c>
      <c r="T1284" s="35">
        <f>COUNT(F1284:R1284)</f>
        <v>13</v>
      </c>
      <c r="U1284" s="36">
        <f>IF(T1284&gt;=2,ROUND((IF(T1284=2,0.55,IF(T1284&lt;=4,0.7,IF(T1284&lt;=6,0.8,IF(T1284&lt;=9,0.9,1))))*(S1284/T1284)+(1-(IF(T1284=2,0.55,IF(T1284&lt;=4,0.7,IF(T1284&lt;=6,0.8,IF(T1284&lt;=9,0.9,1))))))*$Y$1),1),"")</f>
        <v>8.7</v>
      </c>
      <c r="V1284" s="37">
        <v>7.1</v>
      </c>
      <c r="W1284" s="38"/>
    </row>
    <row r="1285" ht="24" customHeight="1" spans="1:23" x14ac:dyDescent="0.25">
      <c r="A1285" s="40">
        <v>2301</v>
      </c>
      <c r="B1285" s="32" t="s">
        <v>1380</v>
      </c>
      <c r="C1285" s="33" t="s">
        <v>24</v>
      </c>
      <c r="D1285" s="34">
        <v>2014</v>
      </c>
      <c r="E1285" s="41"/>
      <c r="F1285" s="6"/>
      <c r="G1285" s="6">
        <v>8</v>
      </c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35">
        <f>SUM(F1285:R1285)</f>
        <v>8</v>
      </c>
      <c r="T1285" s="35">
        <f>COUNT(F1285:R1285)</f>
        <v>1</v>
      </c>
      <c r="U1285" s="36">
        <f>IF(T1285&gt;=2,ROUND((IF(T1285=2,0.55,IF(T1285&lt;=4,0.7,IF(T1285&lt;=6,0.8,IF(T1285&lt;=9,0.9,1))))*(S1285/T1285)+(1-(IF(T1285=2,0.55,IF(T1285&lt;=4,0.7,IF(T1285&lt;=6,0.8,IF(T1285&lt;=9,0.9,1))))))*$Y$1),1),"")</f>
      </c>
      <c r="V1285" s="37">
        <v>6.7</v>
      </c>
      <c r="W1285" s="38"/>
    </row>
    <row r="1286" ht="24" customHeight="1" spans="1:23" x14ac:dyDescent="0.25">
      <c r="A1286" s="31">
        <v>402</v>
      </c>
      <c r="B1286" s="32" t="s">
        <v>1381</v>
      </c>
      <c r="C1286" s="33" t="s">
        <v>24</v>
      </c>
      <c r="D1286" s="34">
        <v>2019</v>
      </c>
      <c r="E1286" s="34" t="s">
        <v>60</v>
      </c>
      <c r="F1286" s="6"/>
      <c r="G1286" s="6"/>
      <c r="H1286" s="6"/>
      <c r="I1286" s="6"/>
      <c r="J1286" s="6"/>
      <c r="K1286" s="6"/>
      <c r="L1286" s="6"/>
      <c r="M1286" s="6"/>
      <c r="N1286" s="6"/>
      <c r="O1286" s="6">
        <v>6</v>
      </c>
      <c r="P1286" s="6"/>
      <c r="Q1286" s="6"/>
      <c r="R1286" s="6"/>
      <c r="S1286" s="35">
        <f>SUM(F1286:R1286)</f>
        <v>6</v>
      </c>
      <c r="T1286" s="35">
        <f>COUNT(F1286:R1286)</f>
        <v>1</v>
      </c>
      <c r="U1286" s="36">
        <f>IF(T1286&gt;=2,ROUND((IF(T1286=2,0.55,IF(T1286&lt;=4,0.7,IF(T1286&lt;=6,0.8,IF(T1286&lt;=9,0.9,1))))*(S1286/T1286)+(1-(IF(T1286=2,0.55,IF(T1286&lt;=4,0.7,IF(T1286&lt;=6,0.8,IF(T1286&lt;=9,0.9,1))))))*$Y$1),1),"")</f>
      </c>
      <c r="V1286" s="37">
        <v>6.2</v>
      </c>
      <c r="W1286" s="38"/>
    </row>
    <row r="1287" ht="24" customHeight="1" spans="1:23" x14ac:dyDescent="0.25">
      <c r="A1287" s="40">
        <v>2254</v>
      </c>
      <c r="B1287" s="32" t="s">
        <v>1382</v>
      </c>
      <c r="C1287" s="33" t="s">
        <v>24</v>
      </c>
      <c r="D1287" s="34">
        <v>2010</v>
      </c>
      <c r="E1287" s="41"/>
      <c r="F1287" s="6"/>
      <c r="G1287" s="6">
        <v>7</v>
      </c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35">
        <f>SUM(F1287:R1287)</f>
        <v>7</v>
      </c>
      <c r="T1287" s="35">
        <f>COUNT(F1287:R1287)</f>
        <v>1</v>
      </c>
      <c r="U1287" s="36">
        <f>IF(T1287&gt;=2,ROUND((IF(T1287=2,0.55,IF(T1287&lt;=4,0.7,IF(T1287&lt;=6,0.8,IF(T1287&lt;=9,0.9,1))))*(S1287/T1287)+(1-(IF(T1287=2,0.55,IF(T1287&lt;=4,0.7,IF(T1287&lt;=6,0.8,IF(T1287&lt;=9,0.9,1))))))*$Y$1),1),"")</f>
      </c>
      <c r="V1287" s="37">
        <v>6</v>
      </c>
      <c r="W1287" s="38"/>
    </row>
    <row r="1288" ht="24" customHeight="1" spans="1:23" x14ac:dyDescent="0.25">
      <c r="A1288" s="31">
        <v>1655</v>
      </c>
      <c r="B1288" s="32" t="s">
        <v>1383</v>
      </c>
      <c r="C1288" s="33" t="s">
        <v>24</v>
      </c>
      <c r="D1288" s="34">
        <v>2018</v>
      </c>
      <c r="E1288" s="34" t="s">
        <v>30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>
        <v>7</v>
      </c>
      <c r="P1288" s="6"/>
      <c r="Q1288" s="6"/>
      <c r="R1288" s="6"/>
      <c r="S1288" s="35">
        <f>SUM(F1288:R1288)</f>
        <v>7</v>
      </c>
      <c r="T1288" s="35">
        <f>COUNT(F1288:R1288)</f>
        <v>1</v>
      </c>
      <c r="U1288" s="36">
        <f>IF(T1288&gt;=2,ROUND((IF(T1288=2,0.55,IF(T1288&lt;=4,0.7,IF(T1288&lt;=6,0.8,IF(T1288&lt;=9,0.9,1))))*(S1288/T1288)+(1-(IF(T1288=2,0.55,IF(T1288&lt;=4,0.7,IF(T1288&lt;=6,0.8,IF(T1288&lt;=9,0.9,1))))))*$Y$1),1),"")</f>
      </c>
      <c r="V1288" s="37">
        <v>6.2</v>
      </c>
      <c r="W1288" s="38"/>
    </row>
    <row r="1289" ht="24" customHeight="1" spans="1:23" x14ac:dyDescent="0.25">
      <c r="A1289" s="31">
        <v>59</v>
      </c>
      <c r="B1289" s="32" t="s">
        <v>1384</v>
      </c>
      <c r="C1289" s="33" t="s">
        <v>24</v>
      </c>
      <c r="D1289" s="34">
        <v>1980</v>
      </c>
      <c r="E1289" s="34" t="s">
        <v>33</v>
      </c>
      <c r="F1289" s="6">
        <v>8</v>
      </c>
      <c r="G1289" s="6">
        <v>8</v>
      </c>
      <c r="H1289" s="6"/>
      <c r="I1289" s="6">
        <v>8</v>
      </c>
      <c r="J1289" s="6">
        <v>8</v>
      </c>
      <c r="K1289" s="6"/>
      <c r="L1289" s="6"/>
      <c r="M1289" s="6"/>
      <c r="N1289" s="6"/>
      <c r="O1289" s="6"/>
      <c r="P1289" s="6">
        <v>8</v>
      </c>
      <c r="Q1289" s="6"/>
      <c r="R1289" s="6"/>
      <c r="S1289" s="35">
        <f>SUM(F1289:R1289)</f>
        <v>40</v>
      </c>
      <c r="T1289" s="35">
        <f>COUNT(F1289:R1289)</f>
        <v>5</v>
      </c>
      <c r="U1289" s="36">
        <f>IF(T1289&gt;=2,ROUND((IF(T1289=2,0.55,IF(T1289&lt;=4,0.7,IF(T1289&lt;=6,0.8,IF(T1289&lt;=9,0.9,1))))*(S1289/T1289)+(1-(IF(T1289=2,0.55,IF(T1289&lt;=4,0.7,IF(T1289&lt;=6,0.8,IF(T1289&lt;=9,0.9,1))))))*$Y$1),1),"")</f>
        <v>8</v>
      </c>
      <c r="V1289" s="37">
        <v>7.7</v>
      </c>
      <c r="W1289" s="38"/>
    </row>
    <row r="1290" ht="24" customHeight="1" spans="1:23" x14ac:dyDescent="0.25">
      <c r="A1290" s="47">
        <v>369</v>
      </c>
      <c r="B1290" s="32" t="s">
        <v>1385</v>
      </c>
      <c r="C1290" s="48" t="s">
        <v>24</v>
      </c>
      <c r="D1290" s="49">
        <v>1997</v>
      </c>
      <c r="E1290" s="49" t="s">
        <v>30</v>
      </c>
      <c r="F1290" s="6">
        <v>9</v>
      </c>
      <c r="G1290" s="6">
        <v>9</v>
      </c>
      <c r="H1290" s="6">
        <v>10</v>
      </c>
      <c r="I1290" s="6">
        <v>10</v>
      </c>
      <c r="J1290" s="6">
        <v>10</v>
      </c>
      <c r="K1290" s="6">
        <v>10</v>
      </c>
      <c r="L1290" s="6">
        <v>9</v>
      </c>
      <c r="M1290" s="6">
        <v>10</v>
      </c>
      <c r="N1290" s="6">
        <v>10</v>
      </c>
      <c r="O1290" s="6"/>
      <c r="P1290" s="6">
        <v>10</v>
      </c>
      <c r="Q1290" s="6">
        <v>10</v>
      </c>
      <c r="R1290" s="6">
        <v>10</v>
      </c>
      <c r="S1290" s="50">
        <f>SUM(F1290:R1290)</f>
        <v>117</v>
      </c>
      <c r="T1290" s="50">
        <f>COUNT(F1290:R1290)</f>
        <v>12</v>
      </c>
      <c r="U1290" s="36">
        <f>IF(T1290&gt;=2,ROUND((IF(T1290=2,0.55,IF(T1290&lt;=4,0.7,IF(T1290&lt;=6,0.8,IF(T1290&lt;=9,0.9,1))))*(S1290/T1290)+(1-(IF(T1290=2,0.55,IF(T1290&lt;=4,0.7,IF(T1290&lt;=6,0.8,IF(T1290&lt;=9,0.9,1))))))*$Y$1),1),"")</f>
        <v>9.8</v>
      </c>
      <c r="V1290" s="37">
        <v>8.4</v>
      </c>
      <c r="W1290" s="38" t="s">
        <v>44</v>
      </c>
    </row>
    <row r="1291" ht="24" customHeight="1" spans="1:23" x14ac:dyDescent="0.25">
      <c r="A1291" s="31">
        <v>377</v>
      </c>
      <c r="B1291" s="32" t="s">
        <v>1386</v>
      </c>
      <c r="C1291" s="33" t="s">
        <v>24</v>
      </c>
      <c r="D1291" s="34">
        <v>2014</v>
      </c>
      <c r="E1291" s="34" t="s">
        <v>179</v>
      </c>
      <c r="F1291" s="6"/>
      <c r="G1291" s="6">
        <v>7</v>
      </c>
      <c r="H1291" s="6">
        <v>10</v>
      </c>
      <c r="I1291" s="6"/>
      <c r="J1291" s="6"/>
      <c r="K1291" s="6"/>
      <c r="L1291" s="6">
        <v>8</v>
      </c>
      <c r="M1291" s="6"/>
      <c r="N1291" s="6"/>
      <c r="O1291" s="6"/>
      <c r="P1291" s="6">
        <v>6</v>
      </c>
      <c r="Q1291" s="6"/>
      <c r="R1291" s="6"/>
      <c r="S1291" s="35">
        <f>SUM(F1291:R1291)</f>
        <v>31</v>
      </c>
      <c r="T1291" s="35">
        <f>COUNT(F1291:R1291)</f>
        <v>4</v>
      </c>
      <c r="U1291" s="36">
        <f>IF(T1291&gt;=2,ROUND((IF(T1291=2,0.55,IF(T1291&lt;=4,0.7,IF(T1291&lt;=6,0.8,IF(T1291&lt;=9,0.9,1))))*(S1291/T1291)+(1-(IF(T1291=2,0.55,IF(T1291&lt;=4,0.7,IF(T1291&lt;=6,0.8,IF(T1291&lt;=9,0.9,1))))))*$Y$1),1),"")</f>
        <v>7.9</v>
      </c>
      <c r="V1291" s="37">
        <v>6.4</v>
      </c>
      <c r="W1291" s="38"/>
    </row>
    <row r="1292" ht="24" customHeight="1" spans="1:23" x14ac:dyDescent="0.25">
      <c r="A1292" s="31">
        <v>702</v>
      </c>
      <c r="B1292" s="32" t="s">
        <v>1387</v>
      </c>
      <c r="C1292" s="33" t="s">
        <v>24</v>
      </c>
      <c r="D1292" s="34">
        <v>2017</v>
      </c>
      <c r="E1292" s="34" t="s">
        <v>27</v>
      </c>
      <c r="F1292" s="6"/>
      <c r="G1292" s="6"/>
      <c r="H1292" s="6"/>
      <c r="I1292" s="6"/>
      <c r="J1292" s="6">
        <v>8</v>
      </c>
      <c r="K1292" s="6"/>
      <c r="L1292" s="6">
        <v>8</v>
      </c>
      <c r="M1292" s="6"/>
      <c r="N1292" s="6"/>
      <c r="O1292" s="6"/>
      <c r="P1292" s="6"/>
      <c r="Q1292" s="6"/>
      <c r="R1292" s="6"/>
      <c r="S1292" s="35">
        <f>SUM(F1292:R1292)</f>
        <v>16</v>
      </c>
      <c r="T1292" s="35">
        <f>COUNT(F1292:R1292)</f>
        <v>2</v>
      </c>
      <c r="U1292" s="36">
        <f>IF(T1292&gt;=2,ROUND((IF(T1292=2,0.55,IF(T1292&lt;=4,0.7,IF(T1292&lt;=6,0.8,IF(T1292&lt;=9,0.9,1))))*(S1292/T1292)+(1-(IF(T1292=2,0.55,IF(T1292&lt;=4,0.7,IF(T1292&lt;=6,0.8,IF(T1292&lt;=9,0.9,1))))))*$Y$1),1),"")</f>
        <v>8</v>
      </c>
      <c r="V1292" s="37">
        <v>6</v>
      </c>
      <c r="W1292" s="38"/>
    </row>
    <row r="1293" ht="24" customHeight="1" spans="1:23" x14ac:dyDescent="0.25">
      <c r="A1293" s="31">
        <v>1719</v>
      </c>
      <c r="B1293" s="32" t="s">
        <v>1388</v>
      </c>
      <c r="C1293" s="33" t="s">
        <v>260</v>
      </c>
      <c r="D1293" s="34">
        <v>2024</v>
      </c>
      <c r="E1293" s="34" t="s">
        <v>30</v>
      </c>
      <c r="F1293" s="6">
        <v>8</v>
      </c>
      <c r="G1293" s="6"/>
      <c r="H1293" s="6"/>
      <c r="I1293" s="6">
        <v>8</v>
      </c>
      <c r="J1293" s="6">
        <v>8</v>
      </c>
      <c r="K1293" s="6"/>
      <c r="L1293" s="6"/>
      <c r="M1293" s="6"/>
      <c r="N1293" s="6"/>
      <c r="O1293" s="6"/>
      <c r="P1293" s="6"/>
      <c r="Q1293" s="6"/>
      <c r="R1293" s="6"/>
      <c r="S1293" s="35">
        <f>SUM(F1293:R1293)</f>
        <v>24</v>
      </c>
      <c r="T1293" s="35">
        <f>COUNT(F1293:R1293)</f>
        <v>3</v>
      </c>
      <c r="U1293" s="36">
        <f>IF(T1293&gt;=2,ROUND((IF(T1293=2,0.55,IF(T1293&lt;=4,0.7,IF(T1293&lt;=6,0.8,IF(T1293&lt;=9,0.9,1))))*(S1293/T1293)+(1-(IF(T1293=2,0.55,IF(T1293&lt;=4,0.7,IF(T1293&lt;=6,0.8,IF(T1293&lt;=9,0.9,1))))))*$Y$1),1),"")</f>
        <v>8</v>
      </c>
      <c r="V1293" s="37">
        <v>7.9</v>
      </c>
      <c r="W1293" s="38"/>
    </row>
    <row r="1294" ht="24" customHeight="1" spans="1:23" x14ac:dyDescent="0.25">
      <c r="A1294" s="31">
        <v>618</v>
      </c>
      <c r="B1294" s="32" t="s">
        <v>1389</v>
      </c>
      <c r="C1294" s="33" t="s">
        <v>24</v>
      </c>
      <c r="D1294" s="34">
        <v>1999</v>
      </c>
      <c r="E1294" s="34" t="s">
        <v>27</v>
      </c>
      <c r="F1294" s="6"/>
      <c r="G1294" s="6"/>
      <c r="H1294" s="6"/>
      <c r="I1294" s="6"/>
      <c r="J1294" s="6">
        <v>8</v>
      </c>
      <c r="K1294" s="6"/>
      <c r="L1294" s="6">
        <v>8</v>
      </c>
      <c r="M1294" s="6"/>
      <c r="N1294" s="6"/>
      <c r="O1294" s="6"/>
      <c r="P1294" s="6"/>
      <c r="Q1294" s="6"/>
      <c r="R1294" s="6"/>
      <c r="S1294" s="35">
        <f>SUM(F1294:R1294)</f>
        <v>16</v>
      </c>
      <c r="T1294" s="35">
        <f>COUNT(F1294:R1294)</f>
        <v>2</v>
      </c>
      <c r="U1294" s="36">
        <f>IF(T1294&gt;=2,ROUND((IF(T1294=2,0.55,IF(T1294&lt;=4,0.7,IF(T1294&lt;=6,0.8,IF(T1294&lt;=9,0.9,1))))*(S1294/T1294)+(1-(IF(T1294=2,0.55,IF(T1294&lt;=4,0.7,IF(T1294&lt;=6,0.8,IF(T1294&lt;=9,0.9,1))))))*$Y$1),1),"")</f>
        <v>8</v>
      </c>
      <c r="V1294" s="37">
        <v>7.3</v>
      </c>
      <c r="W1294" s="38"/>
    </row>
    <row r="1295" ht="24" customHeight="1" spans="1:23" x14ac:dyDescent="0.25">
      <c r="A1295" s="31">
        <v>58</v>
      </c>
      <c r="B1295" s="32" t="s">
        <v>1390</v>
      </c>
      <c r="C1295" s="33" t="s">
        <v>24</v>
      </c>
      <c r="D1295" s="34">
        <v>2014</v>
      </c>
      <c r="E1295" s="34" t="s">
        <v>30</v>
      </c>
      <c r="F1295" s="6">
        <v>6</v>
      </c>
      <c r="G1295" s="6">
        <v>8</v>
      </c>
      <c r="H1295" s="6">
        <v>6</v>
      </c>
      <c r="I1295" s="6"/>
      <c r="J1295" s="6">
        <v>8</v>
      </c>
      <c r="K1295" s="6">
        <v>8</v>
      </c>
      <c r="L1295" s="6">
        <v>6</v>
      </c>
      <c r="M1295" s="6"/>
      <c r="N1295" s="6"/>
      <c r="O1295" s="6">
        <v>8</v>
      </c>
      <c r="P1295" s="6">
        <v>8</v>
      </c>
      <c r="Q1295" s="6">
        <v>8</v>
      </c>
      <c r="R1295" s="6"/>
      <c r="S1295" s="35">
        <f>SUM(F1295:R1295)</f>
        <v>66</v>
      </c>
      <c r="T1295" s="35">
        <f>COUNT(F1295:R1295)</f>
        <v>9</v>
      </c>
      <c r="U1295" s="36">
        <f>IF(T1295&gt;=2,ROUND((IF(T1295=2,0.55,IF(T1295&lt;=4,0.7,IF(T1295&lt;=6,0.8,IF(T1295&lt;=9,0.9,1))))*(S1295/T1295)+(1-(IF(T1295=2,0.55,IF(T1295&lt;=4,0.7,IF(T1295&lt;=6,0.8,IF(T1295&lt;=9,0.9,1))))))*$Y$1),1),"")</f>
        <v>7.4</v>
      </c>
      <c r="V1295" s="37">
        <v>8.1</v>
      </c>
      <c r="W1295" s="38"/>
    </row>
    <row r="1296" ht="24" customHeight="1" spans="1:23" x14ac:dyDescent="0.25">
      <c r="A1296" s="31">
        <v>1033</v>
      </c>
      <c r="B1296" s="32" t="s">
        <v>1391</v>
      </c>
      <c r="C1296" s="33" t="s">
        <v>24</v>
      </c>
      <c r="D1296" s="34">
        <v>2021</v>
      </c>
      <c r="E1296" s="34" t="s">
        <v>30</v>
      </c>
      <c r="F1296" s="6"/>
      <c r="G1296" s="6"/>
      <c r="H1296" s="6"/>
      <c r="I1296" s="6"/>
      <c r="J1296" s="6">
        <v>8</v>
      </c>
      <c r="K1296" s="6"/>
      <c r="L1296" s="6"/>
      <c r="M1296" s="6"/>
      <c r="N1296" s="6"/>
      <c r="O1296" s="6"/>
      <c r="P1296" s="6"/>
      <c r="Q1296" s="6"/>
      <c r="R1296" s="6"/>
      <c r="S1296" s="35">
        <f>SUM(F1296:R1296)</f>
        <v>8</v>
      </c>
      <c r="T1296" s="35">
        <f>COUNT(F1296:R1296)</f>
        <v>1</v>
      </c>
      <c r="U1296" s="36">
        <f>IF(T1296&gt;=2,ROUND((IF(T1296=2,0.55,IF(T1296&lt;=4,0.7,IF(T1296&lt;=6,0.8,IF(T1296&lt;=9,0.9,1))))*(S1296/T1296)+(1-(IF(T1296=2,0.55,IF(T1296&lt;=4,0.7,IF(T1296&lt;=6,0.8,IF(T1296&lt;=9,0.9,1))))))*$Y$1),1),"")</f>
      </c>
      <c r="V1296" s="37">
        <v>6.9</v>
      </c>
      <c r="W1296" s="38"/>
    </row>
    <row r="1297" ht="24" customHeight="1" spans="1:23" x14ac:dyDescent="0.25">
      <c r="A1297" s="40">
        <v>2130</v>
      </c>
      <c r="B1297" s="32" t="s">
        <v>1392</v>
      </c>
      <c r="C1297" s="33" t="s">
        <v>24</v>
      </c>
      <c r="D1297" s="34">
        <v>2002</v>
      </c>
      <c r="E1297" s="41"/>
      <c r="F1297" s="6"/>
      <c r="G1297" s="6">
        <v>7</v>
      </c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35">
        <f>SUM(F1297:R1297)</f>
        <v>7</v>
      </c>
      <c r="T1297" s="35">
        <f>COUNT(F1297:R1297)</f>
        <v>1</v>
      </c>
      <c r="U1297" s="36">
        <f>IF(T1297&gt;=2,ROUND((IF(T1297=2,0.55,IF(T1297&lt;=4,0.7,IF(T1297&lt;=6,0.8,IF(T1297&lt;=9,0.9,1))))*(S1297/T1297)+(1-(IF(T1297=2,0.55,IF(T1297&lt;=4,0.7,IF(T1297&lt;=6,0.8,IF(T1297&lt;=9,0.9,1))))))*$Y$1),1),"")</f>
      </c>
      <c r="V1297" s="37">
        <v>7.5</v>
      </c>
      <c r="W1297" s="38"/>
    </row>
    <row r="1298" ht="24" customHeight="1" spans="1:23" x14ac:dyDescent="0.25">
      <c r="A1298" s="31">
        <v>1718</v>
      </c>
      <c r="B1298" s="32" t="s">
        <v>1393</v>
      </c>
      <c r="C1298" s="33" t="s">
        <v>29</v>
      </c>
      <c r="D1298" s="34">
        <v>2023</v>
      </c>
      <c r="E1298" s="34" t="s">
        <v>30</v>
      </c>
      <c r="F1298" s="6"/>
      <c r="G1298" s="6"/>
      <c r="H1298" s="6"/>
      <c r="I1298" s="6"/>
      <c r="J1298" s="6"/>
      <c r="K1298" s="6"/>
      <c r="L1298" s="6"/>
      <c r="M1298" s="6"/>
      <c r="N1298" s="6">
        <v>8</v>
      </c>
      <c r="O1298" s="6"/>
      <c r="P1298" s="6"/>
      <c r="Q1298" s="6"/>
      <c r="R1298" s="6"/>
      <c r="S1298" s="35">
        <f>SUM(F1298:R1298)</f>
        <v>8</v>
      </c>
      <c r="T1298" s="35">
        <f>COUNT(F1298:R1298)</f>
        <v>1</v>
      </c>
      <c r="U1298" s="36">
        <f>IF(T1298&gt;=2,ROUND((IF(T1298=2,0.55,IF(T1298&lt;=4,0.7,IF(T1298&lt;=6,0.8,IF(T1298&lt;=9,0.9,1))))*(S1298/T1298)+(1-(IF(T1298=2,0.55,IF(T1298&lt;=4,0.7,IF(T1298&lt;=6,0.8,IF(T1298&lt;=9,0.9,1))))))*$Y$1),1),"")</f>
      </c>
      <c r="V1298" s="37">
        <v>6</v>
      </c>
      <c r="W1298" s="38"/>
    </row>
    <row r="1299" ht="24" customHeight="1" spans="1:23" x14ac:dyDescent="0.25">
      <c r="A1299" s="31">
        <v>244</v>
      </c>
      <c r="B1299" s="32" t="s">
        <v>1394</v>
      </c>
      <c r="C1299" s="33" t="s">
        <v>24</v>
      </c>
      <c r="D1299" s="34">
        <v>1982</v>
      </c>
      <c r="E1299" s="34" t="s">
        <v>30</v>
      </c>
      <c r="F1299" s="6">
        <v>10</v>
      </c>
      <c r="G1299" s="6">
        <v>8</v>
      </c>
      <c r="H1299" s="6"/>
      <c r="I1299" s="6">
        <v>10</v>
      </c>
      <c r="J1299" s="6">
        <v>10</v>
      </c>
      <c r="K1299" s="6">
        <v>10</v>
      </c>
      <c r="L1299" s="6">
        <v>8</v>
      </c>
      <c r="M1299" s="6">
        <v>10</v>
      </c>
      <c r="N1299" s="6">
        <v>10</v>
      </c>
      <c r="O1299" s="6">
        <v>8</v>
      </c>
      <c r="P1299" s="6">
        <v>8</v>
      </c>
      <c r="Q1299" s="6">
        <v>10</v>
      </c>
      <c r="R1299" s="6">
        <v>10</v>
      </c>
      <c r="S1299" s="35">
        <f>SUM(F1299:R1299)</f>
        <v>112</v>
      </c>
      <c r="T1299" s="35">
        <f>COUNT(F1299:R1299)</f>
        <v>12</v>
      </c>
      <c r="U1299" s="36">
        <f>IF(T1299&gt;=2,ROUND((IF(T1299=2,0.55,IF(T1299&lt;=4,0.7,IF(T1299&lt;=6,0.8,IF(T1299&lt;=9,0.9,1))))*(S1299/T1299)+(1-(IF(T1299=2,0.55,IF(T1299&lt;=4,0.7,IF(T1299&lt;=6,0.8,IF(T1299&lt;=9,0.9,1))))))*$Y$1),1),"")</f>
        <v>9.3</v>
      </c>
      <c r="V1299" s="37">
        <v>8</v>
      </c>
      <c r="W1299" s="38"/>
    </row>
    <row r="1300" ht="24" customHeight="1" spans="1:23" x14ac:dyDescent="0.25">
      <c r="A1300" s="31">
        <v>151</v>
      </c>
      <c r="B1300" s="32" t="s">
        <v>1395</v>
      </c>
      <c r="C1300" s="33" t="s">
        <v>24</v>
      </c>
      <c r="D1300" s="34">
        <v>2017</v>
      </c>
      <c r="E1300" s="34" t="s">
        <v>30</v>
      </c>
      <c r="F1300" s="6"/>
      <c r="G1300" s="6"/>
      <c r="H1300" s="6"/>
      <c r="I1300" s="6">
        <v>10</v>
      </c>
      <c r="J1300" s="6">
        <v>8</v>
      </c>
      <c r="K1300" s="6">
        <v>8</v>
      </c>
      <c r="L1300" s="6"/>
      <c r="M1300" s="6"/>
      <c r="N1300" s="6"/>
      <c r="O1300" s="6"/>
      <c r="P1300" s="6"/>
      <c r="Q1300" s="6">
        <v>8</v>
      </c>
      <c r="R1300" s="6"/>
      <c r="S1300" s="35">
        <f>SUM(F1300:R1300)</f>
        <v>34</v>
      </c>
      <c r="T1300" s="35">
        <f>COUNT(F1300:R1300)</f>
        <v>4</v>
      </c>
      <c r="U1300" s="36">
        <f>IF(T1300&gt;=2,ROUND((IF(T1300=2,0.55,IF(T1300&lt;=4,0.7,IF(T1300&lt;=6,0.8,IF(T1300&lt;=9,0.9,1))))*(S1300/T1300)+(1-(IF(T1300=2,0.55,IF(T1300&lt;=4,0.7,IF(T1300&lt;=6,0.8,IF(T1300&lt;=9,0.9,1))))))*$Y$1),1),"")</f>
        <v>8.4</v>
      </c>
      <c r="V1300" s="37">
        <v>7</v>
      </c>
      <c r="W1300" s="38"/>
    </row>
    <row r="1301" ht="24" customHeight="1" spans="1:23" x14ac:dyDescent="0.25">
      <c r="A1301" s="31">
        <v>412</v>
      </c>
      <c r="B1301" s="32" t="s">
        <v>1396</v>
      </c>
      <c r="C1301" s="33" t="s">
        <v>24</v>
      </c>
      <c r="D1301" s="34">
        <v>2018</v>
      </c>
      <c r="E1301" s="34" t="s">
        <v>33</v>
      </c>
      <c r="F1301" s="6"/>
      <c r="G1301" s="6"/>
      <c r="H1301" s="6"/>
      <c r="I1301" s="6"/>
      <c r="J1301" s="6"/>
      <c r="K1301" s="6">
        <v>10</v>
      </c>
      <c r="L1301" s="6">
        <v>10</v>
      </c>
      <c r="M1301" s="6"/>
      <c r="N1301" s="6">
        <v>8</v>
      </c>
      <c r="O1301" s="6"/>
      <c r="P1301" s="6"/>
      <c r="Q1301" s="6">
        <v>10</v>
      </c>
      <c r="R1301" s="6"/>
      <c r="S1301" s="35">
        <f>SUM(F1301:R1301)</f>
        <v>38</v>
      </c>
      <c r="T1301" s="35">
        <f>COUNT(F1301:R1301)</f>
        <v>4</v>
      </c>
      <c r="U1301" s="36">
        <f>IF(T1301&gt;=2,ROUND((IF(T1301=2,0.55,IF(T1301&lt;=4,0.7,IF(T1301&lt;=6,0.8,IF(T1301&lt;=9,0.9,1))))*(S1301/T1301)+(1-(IF(T1301=2,0.55,IF(T1301&lt;=4,0.7,IF(T1301&lt;=6,0.8,IF(T1301&lt;=9,0.9,1))))))*$Y$1),1),"")</f>
        <v>9.1</v>
      </c>
      <c r="V1301" s="37">
        <v>7.2</v>
      </c>
      <c r="W1301" s="38"/>
    </row>
    <row r="1302" ht="24" customHeight="1" spans="1:23" x14ac:dyDescent="0.25">
      <c r="A1302" s="31">
        <v>1232</v>
      </c>
      <c r="B1302" s="32" t="s">
        <v>1397</v>
      </c>
      <c r="C1302" s="33" t="s">
        <v>24</v>
      </c>
      <c r="D1302" s="34">
        <v>2020</v>
      </c>
      <c r="E1302" s="34" t="s">
        <v>30</v>
      </c>
      <c r="F1302" s="6">
        <v>6</v>
      </c>
      <c r="G1302" s="6"/>
      <c r="H1302" s="6"/>
      <c r="I1302" s="6"/>
      <c r="J1302" s="6">
        <v>6</v>
      </c>
      <c r="K1302" s="6">
        <v>4</v>
      </c>
      <c r="L1302" s="6">
        <v>7</v>
      </c>
      <c r="M1302" s="6"/>
      <c r="N1302" s="6"/>
      <c r="O1302" s="6"/>
      <c r="P1302" s="6"/>
      <c r="Q1302" s="6">
        <v>4</v>
      </c>
      <c r="R1302" s="6"/>
      <c r="S1302" s="35">
        <f>SUM(F1302:R1302)</f>
        <v>27</v>
      </c>
      <c r="T1302" s="35">
        <f>COUNT(F1302:R1302)</f>
        <v>5</v>
      </c>
      <c r="U1302" s="36">
        <f>IF(T1302&gt;=2,ROUND((IF(T1302=2,0.55,IF(T1302&lt;=4,0.7,IF(T1302&lt;=6,0.8,IF(T1302&lt;=9,0.9,1))))*(S1302/T1302)+(1-(IF(T1302=2,0.55,IF(T1302&lt;=4,0.7,IF(T1302&lt;=6,0.8,IF(T1302&lt;=9,0.9,1))))))*$Y$1),1),"")</f>
        <v>5.9</v>
      </c>
      <c r="V1302" s="37">
        <v>6.7</v>
      </c>
      <c r="W1302" s="38"/>
    </row>
    <row r="1303" ht="24" customHeight="1" spans="1:23" x14ac:dyDescent="0.25">
      <c r="A1303" s="31">
        <v>798</v>
      </c>
      <c r="B1303" s="32" t="s">
        <v>1398</v>
      </c>
      <c r="C1303" s="33" t="s">
        <v>24</v>
      </c>
      <c r="D1303" s="34">
        <v>1963</v>
      </c>
      <c r="E1303" s="34" t="s">
        <v>27</v>
      </c>
      <c r="F1303" s="6"/>
      <c r="G1303" s="6"/>
      <c r="H1303" s="6"/>
      <c r="I1303" s="6"/>
      <c r="J1303" s="6"/>
      <c r="K1303" s="6">
        <v>8</v>
      </c>
      <c r="L1303" s="6"/>
      <c r="M1303" s="6"/>
      <c r="N1303" s="6"/>
      <c r="O1303" s="6"/>
      <c r="P1303" s="6"/>
      <c r="Q1303" s="6">
        <v>8</v>
      </c>
      <c r="R1303" s="6"/>
      <c r="S1303" s="35">
        <f>SUM(F1303:R1303)</f>
        <v>16</v>
      </c>
      <c r="T1303" s="35">
        <f>COUNT(F1303:R1303)</f>
        <v>2</v>
      </c>
      <c r="U1303" s="36">
        <f>IF(T1303&gt;=2,ROUND((IF(T1303=2,0.55,IF(T1303&lt;=4,0.7,IF(T1303&lt;=6,0.8,IF(T1303&lt;=9,0.9,1))))*(S1303/T1303)+(1-(IF(T1303=2,0.55,IF(T1303&lt;=4,0.7,IF(T1303&lt;=6,0.8,IF(T1303&lt;=9,0.9,1))))))*$Y$1),1),"")</f>
        <v>8</v>
      </c>
      <c r="V1303" s="37">
        <v>6.4</v>
      </c>
      <c r="W1303" s="38"/>
    </row>
    <row r="1304" ht="24" customHeight="1" spans="1:23" x14ac:dyDescent="0.25">
      <c r="A1304" s="31">
        <v>1884</v>
      </c>
      <c r="B1304" s="32" t="s">
        <v>1399</v>
      </c>
      <c r="C1304" s="33" t="s">
        <v>158</v>
      </c>
      <c r="D1304" s="34">
        <v>2024</v>
      </c>
      <c r="E1304" s="34" t="s">
        <v>1400</v>
      </c>
      <c r="F1304" s="6"/>
      <c r="G1304" s="6"/>
      <c r="H1304" s="6"/>
      <c r="I1304" s="6"/>
      <c r="J1304" s="6">
        <v>10</v>
      </c>
      <c r="K1304" s="6"/>
      <c r="L1304" s="6">
        <v>9</v>
      </c>
      <c r="M1304" s="6">
        <v>10</v>
      </c>
      <c r="N1304" s="6">
        <v>10</v>
      </c>
      <c r="O1304" s="6">
        <v>8</v>
      </c>
      <c r="P1304" s="6">
        <v>8</v>
      </c>
      <c r="Q1304" s="6"/>
      <c r="R1304" s="6"/>
      <c r="S1304" s="35">
        <f>SUM(F1304:R1304)</f>
        <v>55</v>
      </c>
      <c r="T1304" s="35">
        <f>COUNT(F1304:R1304)</f>
        <v>6</v>
      </c>
      <c r="U1304" s="36">
        <f>IF(T1304&gt;=2,ROUND((IF(T1304=2,0.55,IF(T1304&lt;=4,0.7,IF(T1304&lt;=6,0.8,IF(T1304&lt;=9,0.9,1))))*(S1304/T1304)+(1-(IF(T1304=2,0.55,IF(T1304&lt;=4,0.7,IF(T1304&lt;=6,0.8,IF(T1304&lt;=9,0.9,1))))))*$Y$1),1),"")</f>
        <v>9</v>
      </c>
      <c r="V1304" s="37">
        <v>8.4</v>
      </c>
      <c r="W1304" s="38"/>
    </row>
    <row r="1305" ht="24" customHeight="1" spans="1:23" x14ac:dyDescent="0.25">
      <c r="A1305" s="31">
        <v>165</v>
      </c>
      <c r="B1305" s="32" t="s">
        <v>1401</v>
      </c>
      <c r="C1305" s="33" t="s">
        <v>24</v>
      </c>
      <c r="D1305" s="34">
        <v>2002</v>
      </c>
      <c r="E1305" s="34" t="s">
        <v>244</v>
      </c>
      <c r="F1305" s="6">
        <v>10</v>
      </c>
      <c r="G1305" s="6">
        <v>8</v>
      </c>
      <c r="H1305" s="6">
        <v>8</v>
      </c>
      <c r="I1305" s="6">
        <v>10</v>
      </c>
      <c r="J1305" s="6">
        <v>10</v>
      </c>
      <c r="K1305" s="6">
        <v>10</v>
      </c>
      <c r="L1305" s="6">
        <v>10</v>
      </c>
      <c r="M1305" s="6">
        <v>8</v>
      </c>
      <c r="N1305" s="6"/>
      <c r="O1305" s="6"/>
      <c r="P1305" s="6">
        <v>10</v>
      </c>
      <c r="Q1305" s="6">
        <v>10</v>
      </c>
      <c r="R1305" s="6">
        <v>8</v>
      </c>
      <c r="S1305" s="35">
        <f>SUM(F1305:R1305)</f>
        <v>102</v>
      </c>
      <c r="T1305" s="35">
        <f>COUNT(F1305:R1305)</f>
        <v>11</v>
      </c>
      <c r="U1305" s="36">
        <f>IF(T1305&gt;=2,ROUND((IF(T1305=2,0.55,IF(T1305&lt;=4,0.7,IF(T1305&lt;=6,0.8,IF(T1305&lt;=9,0.9,1))))*(S1305/T1305)+(1-(IF(T1305=2,0.55,IF(T1305&lt;=4,0.7,IF(T1305&lt;=6,0.8,IF(T1305&lt;=9,0.9,1))))))*$Y$1),1),"")</f>
        <v>9.3</v>
      </c>
      <c r="V1305" s="37">
        <v>7.3</v>
      </c>
      <c r="W1305" s="38"/>
    </row>
    <row r="1306" ht="24" customHeight="1" spans="1:23" x14ac:dyDescent="0.25">
      <c r="A1306" s="31">
        <v>1820</v>
      </c>
      <c r="B1306" s="32" t="s">
        <v>1402</v>
      </c>
      <c r="C1306" s="33" t="s">
        <v>158</v>
      </c>
      <c r="D1306" s="34">
        <v>2018</v>
      </c>
      <c r="E1306" s="34" t="s">
        <v>25</v>
      </c>
      <c r="F1306" s="6"/>
      <c r="G1306" s="6"/>
      <c r="H1306" s="6"/>
      <c r="I1306" s="6"/>
      <c r="J1306" s="6">
        <v>8</v>
      </c>
      <c r="K1306" s="6"/>
      <c r="L1306" s="6"/>
      <c r="M1306" s="6"/>
      <c r="N1306" s="6"/>
      <c r="O1306" s="6"/>
      <c r="P1306" s="6"/>
      <c r="Q1306" s="6"/>
      <c r="R1306" s="6"/>
      <c r="S1306" s="35">
        <f>SUM(F1306:R1306)</f>
        <v>8</v>
      </c>
      <c r="T1306" s="35">
        <f>COUNT(F1306:R1306)</f>
        <v>1</v>
      </c>
      <c r="U1306" s="36">
        <f>IF(T1306&gt;=2,ROUND((IF(T1306=2,0.55,IF(T1306&lt;=4,0.7,IF(T1306&lt;=6,0.8,IF(T1306&lt;=9,0.9,1))))*(S1306/T1306)+(1-(IF(T1306=2,0.55,IF(T1306&lt;=4,0.7,IF(T1306&lt;=6,0.8,IF(T1306&lt;=9,0.9,1))))))*$Y$1),1),"")</f>
      </c>
      <c r="V1306" s="37">
        <v>8.1</v>
      </c>
      <c r="W1306" s="38"/>
    </row>
    <row r="1307" ht="24" customHeight="1" spans="1:23" x14ac:dyDescent="0.25">
      <c r="A1307" s="47">
        <v>788</v>
      </c>
      <c r="B1307" s="32" t="s">
        <v>1403</v>
      </c>
      <c r="C1307" s="48" t="s">
        <v>24</v>
      </c>
      <c r="D1307" s="49">
        <v>2019</v>
      </c>
      <c r="E1307" s="49" t="s">
        <v>30</v>
      </c>
      <c r="F1307" s="6">
        <v>8</v>
      </c>
      <c r="G1307" s="6"/>
      <c r="H1307" s="6">
        <v>8</v>
      </c>
      <c r="I1307" s="6">
        <v>8</v>
      </c>
      <c r="J1307" s="6"/>
      <c r="K1307" s="6"/>
      <c r="L1307" s="6">
        <v>8</v>
      </c>
      <c r="M1307" s="6">
        <v>8</v>
      </c>
      <c r="N1307" s="6">
        <v>8</v>
      </c>
      <c r="O1307" s="6">
        <v>8</v>
      </c>
      <c r="P1307" s="6">
        <v>7</v>
      </c>
      <c r="Q1307" s="6"/>
      <c r="R1307" s="6">
        <v>8</v>
      </c>
      <c r="S1307" s="50">
        <f>SUM(F1307:R1307)</f>
        <v>71</v>
      </c>
      <c r="T1307" s="50">
        <f>COUNT(F1307:R1307)</f>
        <v>9</v>
      </c>
      <c r="U1307" s="36">
        <f>IF(T1307&gt;=2,ROUND((IF(T1307=2,0.55,IF(T1307&lt;=4,0.7,IF(T1307&lt;=6,0.8,IF(T1307&lt;=9,0.9,1))))*(S1307/T1307)+(1-(IF(T1307=2,0.55,IF(T1307&lt;=4,0.7,IF(T1307&lt;=6,0.8,IF(T1307&lt;=9,0.9,1))))))*$Y$1),1),"")</f>
        <v>7.9</v>
      </c>
      <c r="V1307" s="37">
        <v>6.5</v>
      </c>
      <c r="W1307" s="38" t="s">
        <v>44</v>
      </c>
    </row>
    <row r="1308" ht="24" customHeight="1" spans="1:23" x14ac:dyDescent="0.25">
      <c r="A1308" s="51">
        <v>2381</v>
      </c>
      <c r="B1308" s="32" t="s">
        <v>1404</v>
      </c>
      <c r="C1308" s="48" t="s">
        <v>24</v>
      </c>
      <c r="D1308" s="49">
        <v>2025</v>
      </c>
      <c r="E1308" s="52"/>
      <c r="F1308" s="6">
        <v>7</v>
      </c>
      <c r="G1308" s="6">
        <v>8</v>
      </c>
      <c r="H1308" s="6">
        <v>7</v>
      </c>
      <c r="I1308" s="6">
        <v>8</v>
      </c>
      <c r="J1308" s="6">
        <v>8</v>
      </c>
      <c r="K1308" s="6">
        <v>8</v>
      </c>
      <c r="L1308" s="6">
        <v>8</v>
      </c>
      <c r="M1308" s="6">
        <v>8</v>
      </c>
      <c r="N1308" s="6">
        <v>7</v>
      </c>
      <c r="O1308" s="6"/>
      <c r="P1308" s="6">
        <v>8</v>
      </c>
      <c r="Q1308" s="6">
        <v>8</v>
      </c>
      <c r="R1308" s="6">
        <v>9</v>
      </c>
      <c r="S1308" s="50">
        <f>SUM(F1308:R1308)</f>
        <v>94</v>
      </c>
      <c r="T1308" s="50">
        <f>COUNT(F1308:R1308)</f>
        <v>12</v>
      </c>
      <c r="U1308" s="36">
        <f>IF(T1308&gt;=2,ROUND((IF(T1308=2,0.55,IF(T1308&lt;=4,0.7,IF(T1308&lt;=6,0.8,IF(T1308&lt;=9,0.9,1))))*(S1308/T1308)+(1-(IF(T1308=2,0.55,IF(T1308&lt;=4,0.7,IF(T1308&lt;=6,0.8,IF(T1308&lt;=9,0.9,1))))))*$Y$1),1),"")</f>
        <v>7.8</v>
      </c>
      <c r="V1308" s="37">
        <v>7.4</v>
      </c>
      <c r="W1308" s="38" t="s">
        <v>44</v>
      </c>
    </row>
    <row r="1309" ht="24" customHeight="1" spans="1:23" x14ac:dyDescent="0.25">
      <c r="A1309" s="31">
        <v>1926</v>
      </c>
      <c r="B1309" s="32" t="s">
        <v>1405</v>
      </c>
      <c r="C1309" s="33" t="s">
        <v>24</v>
      </c>
      <c r="D1309" s="34">
        <v>2012</v>
      </c>
      <c r="E1309" s="34" t="s">
        <v>25</v>
      </c>
      <c r="F1309" s="6"/>
      <c r="G1309" s="6">
        <v>7</v>
      </c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35">
        <f>SUM(F1309:R1309)</f>
        <v>7</v>
      </c>
      <c r="T1309" s="35">
        <f>COUNT(F1309:R1309)</f>
        <v>1</v>
      </c>
      <c r="U1309" s="36">
        <f>IF(T1309&gt;=2,ROUND((IF(T1309=2,0.55,IF(T1309&lt;=4,0.7,IF(T1309&lt;=6,0.8,IF(T1309&lt;=9,0.9,1))))*(S1309/T1309)+(1-(IF(T1309=2,0.55,IF(T1309&lt;=4,0.7,IF(T1309&lt;=6,0.8,IF(T1309&lt;=9,0.9,1))))))*$Y$1),1),"")</f>
      </c>
      <c r="V1309" s="37">
        <v>7.4</v>
      </c>
      <c r="W1309" s="38"/>
    </row>
    <row r="1310" ht="24" customHeight="1" spans="1:23" x14ac:dyDescent="0.25">
      <c r="A1310" s="31">
        <v>433</v>
      </c>
      <c r="B1310" s="32" t="s">
        <v>1406</v>
      </c>
      <c r="C1310" s="33" t="s">
        <v>24</v>
      </c>
      <c r="D1310" s="34">
        <v>1994</v>
      </c>
      <c r="E1310" s="34" t="s">
        <v>25</v>
      </c>
      <c r="F1310" s="6">
        <v>10</v>
      </c>
      <c r="G1310" s="6">
        <v>8</v>
      </c>
      <c r="H1310" s="6">
        <v>10</v>
      </c>
      <c r="I1310" s="6">
        <v>10</v>
      </c>
      <c r="J1310" s="6">
        <v>10</v>
      </c>
      <c r="K1310" s="6">
        <v>10</v>
      </c>
      <c r="L1310" s="6">
        <v>8</v>
      </c>
      <c r="M1310" s="6">
        <v>10</v>
      </c>
      <c r="N1310" s="6">
        <v>10</v>
      </c>
      <c r="O1310" s="6"/>
      <c r="P1310" s="6">
        <v>8</v>
      </c>
      <c r="Q1310" s="6">
        <v>10</v>
      </c>
      <c r="R1310" s="6"/>
      <c r="S1310" s="35">
        <f>SUM(F1310:R1310)</f>
        <v>104</v>
      </c>
      <c r="T1310" s="35">
        <f>COUNT(F1310:R1310)</f>
        <v>11</v>
      </c>
      <c r="U1310" s="36">
        <f>IF(T1310&gt;=2,ROUND((IF(T1310=2,0.55,IF(T1310&lt;=4,0.7,IF(T1310&lt;=6,0.8,IF(T1310&lt;=9,0.9,1))))*(S1310/T1310)+(1-(IF(T1310=2,0.55,IF(T1310&lt;=4,0.7,IF(T1310&lt;=6,0.8,IF(T1310&lt;=9,0.9,1))))))*$Y$1),1),"")</f>
        <v>9.5</v>
      </c>
      <c r="V1310" s="37">
        <v>8.8</v>
      </c>
      <c r="W1310" s="38"/>
    </row>
    <row r="1311" ht="24" customHeight="1" spans="1:23" x14ac:dyDescent="0.25">
      <c r="A1311" s="31">
        <v>855</v>
      </c>
      <c r="B1311" s="32" t="s">
        <v>1407</v>
      </c>
      <c r="C1311" s="33" t="s">
        <v>24</v>
      </c>
      <c r="D1311" s="34">
        <v>1999</v>
      </c>
      <c r="E1311" s="34" t="s">
        <v>27</v>
      </c>
      <c r="F1311" s="6"/>
      <c r="G1311" s="6"/>
      <c r="H1311" s="6"/>
      <c r="I1311" s="6"/>
      <c r="J1311" s="6">
        <v>8</v>
      </c>
      <c r="K1311" s="6"/>
      <c r="L1311" s="6"/>
      <c r="M1311" s="6"/>
      <c r="N1311" s="6"/>
      <c r="O1311" s="6"/>
      <c r="P1311" s="6"/>
      <c r="Q1311" s="6"/>
      <c r="R1311" s="6"/>
      <c r="S1311" s="35">
        <f>SUM(F1311:R1311)</f>
        <v>8</v>
      </c>
      <c r="T1311" s="35">
        <f>COUNT(F1311:R1311)</f>
        <v>1</v>
      </c>
      <c r="U1311" s="36">
        <f>IF(T1311&gt;=2,ROUND((IF(T1311=2,0.55,IF(T1311&lt;=4,0.7,IF(T1311&lt;=6,0.8,IF(T1311&lt;=9,0.9,1))))*(S1311/T1311)+(1-(IF(T1311=2,0.55,IF(T1311&lt;=4,0.7,IF(T1311&lt;=6,0.8,IF(T1311&lt;=9,0.9,1))))))*$Y$1),1),"")</f>
      </c>
      <c r="V1311" s="37">
        <v>6.1</v>
      </c>
      <c r="W1311" s="38"/>
    </row>
    <row r="1312" ht="24" customHeight="1" spans="1:23" x14ac:dyDescent="0.25">
      <c r="A1312" s="31">
        <v>118</v>
      </c>
      <c r="B1312" s="32" t="s">
        <v>1408</v>
      </c>
      <c r="C1312" s="33" t="s">
        <v>24</v>
      </c>
      <c r="D1312" s="34">
        <v>2019</v>
      </c>
      <c r="E1312" s="34" t="s">
        <v>52</v>
      </c>
      <c r="F1312" s="6"/>
      <c r="G1312" s="6">
        <v>8</v>
      </c>
      <c r="H1312" s="6"/>
      <c r="I1312" s="6"/>
      <c r="J1312" s="6"/>
      <c r="K1312" s="6">
        <v>8</v>
      </c>
      <c r="L1312" s="6">
        <v>9</v>
      </c>
      <c r="M1312" s="6"/>
      <c r="N1312" s="6"/>
      <c r="O1312" s="6"/>
      <c r="P1312" s="6">
        <v>8</v>
      </c>
      <c r="Q1312" s="6">
        <v>8</v>
      </c>
      <c r="R1312" s="6"/>
      <c r="S1312" s="35">
        <f>SUM(F1312:R1312)</f>
        <v>41</v>
      </c>
      <c r="T1312" s="35">
        <f>COUNT(F1312:R1312)</f>
        <v>5</v>
      </c>
      <c r="U1312" s="36">
        <f>IF(T1312&gt;=2,ROUND((IF(T1312=2,0.55,IF(T1312&lt;=4,0.7,IF(T1312&lt;=6,0.8,IF(T1312&lt;=9,0.9,1))))*(S1312/T1312)+(1-(IF(T1312=2,0.55,IF(T1312&lt;=4,0.7,IF(T1312&lt;=6,0.8,IF(T1312&lt;=9,0.9,1))))))*$Y$1),1),"")</f>
        <v>8.2</v>
      </c>
      <c r="V1312" s="37">
        <v>8.1</v>
      </c>
      <c r="W1312" s="38"/>
    </row>
    <row r="1313" ht="24" customHeight="1" spans="1:23" x14ac:dyDescent="0.25">
      <c r="A1313" s="31">
        <v>655</v>
      </c>
      <c r="B1313" s="32" t="s">
        <v>1409</v>
      </c>
      <c r="C1313" s="33" t="s">
        <v>24</v>
      </c>
      <c r="D1313" s="34">
        <v>2014</v>
      </c>
      <c r="E1313" s="34" t="s">
        <v>27</v>
      </c>
      <c r="F1313" s="6"/>
      <c r="G1313" s="6">
        <v>8</v>
      </c>
      <c r="H1313" s="6"/>
      <c r="I1313" s="6"/>
      <c r="J1313" s="6">
        <v>6</v>
      </c>
      <c r="K1313" s="6">
        <v>6</v>
      </c>
      <c r="L1313" s="6">
        <v>6</v>
      </c>
      <c r="M1313" s="6"/>
      <c r="N1313" s="6"/>
      <c r="O1313" s="6"/>
      <c r="P1313" s="6">
        <v>8</v>
      </c>
      <c r="Q1313" s="6">
        <v>6</v>
      </c>
      <c r="R1313" s="6"/>
      <c r="S1313" s="35">
        <f>SUM(F1313:R1313)</f>
        <v>40</v>
      </c>
      <c r="T1313" s="35">
        <f>COUNT(F1313:R1313)</f>
        <v>6</v>
      </c>
      <c r="U1313" s="36">
        <f>IF(T1313&gt;=2,ROUND((IF(T1313=2,0.55,IF(T1313&lt;=4,0.7,IF(T1313&lt;=6,0.8,IF(T1313&lt;=9,0.9,1))))*(S1313/T1313)+(1-(IF(T1313=2,0.55,IF(T1313&lt;=4,0.7,IF(T1313&lt;=6,0.8,IF(T1313&lt;=9,0.9,1))))))*$Y$1),1),"")</f>
        <v>7</v>
      </c>
      <c r="V1313" s="37">
        <v>7.2</v>
      </c>
      <c r="W1313" s="38"/>
    </row>
    <row r="1314" ht="24" customHeight="1" spans="1:23" x14ac:dyDescent="0.25">
      <c r="A1314" s="40">
        <v>2164</v>
      </c>
      <c r="B1314" s="32" t="s">
        <v>1410</v>
      </c>
      <c r="C1314" s="33" t="s">
        <v>24</v>
      </c>
      <c r="D1314" s="34">
        <v>2005</v>
      </c>
      <c r="E1314" s="41"/>
      <c r="F1314" s="6"/>
      <c r="G1314" s="6">
        <v>7</v>
      </c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35">
        <f>SUM(F1314:R1314)</f>
        <v>7</v>
      </c>
      <c r="T1314" s="35">
        <f>COUNT(F1314:R1314)</f>
        <v>1</v>
      </c>
      <c r="U1314" s="36">
        <f>IF(T1314&gt;=2,ROUND((IF(T1314=2,0.55,IF(T1314&lt;=4,0.7,IF(T1314&lt;=6,0.8,IF(T1314&lt;=9,0.9,1))))*(S1314/T1314)+(1-(IF(T1314=2,0.55,IF(T1314&lt;=4,0.7,IF(T1314&lt;=6,0.8,IF(T1314&lt;=9,0.9,1))))))*$Y$1),1),"")</f>
      </c>
      <c r="V1314" s="37">
        <v>6.6</v>
      </c>
      <c r="W1314" s="38"/>
    </row>
    <row r="1315" ht="24" customHeight="1" spans="1:23" x14ac:dyDescent="0.25">
      <c r="A1315" s="40">
        <v>2253</v>
      </c>
      <c r="B1315" s="32" t="s">
        <v>1411</v>
      </c>
      <c r="C1315" s="33" t="s">
        <v>24</v>
      </c>
      <c r="D1315" s="34">
        <v>2010</v>
      </c>
      <c r="E1315" s="41"/>
      <c r="F1315" s="6"/>
      <c r="G1315" s="6">
        <v>7</v>
      </c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35">
        <f>SUM(F1315:R1315)</f>
        <v>7</v>
      </c>
      <c r="T1315" s="35">
        <f>COUNT(F1315:R1315)</f>
        <v>1</v>
      </c>
      <c r="U1315" s="36">
        <f>IF(T1315&gt;=2,ROUND((IF(T1315=2,0.55,IF(T1315&lt;=4,0.7,IF(T1315&lt;=6,0.8,IF(T1315&lt;=9,0.9,1))))*(S1315/T1315)+(1-(IF(T1315=2,0.55,IF(T1315&lt;=4,0.7,IF(T1315&lt;=6,0.8,IF(T1315&lt;=9,0.9,1))))))*$Y$1),1),"")</f>
      </c>
      <c r="V1315" s="37">
        <v>6.6</v>
      </c>
      <c r="W1315" s="38"/>
    </row>
    <row r="1316" ht="24" customHeight="1" spans="1:23" x14ac:dyDescent="0.25">
      <c r="A1316" s="31">
        <v>221</v>
      </c>
      <c r="B1316" s="32" t="s">
        <v>1412</v>
      </c>
      <c r="C1316" s="33" t="s">
        <v>24</v>
      </c>
      <c r="D1316" s="34">
        <v>1983</v>
      </c>
      <c r="E1316" s="34" t="s">
        <v>92</v>
      </c>
      <c r="F1316" s="6"/>
      <c r="G1316" s="6"/>
      <c r="H1316" s="6"/>
      <c r="I1316" s="6"/>
      <c r="J1316" s="6">
        <v>8</v>
      </c>
      <c r="K1316" s="6"/>
      <c r="L1316" s="6"/>
      <c r="M1316" s="6"/>
      <c r="N1316" s="6"/>
      <c r="O1316" s="6"/>
      <c r="P1316" s="6"/>
      <c r="Q1316" s="6"/>
      <c r="R1316" s="6"/>
      <c r="S1316" s="35">
        <f>SUM(F1316:R1316)</f>
        <v>8</v>
      </c>
      <c r="T1316" s="35">
        <f>COUNT(F1316:R1316)</f>
        <v>1</v>
      </c>
      <c r="U1316" s="36">
        <f>IF(T1316&gt;=2,ROUND((IF(T1316=2,0.55,IF(T1316&lt;=4,0.7,IF(T1316&lt;=6,0.8,IF(T1316&lt;=9,0.9,1))))*(S1316/T1316)+(1-(IF(T1316=2,0.55,IF(T1316&lt;=4,0.7,IF(T1316&lt;=6,0.8,IF(T1316&lt;=9,0.9,1))))))*$Y$1),1),"")</f>
      </c>
      <c r="V1316" s="37">
        <v>6.6</v>
      </c>
      <c r="W1316" s="38"/>
    </row>
    <row r="1317" ht="24" customHeight="1" spans="1:23" x14ac:dyDescent="0.25">
      <c r="A1317" s="47">
        <v>1565</v>
      </c>
      <c r="B1317" s="32" t="s">
        <v>1413</v>
      </c>
      <c r="C1317" s="48" t="s">
        <v>24</v>
      </c>
      <c r="D1317" s="49">
        <v>2023</v>
      </c>
      <c r="E1317" s="49" t="s">
        <v>30</v>
      </c>
      <c r="F1317" s="6">
        <v>8</v>
      </c>
      <c r="G1317" s="6">
        <v>7</v>
      </c>
      <c r="H1317" s="6">
        <v>8</v>
      </c>
      <c r="I1317" s="6">
        <v>9</v>
      </c>
      <c r="J1317" s="6">
        <v>8</v>
      </c>
      <c r="K1317" s="6"/>
      <c r="L1317" s="6">
        <v>5</v>
      </c>
      <c r="M1317" s="6">
        <v>8</v>
      </c>
      <c r="N1317" s="6">
        <v>7</v>
      </c>
      <c r="O1317" s="6">
        <v>8</v>
      </c>
      <c r="P1317" s="6">
        <v>7</v>
      </c>
      <c r="Q1317" s="6"/>
      <c r="R1317" s="6">
        <v>7</v>
      </c>
      <c r="S1317" s="50">
        <f>SUM(F1317:R1317)</f>
        <v>82</v>
      </c>
      <c r="T1317" s="50">
        <f>COUNT(F1317:R1317)</f>
        <v>11</v>
      </c>
      <c r="U1317" s="36">
        <f>IF(T1317&gt;=2,ROUND((IF(T1317=2,0.55,IF(T1317&lt;=4,0.7,IF(T1317&lt;=6,0.8,IF(T1317&lt;=9,0.9,1))))*(S1317/T1317)+(1-(IF(T1317=2,0.55,IF(T1317&lt;=4,0.7,IF(T1317&lt;=6,0.8,IF(T1317&lt;=9,0.9,1))))))*$Y$1),1),"")</f>
        <v>7.5</v>
      </c>
      <c r="V1317" s="37">
        <v>6.6</v>
      </c>
      <c r="W1317" s="38" t="s">
        <v>44</v>
      </c>
    </row>
    <row r="1318" ht="24" customHeight="1" spans="1:23" x14ac:dyDescent="0.25">
      <c r="A1318" s="40">
        <v>2442</v>
      </c>
      <c r="B1318" s="32" t="s">
        <v>1414</v>
      </c>
      <c r="C1318" s="33" t="s">
        <v>24</v>
      </c>
      <c r="D1318" s="34">
        <v>2023</v>
      </c>
      <c r="E1318" s="41"/>
      <c r="F1318" s="6"/>
      <c r="G1318" s="6">
        <v>8</v>
      </c>
      <c r="H1318" s="6"/>
      <c r="I1318" s="6"/>
      <c r="J1318" s="6">
        <v>8</v>
      </c>
      <c r="K1318" s="6"/>
      <c r="L1318" s="6"/>
      <c r="M1318" s="6"/>
      <c r="N1318" s="6"/>
      <c r="O1318" s="6"/>
      <c r="P1318" s="6"/>
      <c r="Q1318" s="6"/>
      <c r="R1318" s="6"/>
      <c r="S1318" s="35">
        <f>SUM(F1318:R1318)</f>
        <v>16</v>
      </c>
      <c r="T1318" s="35">
        <f>COUNT(F1318:R1318)</f>
        <v>2</v>
      </c>
      <c r="U1318" s="36">
        <f>IF(T1318&gt;=2,ROUND((IF(T1318=2,0.55,IF(T1318&lt;=4,0.7,IF(T1318&lt;=6,0.8,IF(T1318&lt;=9,0.9,1))))*(S1318/T1318)+(1-(IF(T1318=2,0.55,IF(T1318&lt;=4,0.7,IF(T1318&lt;=6,0.8,IF(T1318&lt;=9,0.9,1))))))*$Y$1),1),"")</f>
        <v>8</v>
      </c>
      <c r="V1318" s="37">
        <v>7.2</v>
      </c>
      <c r="W1318" s="38"/>
    </row>
    <row r="1319" ht="24" customHeight="1" spans="1:23" x14ac:dyDescent="0.25">
      <c r="A1319" s="47">
        <v>201</v>
      </c>
      <c r="B1319" s="32" t="s">
        <v>1415</v>
      </c>
      <c r="C1319" s="48" t="s">
        <v>24</v>
      </c>
      <c r="D1319" s="49">
        <v>2008</v>
      </c>
      <c r="E1319" s="34" t="s">
        <v>92</v>
      </c>
      <c r="F1319" s="6"/>
      <c r="G1319" s="6">
        <v>9</v>
      </c>
      <c r="H1319" s="6">
        <v>8</v>
      </c>
      <c r="I1319" s="6">
        <v>8</v>
      </c>
      <c r="J1319" s="6">
        <v>9</v>
      </c>
      <c r="K1319" s="6">
        <v>8</v>
      </c>
      <c r="L1319" s="6">
        <v>8</v>
      </c>
      <c r="M1319" s="6">
        <v>8</v>
      </c>
      <c r="N1319" s="6">
        <v>8</v>
      </c>
      <c r="O1319" s="6">
        <v>8</v>
      </c>
      <c r="P1319" s="6">
        <v>8</v>
      </c>
      <c r="Q1319" s="6">
        <v>8</v>
      </c>
      <c r="R1319" s="6"/>
      <c r="S1319" s="50">
        <f>SUM(F1319:R1319)</f>
        <v>90</v>
      </c>
      <c r="T1319" s="50">
        <f>COUNT(F1319:R1319)</f>
        <v>11</v>
      </c>
      <c r="U1319" s="36">
        <f>IF(T1319&gt;=2,ROUND((IF(T1319=2,0.55,IF(T1319&lt;=4,0.7,IF(T1319&lt;=6,0.8,IF(T1319&lt;=9,0.9,1))))*(S1319/T1319)+(1-(IF(T1319=2,0.55,IF(T1319&lt;=4,0.7,IF(T1319&lt;=6,0.8,IF(T1319&lt;=9,0.9,1))))))*$Y$1),1),"")</f>
        <v>8.2</v>
      </c>
      <c r="V1319" s="37">
        <v>7.3</v>
      </c>
      <c r="W1319" s="38" t="s">
        <v>44</v>
      </c>
    </row>
    <row r="1320" ht="24" customHeight="1" spans="1:23" x14ac:dyDescent="0.25">
      <c r="A1320" s="40">
        <v>2401</v>
      </c>
      <c r="B1320" s="32" t="s">
        <v>1416</v>
      </c>
      <c r="C1320" s="33" t="s">
        <v>24</v>
      </c>
      <c r="D1320" s="34">
        <v>2025</v>
      </c>
      <c r="E1320" s="41"/>
      <c r="F1320" s="6">
        <v>7</v>
      </c>
      <c r="G1320" s="6">
        <v>8</v>
      </c>
      <c r="H1320" s="6"/>
      <c r="I1320" s="6"/>
      <c r="J1320" s="6">
        <v>8</v>
      </c>
      <c r="K1320" s="6"/>
      <c r="L1320" s="6">
        <v>7</v>
      </c>
      <c r="M1320" s="6">
        <v>7</v>
      </c>
      <c r="N1320" s="6">
        <v>7</v>
      </c>
      <c r="O1320" s="6"/>
      <c r="P1320" s="6">
        <v>7</v>
      </c>
      <c r="Q1320" s="6"/>
      <c r="R1320" s="6"/>
      <c r="S1320" s="35">
        <f>SUM(F1320:R1320)</f>
        <v>51</v>
      </c>
      <c r="T1320" s="35">
        <f>COUNT(F1320:R1320)</f>
        <v>7</v>
      </c>
      <c r="U1320" s="36">
        <f>IF(T1320&gt;=2,ROUND((IF(T1320=2,0.55,IF(T1320&lt;=4,0.7,IF(T1320&lt;=6,0.8,IF(T1320&lt;=9,0.9,1))))*(S1320/T1320)+(1-(IF(T1320=2,0.55,IF(T1320&lt;=4,0.7,IF(T1320&lt;=6,0.8,IF(T1320&lt;=9,0.9,1))))))*$Y$1),1),"")</f>
        <v>7.4</v>
      </c>
      <c r="V1320" s="37">
        <v>7.4</v>
      </c>
      <c r="W1320" s="38"/>
    </row>
    <row r="1321" ht="24" customHeight="1" spans="1:23" x14ac:dyDescent="0.25">
      <c r="A1321" s="31">
        <v>896</v>
      </c>
      <c r="B1321" s="32" t="s">
        <v>1417</v>
      </c>
      <c r="C1321" s="33" t="s">
        <v>24</v>
      </c>
      <c r="D1321" s="34">
        <v>1995</v>
      </c>
      <c r="E1321" s="34" t="s">
        <v>183</v>
      </c>
      <c r="F1321" s="6"/>
      <c r="G1321" s="6">
        <v>8</v>
      </c>
      <c r="H1321" s="6"/>
      <c r="I1321" s="6"/>
      <c r="J1321" s="6">
        <v>8</v>
      </c>
      <c r="K1321" s="6">
        <v>8</v>
      </c>
      <c r="L1321" s="6"/>
      <c r="M1321" s="6"/>
      <c r="N1321" s="6"/>
      <c r="O1321" s="6"/>
      <c r="P1321" s="6">
        <v>8</v>
      </c>
      <c r="Q1321" s="6">
        <v>8</v>
      </c>
      <c r="R1321" s="6"/>
      <c r="S1321" s="35">
        <f>SUM(F1321:R1321)</f>
        <v>40</v>
      </c>
      <c r="T1321" s="35">
        <f>COUNT(F1321:R1321)</f>
        <v>5</v>
      </c>
      <c r="U1321" s="36">
        <f>IF(T1321&gt;=2,ROUND((IF(T1321=2,0.55,IF(T1321&lt;=4,0.7,IF(T1321&lt;=6,0.8,IF(T1321&lt;=9,0.9,1))))*(S1321/T1321)+(1-(IF(T1321=2,0.55,IF(T1321&lt;=4,0.7,IF(T1321&lt;=6,0.8,IF(T1321&lt;=9,0.9,1))))))*$Y$1),1),"")</f>
        <v>8</v>
      </c>
      <c r="V1321" s="37">
        <v>8.3</v>
      </c>
      <c r="W1321" s="38"/>
    </row>
    <row r="1322" ht="24" customHeight="1" spans="1:23" x14ac:dyDescent="0.25">
      <c r="A1322" s="40">
        <v>2055</v>
      </c>
      <c r="B1322" s="32" t="s">
        <v>1418</v>
      </c>
      <c r="C1322" s="33" t="s">
        <v>24</v>
      </c>
      <c r="D1322" s="34">
        <v>2024</v>
      </c>
      <c r="E1322" s="41"/>
      <c r="F1322" s="6"/>
      <c r="G1322" s="6">
        <v>10</v>
      </c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35">
        <f>SUM(F1322:R1322)</f>
        <v>10</v>
      </c>
      <c r="T1322" s="35">
        <f>COUNT(F1322:R1322)</f>
        <v>1</v>
      </c>
      <c r="U1322" s="36">
        <f>IF(T1322&gt;=2,ROUND((IF(T1322=2,0.55,IF(T1322&lt;=4,0.7,IF(T1322&lt;=6,0.8,IF(T1322&lt;=9,0.9,1))))*(S1322/T1322)+(1-(IF(T1322=2,0.55,IF(T1322&lt;=4,0.7,IF(T1322&lt;=6,0.8,IF(T1322&lt;=9,0.9,1))))))*$Y$1),1),"")</f>
      </c>
      <c r="V1322" s="37">
        <v>7.8</v>
      </c>
      <c r="W1322" s="38"/>
    </row>
    <row r="1323" ht="24" customHeight="1" spans="1:23" x14ac:dyDescent="0.25">
      <c r="A1323" s="47">
        <v>1391</v>
      </c>
      <c r="B1323" s="32" t="s">
        <v>1419</v>
      </c>
      <c r="C1323" s="48" t="s">
        <v>24</v>
      </c>
      <c r="D1323" s="49">
        <v>2013</v>
      </c>
      <c r="E1323" s="49" t="s">
        <v>25</v>
      </c>
      <c r="F1323" s="6">
        <v>8</v>
      </c>
      <c r="G1323" s="6"/>
      <c r="H1323" s="6">
        <v>8</v>
      </c>
      <c r="I1323" s="6">
        <v>9</v>
      </c>
      <c r="J1323" s="6">
        <v>8</v>
      </c>
      <c r="K1323" s="6">
        <v>10</v>
      </c>
      <c r="L1323" s="6">
        <v>8</v>
      </c>
      <c r="M1323" s="6"/>
      <c r="N1323" s="6"/>
      <c r="O1323" s="6">
        <v>8</v>
      </c>
      <c r="P1323" s="6">
        <v>8</v>
      </c>
      <c r="Q1323" s="6">
        <v>10</v>
      </c>
      <c r="R1323" s="6"/>
      <c r="S1323" s="50">
        <f>SUM(F1323:R1323)</f>
        <v>77</v>
      </c>
      <c r="T1323" s="50">
        <f>COUNT(F1323:R1323)</f>
        <v>9</v>
      </c>
      <c r="U1323" s="36">
        <f>IF(T1323&gt;=2,ROUND((IF(T1323=2,0.55,IF(T1323&lt;=4,0.7,IF(T1323&lt;=6,0.8,IF(T1323&lt;=9,0.9,1))))*(S1323/T1323)+(1-(IF(T1323=2,0.55,IF(T1323&lt;=4,0.7,IF(T1323&lt;=6,0.8,IF(T1323&lt;=9,0.9,1))))))*$Y$1),1),"")</f>
        <v>8.5</v>
      </c>
      <c r="V1323" s="37">
        <v>7</v>
      </c>
      <c r="W1323" s="38" t="s">
        <v>44</v>
      </c>
    </row>
    <row r="1324" ht="24" customHeight="1" spans="1:23" x14ac:dyDescent="0.25">
      <c r="A1324" s="31">
        <v>1729</v>
      </c>
      <c r="B1324" s="32" t="s">
        <v>1420</v>
      </c>
      <c r="C1324" s="33" t="s">
        <v>24</v>
      </c>
      <c r="D1324" s="34">
        <v>2020</v>
      </c>
      <c r="E1324" s="34" t="s">
        <v>25</v>
      </c>
      <c r="F1324" s="6"/>
      <c r="G1324" s="6"/>
      <c r="H1324" s="6"/>
      <c r="I1324" s="6"/>
      <c r="J1324" s="6">
        <v>8</v>
      </c>
      <c r="K1324" s="6"/>
      <c r="L1324" s="6"/>
      <c r="M1324" s="6"/>
      <c r="N1324" s="6"/>
      <c r="O1324" s="6"/>
      <c r="P1324" s="6"/>
      <c r="Q1324" s="6"/>
      <c r="R1324" s="6"/>
      <c r="S1324" s="35">
        <f>SUM(F1324:R1324)</f>
        <v>8</v>
      </c>
      <c r="T1324" s="35">
        <f>COUNT(F1324:R1324)</f>
        <v>1</v>
      </c>
      <c r="U1324" s="36">
        <f>IF(T1324&gt;=2,ROUND((IF(T1324=2,0.55,IF(T1324&lt;=4,0.7,IF(T1324&lt;=6,0.8,IF(T1324&lt;=9,0.9,1))))*(S1324/T1324)+(1-(IF(T1324=2,0.55,IF(T1324&lt;=4,0.7,IF(T1324&lt;=6,0.8,IF(T1324&lt;=9,0.9,1))))))*$Y$1),1),"")</f>
      </c>
      <c r="V1324" s="37">
        <v>9.2</v>
      </c>
      <c r="W1324" s="38"/>
    </row>
    <row r="1325" ht="24" customHeight="1" spans="1:23" x14ac:dyDescent="0.25">
      <c r="A1325" s="31">
        <v>439</v>
      </c>
      <c r="B1325" s="32" t="s">
        <v>1421</v>
      </c>
      <c r="C1325" s="33" t="s">
        <v>24</v>
      </c>
      <c r="D1325" s="34">
        <v>2011</v>
      </c>
      <c r="E1325" s="34" t="s">
        <v>27</v>
      </c>
      <c r="F1325" s="6">
        <v>8</v>
      </c>
      <c r="G1325" s="6">
        <v>7</v>
      </c>
      <c r="H1325" s="6">
        <v>8</v>
      </c>
      <c r="I1325" s="6">
        <v>8</v>
      </c>
      <c r="J1325" s="6">
        <v>10</v>
      </c>
      <c r="K1325" s="6">
        <v>8</v>
      </c>
      <c r="L1325" s="6">
        <v>10</v>
      </c>
      <c r="M1325" s="6">
        <v>8</v>
      </c>
      <c r="N1325" s="6">
        <v>10</v>
      </c>
      <c r="O1325" s="6"/>
      <c r="P1325" s="6">
        <v>8</v>
      </c>
      <c r="Q1325" s="6">
        <v>8</v>
      </c>
      <c r="R1325" s="6">
        <v>8</v>
      </c>
      <c r="S1325" s="35">
        <f>SUM(F1325:R1325)</f>
        <v>101</v>
      </c>
      <c r="T1325" s="35">
        <f>COUNT(F1325:R1325)</f>
        <v>12</v>
      </c>
      <c r="U1325" s="36">
        <f>IF(T1325&gt;=2,ROUND((IF(T1325=2,0.55,IF(T1325&lt;=4,0.7,IF(T1325&lt;=6,0.8,IF(T1325&lt;=9,0.9,1))))*(S1325/T1325)+(1-(IF(T1325=2,0.55,IF(T1325&lt;=4,0.7,IF(T1325&lt;=6,0.8,IF(T1325&lt;=9,0.9,1))))))*$Y$1),1),"")</f>
        <v>8.4</v>
      </c>
      <c r="V1325" s="37">
        <v>7.5</v>
      </c>
      <c r="W1325" s="38"/>
    </row>
    <row r="1326" ht="24" customHeight="1" spans="1:23" x14ac:dyDescent="0.25">
      <c r="A1326" s="31">
        <v>1448</v>
      </c>
      <c r="B1326" s="32" t="s">
        <v>1422</v>
      </c>
      <c r="C1326" s="33" t="s">
        <v>24</v>
      </c>
      <c r="D1326" s="34">
        <v>2016</v>
      </c>
      <c r="E1326" s="34" t="s">
        <v>27</v>
      </c>
      <c r="F1326" s="6">
        <v>8</v>
      </c>
      <c r="G1326" s="6"/>
      <c r="H1326" s="6"/>
      <c r="I1326" s="6"/>
      <c r="J1326" s="6">
        <v>8</v>
      </c>
      <c r="K1326" s="6"/>
      <c r="L1326" s="6">
        <v>7</v>
      </c>
      <c r="M1326" s="6"/>
      <c r="N1326" s="6"/>
      <c r="O1326" s="6"/>
      <c r="P1326" s="6"/>
      <c r="Q1326" s="6"/>
      <c r="R1326" s="6"/>
      <c r="S1326" s="35">
        <f>SUM(F1326:R1326)</f>
        <v>23</v>
      </c>
      <c r="T1326" s="35">
        <f>COUNT(F1326:R1326)</f>
        <v>3</v>
      </c>
      <c r="U1326" s="36">
        <f>IF(T1326&gt;=2,ROUND((IF(T1326=2,0.55,IF(T1326&lt;=4,0.7,IF(T1326&lt;=6,0.8,IF(T1326&lt;=9,0.9,1))))*(S1326/T1326)+(1-(IF(T1326=2,0.55,IF(T1326&lt;=4,0.7,IF(T1326&lt;=6,0.8,IF(T1326&lt;=9,0.9,1))))))*$Y$1),1),"")</f>
        <v>7.8</v>
      </c>
      <c r="V1326" s="37">
        <v>6.8</v>
      </c>
      <c r="W1326" s="38"/>
    </row>
    <row r="1327" ht="24" customHeight="1" spans="1:23" x14ac:dyDescent="0.25">
      <c r="A1327" s="31">
        <v>1899</v>
      </c>
      <c r="B1327" s="32" t="s">
        <v>1423</v>
      </c>
      <c r="C1327" s="33" t="s">
        <v>24</v>
      </c>
      <c r="D1327" s="34">
        <v>2023</v>
      </c>
      <c r="E1327" s="34" t="s">
        <v>25</v>
      </c>
      <c r="F1327" s="6"/>
      <c r="G1327" s="6"/>
      <c r="H1327" s="6"/>
      <c r="I1327" s="6"/>
      <c r="J1327" s="6"/>
      <c r="K1327" s="6"/>
      <c r="L1327" s="6">
        <v>7</v>
      </c>
      <c r="M1327" s="6"/>
      <c r="N1327" s="6"/>
      <c r="O1327" s="6"/>
      <c r="P1327" s="6"/>
      <c r="Q1327" s="6"/>
      <c r="R1327" s="6"/>
      <c r="S1327" s="35">
        <f>SUM(F1327:R1327)</f>
        <v>7</v>
      </c>
      <c r="T1327" s="35">
        <f>COUNT(F1327:R1327)</f>
        <v>1</v>
      </c>
      <c r="U1327" s="36">
        <f>IF(T1327&gt;=2,ROUND((IF(T1327=2,0.55,IF(T1327&lt;=4,0.7,IF(T1327&lt;=6,0.8,IF(T1327&lt;=9,0.9,1))))*(S1327/T1327)+(1-(IF(T1327=2,0.55,IF(T1327&lt;=4,0.7,IF(T1327&lt;=6,0.8,IF(T1327&lt;=9,0.9,1))))))*$Y$1),1),"")</f>
      </c>
      <c r="V1327" s="37">
        <v>6.8</v>
      </c>
      <c r="W1327" s="38"/>
    </row>
    <row r="1328" ht="24" customHeight="1" spans="1:23" x14ac:dyDescent="0.25">
      <c r="A1328" s="31">
        <v>1300</v>
      </c>
      <c r="B1328" s="32" t="s">
        <v>1424</v>
      </c>
      <c r="C1328" s="33" t="s">
        <v>29</v>
      </c>
      <c r="D1328" s="34">
        <v>2021</v>
      </c>
      <c r="E1328" s="34" t="s">
        <v>30</v>
      </c>
      <c r="F1328" s="6"/>
      <c r="G1328" s="6"/>
      <c r="H1328" s="6"/>
      <c r="I1328" s="6"/>
      <c r="J1328" s="6"/>
      <c r="K1328" s="6"/>
      <c r="L1328" s="6"/>
      <c r="M1328" s="6"/>
      <c r="N1328" s="6">
        <v>10</v>
      </c>
      <c r="O1328" s="6"/>
      <c r="P1328" s="6"/>
      <c r="Q1328" s="6"/>
      <c r="R1328" s="6"/>
      <c r="S1328" s="35">
        <f>SUM(F1328:R1328)</f>
        <v>10</v>
      </c>
      <c r="T1328" s="35">
        <f>COUNT(F1328:R1328)</f>
        <v>1</v>
      </c>
      <c r="U1328" s="36">
        <f>IF(T1328&gt;=2,ROUND((IF(T1328=2,0.55,IF(T1328&lt;=4,0.7,IF(T1328&lt;=6,0.8,IF(T1328&lt;=9,0.9,1))))*(S1328/T1328)+(1-(IF(T1328=2,0.55,IF(T1328&lt;=4,0.7,IF(T1328&lt;=6,0.8,IF(T1328&lt;=9,0.9,1))))))*$Y$1),1),"")</f>
      </c>
      <c r="V1328" s="37">
        <v>6.9</v>
      </c>
      <c r="W1328" s="38"/>
    </row>
    <row r="1329" ht="24" customHeight="1" spans="1:23" x14ac:dyDescent="0.25">
      <c r="A1329" s="31">
        <v>1136</v>
      </c>
      <c r="B1329" s="32" t="s">
        <v>1425</v>
      </c>
      <c r="C1329" s="33" t="s">
        <v>24</v>
      </c>
      <c r="D1329" s="34">
        <v>2021</v>
      </c>
      <c r="E1329" s="34" t="s">
        <v>27</v>
      </c>
      <c r="F1329" s="6"/>
      <c r="G1329" s="6"/>
      <c r="H1329" s="6"/>
      <c r="I1329" s="6"/>
      <c r="J1329" s="6"/>
      <c r="K1329" s="6">
        <v>6</v>
      </c>
      <c r="L1329" s="6"/>
      <c r="M1329" s="6"/>
      <c r="N1329" s="6"/>
      <c r="O1329" s="6"/>
      <c r="P1329" s="6"/>
      <c r="Q1329" s="6">
        <v>6</v>
      </c>
      <c r="R1329" s="6"/>
      <c r="S1329" s="35">
        <f>SUM(F1329:R1329)</f>
        <v>12</v>
      </c>
      <c r="T1329" s="35">
        <f>COUNT(F1329:R1329)</f>
        <v>2</v>
      </c>
      <c r="U1329" s="36">
        <f>IF(T1329&gt;=2,ROUND((IF(T1329=2,0.55,IF(T1329&lt;=4,0.7,IF(T1329&lt;=6,0.8,IF(T1329&lt;=9,0.9,1))))*(S1329/T1329)+(1-(IF(T1329=2,0.55,IF(T1329&lt;=4,0.7,IF(T1329&lt;=6,0.8,IF(T1329&lt;=9,0.9,1))))))*$Y$1),1),"")</f>
        <v>6.9</v>
      </c>
      <c r="V1329" s="37">
        <v>6.9</v>
      </c>
      <c r="W1329" s="38"/>
    </row>
    <row r="1330" ht="24" customHeight="1" spans="1:23" x14ac:dyDescent="0.25">
      <c r="A1330" s="31">
        <v>639</v>
      </c>
      <c r="B1330" s="32" t="s">
        <v>1426</v>
      </c>
      <c r="C1330" s="33" t="s">
        <v>24</v>
      </c>
      <c r="D1330" s="34">
        <v>1999</v>
      </c>
      <c r="E1330" s="34" t="s">
        <v>92</v>
      </c>
      <c r="F1330" s="6"/>
      <c r="G1330" s="6"/>
      <c r="H1330" s="6"/>
      <c r="I1330" s="6"/>
      <c r="J1330" s="6"/>
      <c r="K1330" s="6"/>
      <c r="L1330" s="6">
        <v>10</v>
      </c>
      <c r="M1330" s="6"/>
      <c r="N1330" s="6"/>
      <c r="O1330" s="6"/>
      <c r="P1330" s="6"/>
      <c r="Q1330" s="6"/>
      <c r="R1330" s="6"/>
      <c r="S1330" s="35">
        <f>SUM(F1330:R1330)</f>
        <v>10</v>
      </c>
      <c r="T1330" s="35">
        <f>COUNT(F1330:R1330)</f>
        <v>1</v>
      </c>
      <c r="U1330" s="36">
        <f>IF(T1330&gt;=2,ROUND((IF(T1330=2,0.55,IF(T1330&lt;=4,0.7,IF(T1330&lt;=6,0.8,IF(T1330&lt;=9,0.9,1))))*(S1330/T1330)+(1-(IF(T1330=2,0.55,IF(T1330&lt;=4,0.7,IF(T1330&lt;=6,0.8,IF(T1330&lt;=9,0.9,1))))))*$Y$1),1),"")</f>
      </c>
      <c r="V1330" s="37">
        <v>7</v>
      </c>
      <c r="W1330" s="38"/>
    </row>
    <row r="1331" ht="24" customHeight="1" spans="1:23" x14ac:dyDescent="0.25">
      <c r="A1331" s="40">
        <v>2100</v>
      </c>
      <c r="B1331" s="32" t="s">
        <v>1427</v>
      </c>
      <c r="C1331" s="33" t="s">
        <v>24</v>
      </c>
      <c r="D1331" s="34">
        <v>1997</v>
      </c>
      <c r="E1331" s="41"/>
      <c r="F1331" s="6"/>
      <c r="G1331" s="6">
        <v>7.5</v>
      </c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35">
        <f>SUM(F1331:R1331)</f>
        <v>7.5</v>
      </c>
      <c r="T1331" s="35">
        <f>COUNT(F1331:R1331)</f>
        <v>1</v>
      </c>
      <c r="U1331" s="36">
        <f>IF(T1331&gt;=2,ROUND((IF(T1331=2,0.55,IF(T1331&lt;=4,0.7,IF(T1331&lt;=6,0.8,IF(T1331&lt;=9,0.9,1))))*(S1331/T1331)+(1-(IF(T1331=2,0.55,IF(T1331&lt;=4,0.7,IF(T1331&lt;=6,0.8,IF(T1331&lt;=9,0.9,1))))))*$Y$1),1),"")</f>
      </c>
      <c r="V1331" s="37">
        <v>8.2</v>
      </c>
      <c r="W1331" s="38"/>
    </row>
    <row r="1332" ht="47.25" customHeight="1" spans="1:23" x14ac:dyDescent="0.25">
      <c r="A1332" s="31">
        <v>1123</v>
      </c>
      <c r="B1332" s="32" t="s">
        <v>1428</v>
      </c>
      <c r="C1332" s="33" t="s">
        <v>24</v>
      </c>
      <c r="D1332" s="34">
        <v>2020</v>
      </c>
      <c r="E1332" s="34" t="s">
        <v>1429</v>
      </c>
      <c r="F1332" s="6"/>
      <c r="G1332" s="6"/>
      <c r="H1332" s="6">
        <v>8</v>
      </c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35">
        <f>SUM(F1332:R1332)</f>
        <v>8</v>
      </c>
      <c r="T1332" s="35">
        <f>COUNT(F1332:R1332)</f>
        <v>1</v>
      </c>
      <c r="U1332" s="36">
        <f>IF(T1332&gt;=2,ROUND((IF(T1332=2,0.55,IF(T1332&lt;=4,0.7,IF(T1332&lt;=6,0.8,IF(T1332&lt;=9,0.9,1))))*(S1332/T1332)+(1-(IF(T1332=2,0.55,IF(T1332&lt;=4,0.7,IF(T1332&lt;=6,0.8,IF(T1332&lt;=9,0.9,1))))))*$Y$1),1),"")</f>
      </c>
      <c r="V1332" s="37">
        <v>6.3</v>
      </c>
      <c r="W1332" s="38"/>
    </row>
    <row r="1333" ht="24" customHeight="1" spans="1:23" s="39" customFormat="1" x14ac:dyDescent="0.25">
      <c r="A1333" s="40">
        <v>2440</v>
      </c>
      <c r="B1333" s="32" t="s">
        <v>1430</v>
      </c>
      <c r="C1333" s="33" t="s">
        <v>29</v>
      </c>
      <c r="D1333" s="34">
        <v>2026</v>
      </c>
      <c r="E1333" s="41"/>
      <c r="F1333" s="6"/>
      <c r="G1333" s="6"/>
      <c r="H1333" s="6"/>
      <c r="I1333" s="6"/>
      <c r="J1333" s="6"/>
      <c r="K1333" s="6"/>
      <c r="L1333" s="6"/>
      <c r="M1333" s="6"/>
      <c r="N1333" s="6"/>
      <c r="O1333" s="6">
        <v>8</v>
      </c>
      <c r="P1333" s="6"/>
      <c r="Q1333" s="6"/>
      <c r="R1333" s="6"/>
      <c r="S1333" s="35">
        <f>SUM(F1333:R1333)</f>
        <v>8</v>
      </c>
      <c r="T1333" s="35">
        <f>COUNT(F1333:R1333)</f>
        <v>1</v>
      </c>
      <c r="U1333" s="36">
        <f>IF(T1333&gt;=2,ROUND((IF(T1333=2,0.55,IF(T1333&lt;=4,0.7,IF(T1333&lt;=6,0.8,IF(T1333&lt;=9,0.9,1))))*(S1333/T1333)+(1-(IF(T1333=2,0.55,IF(T1333&lt;=4,0.7,IF(T1333&lt;=6,0.8,IF(T1333&lt;=9,0.9,1))))))*$Y$1),1),"")</f>
      </c>
      <c r="V1333" s="37">
        <v>7.5</v>
      </c>
      <c r="W1333" s="38"/>
    </row>
    <row r="1334" ht="47.25" customHeight="1" spans="1:23" x14ac:dyDescent="0.25">
      <c r="A1334" s="31">
        <v>970</v>
      </c>
      <c r="B1334" s="32" t="s">
        <v>1431</v>
      </c>
      <c r="C1334" s="33" t="s">
        <v>24</v>
      </c>
      <c r="D1334" s="34">
        <v>2021</v>
      </c>
      <c r="E1334" s="34" t="s">
        <v>30</v>
      </c>
      <c r="F1334" s="6">
        <v>8</v>
      </c>
      <c r="G1334" s="6">
        <v>8</v>
      </c>
      <c r="H1334" s="6"/>
      <c r="I1334" s="6">
        <v>8</v>
      </c>
      <c r="J1334" s="6">
        <v>8</v>
      </c>
      <c r="K1334" s="6">
        <v>8</v>
      </c>
      <c r="L1334" s="6"/>
      <c r="M1334" s="6"/>
      <c r="N1334" s="6"/>
      <c r="O1334" s="6"/>
      <c r="P1334" s="6">
        <v>6</v>
      </c>
      <c r="Q1334" s="6">
        <v>8</v>
      </c>
      <c r="R1334" s="6"/>
      <c r="S1334" s="35">
        <f>SUM(F1334:R1334)</f>
        <v>54</v>
      </c>
      <c r="T1334" s="35">
        <f>COUNT(F1334:R1334)</f>
        <v>7</v>
      </c>
      <c r="U1334" s="36">
        <f>IF(T1334&gt;=2,ROUND((IF(T1334=2,0.55,IF(T1334&lt;=4,0.7,IF(T1334&lt;=6,0.8,IF(T1334&lt;=9,0.9,1))))*(S1334/T1334)+(1-(IF(T1334=2,0.55,IF(T1334&lt;=4,0.7,IF(T1334&lt;=6,0.8,IF(T1334&lt;=9,0.9,1))))))*$Y$1),1),"")</f>
        <v>7.8</v>
      </c>
      <c r="V1334" s="37">
        <v>6.6</v>
      </c>
      <c r="W1334" s="38"/>
    </row>
    <row r="1335" ht="24" customHeight="1" spans="1:23" x14ac:dyDescent="0.25">
      <c r="A1335" s="31">
        <v>236</v>
      </c>
      <c r="B1335" s="32" t="s">
        <v>1432</v>
      </c>
      <c r="C1335" s="33" t="s">
        <v>24</v>
      </c>
      <c r="D1335" s="34">
        <v>2006</v>
      </c>
      <c r="E1335" s="34" t="s">
        <v>30</v>
      </c>
      <c r="F1335" s="6"/>
      <c r="G1335" s="6">
        <v>7</v>
      </c>
      <c r="H1335" s="6"/>
      <c r="I1335" s="6"/>
      <c r="J1335" s="6"/>
      <c r="K1335" s="6">
        <v>10</v>
      </c>
      <c r="L1335" s="6"/>
      <c r="M1335" s="6"/>
      <c r="N1335" s="6"/>
      <c r="O1335" s="6"/>
      <c r="P1335" s="6"/>
      <c r="Q1335" s="6">
        <v>10</v>
      </c>
      <c r="R1335" s="6"/>
      <c r="S1335" s="35">
        <f>SUM(F1335:R1335)</f>
        <v>27</v>
      </c>
      <c r="T1335" s="35">
        <f>COUNT(F1335:R1335)</f>
        <v>3</v>
      </c>
      <c r="U1335" s="36">
        <f>IF(T1335&gt;=2,ROUND((IF(T1335=2,0.55,IF(T1335&lt;=4,0.7,IF(T1335&lt;=6,0.8,IF(T1335&lt;=9,0.9,1))))*(S1335/T1335)+(1-(IF(T1335=2,0.55,IF(T1335&lt;=4,0.7,IF(T1335&lt;=6,0.8,IF(T1335&lt;=9,0.9,1))))))*$Y$1),1),"")</f>
        <v>8.7</v>
      </c>
      <c r="V1335" s="37">
        <v>7.9</v>
      </c>
      <c r="W1335" s="38"/>
    </row>
    <row r="1336" ht="47.25" customHeight="1" spans="1:23" x14ac:dyDescent="0.25">
      <c r="A1336" s="31">
        <v>1460</v>
      </c>
      <c r="B1336" s="32" t="s">
        <v>1433</v>
      </c>
      <c r="C1336" s="33" t="s">
        <v>158</v>
      </c>
      <c r="D1336" s="34">
        <v>2022</v>
      </c>
      <c r="E1336" s="34" t="s">
        <v>27</v>
      </c>
      <c r="F1336" s="6">
        <v>8</v>
      </c>
      <c r="G1336" s="6"/>
      <c r="H1336" s="6"/>
      <c r="I1336" s="6"/>
      <c r="J1336" s="6"/>
      <c r="K1336" s="6"/>
      <c r="L1336" s="6"/>
      <c r="M1336" s="6"/>
      <c r="N1336" s="6"/>
      <c r="O1336" s="6">
        <v>8</v>
      </c>
      <c r="P1336" s="6"/>
      <c r="Q1336" s="6"/>
      <c r="R1336" s="6"/>
      <c r="S1336" s="35">
        <f>SUM(F1336:R1336)</f>
        <v>16</v>
      </c>
      <c r="T1336" s="35">
        <f>COUNT(F1336:R1336)</f>
        <v>2</v>
      </c>
      <c r="U1336" s="36">
        <f>IF(T1336&gt;=2,ROUND((IF(T1336=2,0.55,IF(T1336&lt;=4,0.7,IF(T1336&lt;=6,0.8,IF(T1336&lt;=9,0.9,1))))*(S1336/T1336)+(1-(IF(T1336=2,0.55,IF(T1336&lt;=4,0.7,IF(T1336&lt;=6,0.8,IF(T1336&lt;=9,0.9,1))))))*$Y$1),1),"")</f>
        <v>8</v>
      </c>
      <c r="V1336" s="37">
        <v>8.4</v>
      </c>
      <c r="W1336" s="38"/>
    </row>
    <row r="1337" ht="24" customHeight="1" spans="1:23" x14ac:dyDescent="0.25">
      <c r="A1337" s="31">
        <v>2029</v>
      </c>
      <c r="B1337" s="32" t="s">
        <v>1434</v>
      </c>
      <c r="C1337" s="33" t="s">
        <v>29</v>
      </c>
      <c r="D1337" s="34">
        <v>1999</v>
      </c>
      <c r="E1337" s="41"/>
      <c r="F1337" s="6"/>
      <c r="G1337" s="6"/>
      <c r="H1337" s="6">
        <v>8</v>
      </c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35">
        <f>SUM(F1337:R1337)</f>
        <v>8</v>
      </c>
      <c r="T1337" s="35">
        <f>COUNT(F1337:R1337)</f>
        <v>1</v>
      </c>
      <c r="U1337" s="36">
        <f>IF(T1337&gt;=2,ROUND((IF(T1337=2,0.55,IF(T1337&lt;=4,0.7,IF(T1337&lt;=6,0.8,IF(T1337&lt;=9,0.9,1))))*(S1337/T1337)+(1-(IF(T1337=2,0.55,IF(T1337&lt;=4,0.7,IF(T1337&lt;=6,0.8,IF(T1337&lt;=9,0.9,1))))))*$Y$1),1),"")</f>
      </c>
      <c r="V1337" s="37">
        <v>8.1</v>
      </c>
      <c r="W1337" s="38"/>
    </row>
    <row r="1338" ht="24" customHeight="1" spans="1:23" x14ac:dyDescent="0.25">
      <c r="A1338" s="31">
        <v>974</v>
      </c>
      <c r="B1338" s="32" t="s">
        <v>1435</v>
      </c>
      <c r="C1338" s="33" t="s">
        <v>29</v>
      </c>
      <c r="D1338" s="34">
        <v>2021</v>
      </c>
      <c r="E1338" s="34" t="s">
        <v>69</v>
      </c>
      <c r="F1338" s="6"/>
      <c r="G1338" s="6"/>
      <c r="H1338" s="6">
        <v>8</v>
      </c>
      <c r="I1338" s="6"/>
      <c r="J1338" s="6"/>
      <c r="K1338" s="6"/>
      <c r="L1338" s="6">
        <v>8</v>
      </c>
      <c r="M1338" s="6"/>
      <c r="N1338" s="6"/>
      <c r="O1338" s="6"/>
      <c r="P1338" s="6"/>
      <c r="Q1338" s="6"/>
      <c r="R1338" s="6"/>
      <c r="S1338" s="35">
        <f>SUM(F1338:R1338)</f>
        <v>16</v>
      </c>
      <c r="T1338" s="35">
        <f>COUNT(F1338:R1338)</f>
        <v>2</v>
      </c>
      <c r="U1338" s="36">
        <f>IF(T1338&gt;=2,ROUND((IF(T1338=2,0.55,IF(T1338&lt;=4,0.7,IF(T1338&lt;=6,0.8,IF(T1338&lt;=9,0.9,1))))*(S1338/T1338)+(1-(IF(T1338=2,0.55,IF(T1338&lt;=4,0.7,IF(T1338&lt;=6,0.8,IF(T1338&lt;=9,0.9,1))))))*$Y$1),1),"")</f>
        <v>8</v>
      </c>
      <c r="V1338" s="37">
        <v>8.1</v>
      </c>
      <c r="W1338" s="38"/>
    </row>
    <row r="1339" ht="24" customHeight="1" spans="1:23" x14ac:dyDescent="0.25">
      <c r="A1339" s="40">
        <v>2432</v>
      </c>
      <c r="B1339" s="32" t="s">
        <v>1436</v>
      </c>
      <c r="C1339" s="33" t="s">
        <v>24</v>
      </c>
      <c r="D1339" s="34">
        <v>1993</v>
      </c>
      <c r="E1339" s="41"/>
      <c r="F1339" s="6">
        <v>8</v>
      </c>
      <c r="G1339" s="6"/>
      <c r="H1339" s="6"/>
      <c r="I1339" s="6"/>
      <c r="J1339" s="6"/>
      <c r="K1339" s="6"/>
      <c r="L1339" s="6"/>
      <c r="M1339" s="6"/>
      <c r="N1339" s="6"/>
      <c r="O1339" s="6"/>
      <c r="P1339" s="6">
        <v>8</v>
      </c>
      <c r="Q1339" s="6"/>
      <c r="R1339" s="6"/>
      <c r="S1339" s="35">
        <f>SUM(F1339:R1339)</f>
        <v>16</v>
      </c>
      <c r="T1339" s="35">
        <f>COUNT(F1339:R1339)</f>
        <v>2</v>
      </c>
      <c r="U1339" s="36">
        <f>IF(T1339&gt;=2,ROUND((IF(T1339=2,0.55,IF(T1339&lt;=4,0.7,IF(T1339&lt;=6,0.8,IF(T1339&lt;=9,0.9,1))))*(S1339/T1339)+(1-(IF(T1339=2,0.55,IF(T1339&lt;=4,0.7,IF(T1339&lt;=6,0.8,IF(T1339&lt;=9,0.9,1))))))*$Y$1),1),"")</f>
        <v>8</v>
      </c>
      <c r="V1339" s="37">
        <v>7.7</v>
      </c>
      <c r="W1339" s="38"/>
    </row>
    <row r="1340" ht="24" customHeight="1" spans="1:23" x14ac:dyDescent="0.25">
      <c r="A1340" s="31">
        <v>1586</v>
      </c>
      <c r="B1340" s="32" t="s">
        <v>1437</v>
      </c>
      <c r="C1340" s="33" t="s">
        <v>24</v>
      </c>
      <c r="D1340" s="34">
        <v>2022</v>
      </c>
      <c r="E1340" s="34" t="s">
        <v>30</v>
      </c>
      <c r="F1340" s="6">
        <v>8</v>
      </c>
      <c r="G1340" s="6"/>
      <c r="H1340" s="6">
        <v>6</v>
      </c>
      <c r="I1340" s="6">
        <v>8</v>
      </c>
      <c r="J1340" s="6"/>
      <c r="K1340" s="6">
        <v>6</v>
      </c>
      <c r="L1340" s="6"/>
      <c r="M1340" s="6">
        <v>8</v>
      </c>
      <c r="N1340" s="6"/>
      <c r="O1340" s="6">
        <v>8</v>
      </c>
      <c r="P1340" s="6"/>
      <c r="Q1340" s="6">
        <v>6</v>
      </c>
      <c r="R1340" s="6"/>
      <c r="S1340" s="35">
        <f>SUM(F1340:R1340)</f>
        <v>50</v>
      </c>
      <c r="T1340" s="35">
        <f>COUNT(F1340:R1340)</f>
        <v>7</v>
      </c>
      <c r="U1340" s="36">
        <f>IF(T1340&gt;=2,ROUND((IF(T1340=2,0.55,IF(T1340&lt;=4,0.7,IF(T1340&lt;=6,0.8,IF(T1340&lt;=9,0.9,1))))*(S1340/T1340)+(1-(IF(T1340=2,0.55,IF(T1340&lt;=4,0.7,IF(T1340&lt;=6,0.8,IF(T1340&lt;=9,0.9,1))))))*$Y$1),1),"")</f>
        <v>7.2</v>
      </c>
      <c r="V1340" s="37">
        <v>5.8</v>
      </c>
      <c r="W1340" s="38"/>
    </row>
    <row r="1341" ht="24" customHeight="1" spans="1:23" x14ac:dyDescent="0.25">
      <c r="A1341" s="31">
        <v>1846</v>
      </c>
      <c r="B1341" s="32" t="s">
        <v>1438</v>
      </c>
      <c r="C1341" s="33" t="s">
        <v>24</v>
      </c>
      <c r="D1341" s="34">
        <v>2023</v>
      </c>
      <c r="E1341" s="34" t="s">
        <v>25</v>
      </c>
      <c r="F1341" s="6"/>
      <c r="G1341" s="6">
        <v>7</v>
      </c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35">
        <f>SUM(F1341:R1341)</f>
        <v>7</v>
      </c>
      <c r="T1341" s="35">
        <f>COUNT(F1341:R1341)</f>
        <v>1</v>
      </c>
      <c r="U1341" s="36">
        <f>IF(T1341&gt;=2,ROUND((IF(T1341=2,0.55,IF(T1341&lt;=4,0.7,IF(T1341&lt;=6,0.8,IF(T1341&lt;=9,0.9,1))))*(S1341/T1341)+(1-(IF(T1341=2,0.55,IF(T1341&lt;=4,0.7,IF(T1341&lt;=6,0.8,IF(T1341&lt;=9,0.9,1))))))*$Y$1),1),"")</f>
      </c>
      <c r="V1341" s="37">
        <v>7.5</v>
      </c>
      <c r="W1341" s="38"/>
    </row>
    <row r="1342" ht="24" customHeight="1" spans="1:23" x14ac:dyDescent="0.25">
      <c r="A1342" s="31">
        <v>1027</v>
      </c>
      <c r="B1342" s="32" t="s">
        <v>1439</v>
      </c>
      <c r="C1342" s="33" t="s">
        <v>24</v>
      </c>
      <c r="D1342" s="34">
        <v>2021</v>
      </c>
      <c r="E1342" s="34" t="s">
        <v>30</v>
      </c>
      <c r="F1342" s="6"/>
      <c r="G1342" s="6"/>
      <c r="H1342" s="6"/>
      <c r="I1342" s="6">
        <v>8</v>
      </c>
      <c r="J1342" s="6">
        <v>8</v>
      </c>
      <c r="K1342" s="6">
        <v>8</v>
      </c>
      <c r="L1342" s="6"/>
      <c r="M1342" s="6"/>
      <c r="N1342" s="6"/>
      <c r="O1342" s="6"/>
      <c r="P1342" s="6"/>
      <c r="Q1342" s="6">
        <v>8</v>
      </c>
      <c r="R1342" s="6"/>
      <c r="S1342" s="35">
        <f>SUM(F1342:R1342)</f>
        <v>32</v>
      </c>
      <c r="T1342" s="35">
        <f>COUNT(F1342:R1342)</f>
        <v>4</v>
      </c>
      <c r="U1342" s="36">
        <f>IF(T1342&gt;=2,ROUND((IF(T1342=2,0.55,IF(T1342&lt;=4,0.7,IF(T1342&lt;=6,0.8,IF(T1342&lt;=9,0.9,1))))*(S1342/T1342)+(1-(IF(T1342=2,0.55,IF(T1342&lt;=4,0.7,IF(T1342&lt;=6,0.8,IF(T1342&lt;=9,0.9,1))))))*$Y$1),1),"")</f>
        <v>8</v>
      </c>
      <c r="V1342" s="37">
        <v>7</v>
      </c>
      <c r="W1342" s="38"/>
    </row>
    <row r="1343" ht="24" customHeight="1" spans="1:23" x14ac:dyDescent="0.25">
      <c r="A1343" s="31">
        <v>1412</v>
      </c>
      <c r="B1343" s="32" t="s">
        <v>1440</v>
      </c>
      <c r="C1343" s="33" t="s">
        <v>24</v>
      </c>
      <c r="D1343" s="34">
        <v>2012</v>
      </c>
      <c r="E1343" s="34" t="s">
        <v>167</v>
      </c>
      <c r="F1343" s="6">
        <v>8</v>
      </c>
      <c r="G1343" s="6">
        <v>8</v>
      </c>
      <c r="H1343" s="6"/>
      <c r="I1343" s="6"/>
      <c r="J1343" s="6"/>
      <c r="K1343" s="6">
        <v>8</v>
      </c>
      <c r="L1343" s="6"/>
      <c r="M1343" s="6"/>
      <c r="N1343" s="6"/>
      <c r="O1343" s="6"/>
      <c r="P1343" s="6">
        <v>9</v>
      </c>
      <c r="Q1343" s="6">
        <v>8</v>
      </c>
      <c r="R1343" s="6"/>
      <c r="S1343" s="35">
        <f>SUM(F1343:R1343)</f>
        <v>41</v>
      </c>
      <c r="T1343" s="35">
        <f>COUNT(F1343:R1343)</f>
        <v>5</v>
      </c>
      <c r="U1343" s="36">
        <f>IF(T1343&gt;=2,ROUND((IF(T1343=2,0.55,IF(T1343&lt;=4,0.7,IF(T1343&lt;=6,0.8,IF(T1343&lt;=9,0.9,1))))*(S1343/T1343)+(1-(IF(T1343=2,0.55,IF(T1343&lt;=4,0.7,IF(T1343&lt;=6,0.8,IF(T1343&lt;=9,0.9,1))))))*$Y$1),1),"")</f>
        <v>8.2</v>
      </c>
      <c r="V1343" s="37">
        <v>7.4</v>
      </c>
      <c r="W1343" s="38"/>
    </row>
    <row r="1344" ht="24" customHeight="1" spans="1:23" x14ac:dyDescent="0.25">
      <c r="A1344" s="31">
        <v>1762</v>
      </c>
      <c r="B1344" s="32" t="s">
        <v>1441</v>
      </c>
      <c r="C1344" s="33" t="s">
        <v>24</v>
      </c>
      <c r="D1344" s="34">
        <v>2023</v>
      </c>
      <c r="E1344" s="34" t="s">
        <v>1442</v>
      </c>
      <c r="F1344" s="6"/>
      <c r="G1344" s="6"/>
      <c r="H1344" s="6">
        <v>8</v>
      </c>
      <c r="I1344" s="6"/>
      <c r="J1344" s="6"/>
      <c r="K1344" s="6"/>
      <c r="L1344" s="6">
        <v>8</v>
      </c>
      <c r="M1344" s="6"/>
      <c r="N1344" s="6"/>
      <c r="O1344" s="6"/>
      <c r="P1344" s="6"/>
      <c r="Q1344" s="6"/>
      <c r="R1344" s="6"/>
      <c r="S1344" s="35">
        <f>SUM(F1344:R1344)</f>
        <v>16</v>
      </c>
      <c r="T1344" s="35">
        <f>COUNT(F1344:R1344)</f>
        <v>2</v>
      </c>
      <c r="U1344" s="36">
        <f>IF(T1344&gt;=2,ROUND((IF(T1344=2,0.55,IF(T1344&lt;=4,0.7,IF(T1344&lt;=6,0.8,IF(T1344&lt;=9,0.9,1))))*(S1344/T1344)+(1-(IF(T1344=2,0.55,IF(T1344&lt;=4,0.7,IF(T1344&lt;=6,0.8,IF(T1344&lt;=9,0.9,1))))))*$Y$1),1),"")</f>
        <v>8</v>
      </c>
      <c r="V1344" s="37">
        <v>6.4</v>
      </c>
      <c r="W1344" s="38"/>
    </row>
    <row r="1345" ht="24" customHeight="1" spans="1:23" x14ac:dyDescent="0.25">
      <c r="A1345" s="31">
        <v>1519</v>
      </c>
      <c r="B1345" s="32" t="s">
        <v>1443</v>
      </c>
      <c r="C1345" s="33" t="s">
        <v>24</v>
      </c>
      <c r="D1345" s="34">
        <v>2008</v>
      </c>
      <c r="E1345" s="34" t="s">
        <v>30</v>
      </c>
      <c r="F1345" s="6"/>
      <c r="G1345" s="6"/>
      <c r="H1345" s="6"/>
      <c r="I1345" s="6"/>
      <c r="J1345" s="6"/>
      <c r="K1345" s="6"/>
      <c r="L1345" s="6"/>
      <c r="M1345" s="6"/>
      <c r="N1345" s="6">
        <v>8</v>
      </c>
      <c r="O1345" s="6"/>
      <c r="P1345" s="6"/>
      <c r="Q1345" s="6"/>
      <c r="R1345" s="6"/>
      <c r="S1345" s="35">
        <f>SUM(F1345:R1345)</f>
        <v>8</v>
      </c>
      <c r="T1345" s="35">
        <f>COUNT(F1345:R1345)</f>
        <v>1</v>
      </c>
      <c r="U1345" s="36">
        <f>IF(T1345&gt;=2,ROUND((IF(T1345=2,0.55,IF(T1345&lt;=4,0.7,IF(T1345&lt;=6,0.8,IF(T1345&lt;=9,0.9,1))))*(S1345/T1345)+(1-(IF(T1345=2,0.55,IF(T1345&lt;=4,0.7,IF(T1345&lt;=6,0.8,IF(T1345&lt;=9,0.9,1))))))*$Y$1),1),"")</f>
      </c>
      <c r="V1345" s="37">
        <v>7.4</v>
      </c>
      <c r="W1345" s="38"/>
    </row>
    <row r="1346" ht="24" customHeight="1" spans="1:23" x14ac:dyDescent="0.25">
      <c r="A1346" s="31">
        <v>1848</v>
      </c>
      <c r="B1346" s="32" t="s">
        <v>1444</v>
      </c>
      <c r="C1346" s="33" t="s">
        <v>24</v>
      </c>
      <c r="D1346" s="34">
        <v>2005</v>
      </c>
      <c r="E1346" s="34" t="s">
        <v>25</v>
      </c>
      <c r="F1346" s="6">
        <v>8</v>
      </c>
      <c r="G1346" s="6">
        <v>8</v>
      </c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35">
        <f>SUM(F1346:R1346)</f>
        <v>16</v>
      </c>
      <c r="T1346" s="35">
        <f>COUNT(F1346:R1346)</f>
        <v>2</v>
      </c>
      <c r="U1346" s="36">
        <f>IF(T1346&gt;=2,ROUND((IF(T1346=2,0.55,IF(T1346&lt;=4,0.7,IF(T1346&lt;=6,0.8,IF(T1346&lt;=9,0.9,1))))*(S1346/T1346)+(1-(IF(T1346=2,0.55,IF(T1346&lt;=4,0.7,IF(T1346&lt;=6,0.8,IF(T1346&lt;=9,0.9,1))))))*$Y$1),1),"")</f>
        <v>8</v>
      </c>
      <c r="V1346" s="37">
        <v>7.6</v>
      </c>
      <c r="W1346" s="38"/>
    </row>
    <row r="1347" ht="24" customHeight="1" spans="1:23" x14ac:dyDescent="0.25">
      <c r="A1347" s="40">
        <v>2368</v>
      </c>
      <c r="B1347" s="32" t="s">
        <v>1445</v>
      </c>
      <c r="C1347" s="33" t="s">
        <v>24</v>
      </c>
      <c r="D1347" s="34">
        <v>2018</v>
      </c>
      <c r="E1347" s="41"/>
      <c r="F1347" s="6">
        <v>7</v>
      </c>
      <c r="G1347" s="6">
        <v>8</v>
      </c>
      <c r="H1347" s="6"/>
      <c r="I1347" s="6"/>
      <c r="J1347" s="6"/>
      <c r="K1347" s="6"/>
      <c r="L1347" s="6"/>
      <c r="M1347" s="6"/>
      <c r="N1347" s="6"/>
      <c r="O1347" s="6"/>
      <c r="P1347" s="6">
        <v>8</v>
      </c>
      <c r="Q1347" s="6"/>
      <c r="R1347" s="6"/>
      <c r="S1347" s="35">
        <f>SUM(F1347:R1347)</f>
        <v>23</v>
      </c>
      <c r="T1347" s="35">
        <f>COUNT(F1347:R1347)</f>
        <v>3</v>
      </c>
      <c r="U1347" s="36">
        <f>IF(T1347&gt;=2,ROUND((IF(T1347=2,0.55,IF(T1347&lt;=4,0.7,IF(T1347&lt;=6,0.8,IF(T1347&lt;=9,0.9,1))))*(S1347/T1347)+(1-(IF(T1347=2,0.55,IF(T1347&lt;=4,0.7,IF(T1347&lt;=6,0.8,IF(T1347&lt;=9,0.9,1))))))*$Y$1),1),"")</f>
        <v>7.8</v>
      </c>
      <c r="V1347" s="37">
        <v>7.5</v>
      </c>
      <c r="W1347" s="38"/>
    </row>
    <row r="1348" ht="24" customHeight="1" spans="1:23" x14ac:dyDescent="0.25">
      <c r="A1348" s="31">
        <v>1630</v>
      </c>
      <c r="B1348" s="32" t="s">
        <v>1446</v>
      </c>
      <c r="C1348" s="33" t="s">
        <v>24</v>
      </c>
      <c r="D1348" s="34">
        <v>2023</v>
      </c>
      <c r="E1348" s="34" t="s">
        <v>30</v>
      </c>
      <c r="F1348" s="6"/>
      <c r="G1348" s="6"/>
      <c r="H1348" s="6"/>
      <c r="I1348" s="6"/>
      <c r="J1348" s="6"/>
      <c r="K1348" s="6"/>
      <c r="L1348" s="6"/>
      <c r="M1348" s="6"/>
      <c r="N1348" s="6"/>
      <c r="O1348" s="6">
        <v>6</v>
      </c>
      <c r="P1348" s="6"/>
      <c r="Q1348" s="6"/>
      <c r="R1348" s="6"/>
      <c r="S1348" s="35">
        <f>SUM(F1348:R1348)</f>
        <v>6</v>
      </c>
      <c r="T1348" s="35">
        <f>COUNT(F1348:R1348)</f>
        <v>1</v>
      </c>
      <c r="U1348" s="36">
        <f>IF(T1348&gt;=2,ROUND((IF(T1348=2,0.55,IF(T1348&lt;=4,0.7,IF(T1348&lt;=6,0.8,IF(T1348&lt;=9,0.9,1))))*(S1348/T1348)+(1-(IF(T1348=2,0.55,IF(T1348&lt;=4,0.7,IF(T1348&lt;=6,0.8,IF(T1348&lt;=9,0.9,1))))))*$Y$1),1),"")</f>
      </c>
      <c r="V1348" s="37">
        <v>6.1</v>
      </c>
      <c r="W1348" s="38"/>
    </row>
    <row r="1349" ht="24" customHeight="1" spans="1:23" x14ac:dyDescent="0.25">
      <c r="A1349" s="31">
        <v>1431</v>
      </c>
      <c r="B1349" s="32" t="s">
        <v>1447</v>
      </c>
      <c r="C1349" s="33" t="s">
        <v>24</v>
      </c>
      <c r="D1349" s="34">
        <v>2017</v>
      </c>
      <c r="E1349" s="34" t="s">
        <v>27</v>
      </c>
      <c r="F1349" s="6"/>
      <c r="G1349" s="6"/>
      <c r="H1349" s="6"/>
      <c r="I1349" s="6"/>
      <c r="J1349" s="6"/>
      <c r="K1349" s="6">
        <v>7</v>
      </c>
      <c r="L1349" s="6"/>
      <c r="M1349" s="6"/>
      <c r="N1349" s="6"/>
      <c r="O1349" s="6"/>
      <c r="P1349" s="6"/>
      <c r="Q1349" s="6">
        <v>7</v>
      </c>
      <c r="R1349" s="6"/>
      <c r="S1349" s="35">
        <f>SUM(F1349:R1349)</f>
        <v>14</v>
      </c>
      <c r="T1349" s="35">
        <f>COUNT(F1349:R1349)</f>
        <v>2</v>
      </c>
      <c r="U1349" s="36">
        <f>IF(T1349&gt;=2,ROUND((IF(T1349=2,0.55,IF(T1349&lt;=4,0.7,IF(T1349&lt;=6,0.8,IF(T1349&lt;=9,0.9,1))))*(S1349/T1349)+(1-(IF(T1349=2,0.55,IF(T1349&lt;=4,0.7,IF(T1349&lt;=6,0.8,IF(T1349&lt;=9,0.9,1))))))*$Y$1),1),"")</f>
        <v>7.5</v>
      </c>
      <c r="V1349" s="37">
        <v>7.2</v>
      </c>
      <c r="W1349" s="38"/>
    </row>
    <row r="1350" ht="24" customHeight="1" spans="1:23" x14ac:dyDescent="0.25">
      <c r="A1350" s="46">
        <v>1247</v>
      </c>
      <c r="B1350" s="32" t="s">
        <v>1448</v>
      </c>
      <c r="C1350" s="33" t="s">
        <v>29</v>
      </c>
      <c r="D1350" s="34">
        <v>2022</v>
      </c>
      <c r="E1350" s="34" t="s">
        <v>30</v>
      </c>
      <c r="F1350" s="6"/>
      <c r="G1350" s="6"/>
      <c r="H1350" s="6"/>
      <c r="I1350" s="6"/>
      <c r="J1350" s="6"/>
      <c r="K1350" s="6"/>
      <c r="L1350" s="6">
        <v>8</v>
      </c>
      <c r="M1350" s="6"/>
      <c r="N1350" s="6"/>
      <c r="O1350" s="6"/>
      <c r="P1350" s="6"/>
      <c r="Q1350" s="6"/>
      <c r="R1350" s="6"/>
      <c r="S1350" s="35">
        <f>SUM(F1350:R1350)</f>
        <v>8</v>
      </c>
      <c r="T1350" s="35">
        <f>COUNT(F1350:R1350)</f>
        <v>1</v>
      </c>
      <c r="U1350" s="36">
        <f>IF(T1350&gt;=2,ROUND((IF(T1350=2,0.55,IF(T1350&lt;=4,0.7,IF(T1350&lt;=6,0.8,IF(T1350&lt;=9,0.9,1))))*(S1350/T1350)+(1-(IF(T1350=2,0.55,IF(T1350&lt;=4,0.7,IF(T1350&lt;=6,0.8,IF(T1350&lt;=9,0.9,1))))))*$Y$1),1),"")</f>
      </c>
      <c r="V1350" s="37">
        <v>6.4</v>
      </c>
      <c r="W1350" s="38"/>
    </row>
    <row r="1351" ht="24" customHeight="1" spans="1:23" x14ac:dyDescent="0.25">
      <c r="A1351" s="31">
        <v>1576</v>
      </c>
      <c r="B1351" s="32" t="s">
        <v>1449</v>
      </c>
      <c r="C1351" s="33" t="s">
        <v>24</v>
      </c>
      <c r="D1351" s="34">
        <v>2023</v>
      </c>
      <c r="E1351" s="34" t="s">
        <v>27</v>
      </c>
      <c r="F1351" s="6"/>
      <c r="G1351" s="6"/>
      <c r="H1351" s="6"/>
      <c r="I1351" s="6"/>
      <c r="J1351" s="6"/>
      <c r="K1351" s="6"/>
      <c r="L1351" s="6"/>
      <c r="M1351" s="6">
        <v>8</v>
      </c>
      <c r="N1351" s="6"/>
      <c r="O1351" s="6">
        <v>7</v>
      </c>
      <c r="P1351" s="6"/>
      <c r="Q1351" s="6"/>
      <c r="R1351" s="6"/>
      <c r="S1351" s="35">
        <f>SUM(F1351:R1351)</f>
        <v>15</v>
      </c>
      <c r="T1351" s="35">
        <f>COUNT(F1351:R1351)</f>
        <v>2</v>
      </c>
      <c r="U1351" s="36">
        <f>IF(T1351&gt;=2,ROUND((IF(T1351=2,0.55,IF(T1351&lt;=4,0.7,IF(T1351&lt;=6,0.8,IF(T1351&lt;=9,0.9,1))))*(S1351/T1351)+(1-(IF(T1351=2,0.55,IF(T1351&lt;=4,0.7,IF(T1351&lt;=6,0.8,IF(T1351&lt;=9,0.9,1))))))*$Y$1),1),"")</f>
        <v>7.8</v>
      </c>
      <c r="V1351" s="37">
        <v>5.4</v>
      </c>
      <c r="W1351" s="38"/>
    </row>
    <row r="1352" ht="24" customHeight="1" spans="1:23" x14ac:dyDescent="0.25">
      <c r="A1352" s="31">
        <v>1025</v>
      </c>
      <c r="B1352" s="32" t="s">
        <v>1450</v>
      </c>
      <c r="C1352" s="33" t="s">
        <v>24</v>
      </c>
      <c r="D1352" s="34">
        <v>2017</v>
      </c>
      <c r="E1352" s="34" t="s">
        <v>30</v>
      </c>
      <c r="F1352" s="6"/>
      <c r="G1352" s="6"/>
      <c r="H1352" s="6"/>
      <c r="I1352" s="6">
        <v>8</v>
      </c>
      <c r="J1352" s="6">
        <v>8</v>
      </c>
      <c r="K1352" s="6">
        <v>6</v>
      </c>
      <c r="L1352" s="6"/>
      <c r="M1352" s="6">
        <v>8</v>
      </c>
      <c r="N1352" s="6">
        <v>8</v>
      </c>
      <c r="O1352" s="6"/>
      <c r="P1352" s="6"/>
      <c r="Q1352" s="6">
        <v>6</v>
      </c>
      <c r="R1352" s="6"/>
      <c r="S1352" s="35">
        <f>SUM(F1352:R1352)</f>
        <v>44</v>
      </c>
      <c r="T1352" s="35">
        <f>COUNT(F1352:R1352)</f>
        <v>6</v>
      </c>
      <c r="U1352" s="36">
        <f>IF(T1352&gt;=2,ROUND((IF(T1352=2,0.55,IF(T1352&lt;=4,0.7,IF(T1352&lt;=6,0.8,IF(T1352&lt;=9,0.9,1))))*(S1352/T1352)+(1-(IF(T1352=2,0.55,IF(T1352&lt;=4,0.7,IF(T1352&lt;=6,0.8,IF(T1352&lt;=9,0.9,1))))))*$Y$1),1),"")</f>
        <v>7.5</v>
      </c>
      <c r="V1352" s="37">
        <v>7.1</v>
      </c>
      <c r="W1352" s="38"/>
    </row>
    <row r="1353" ht="24" customHeight="1" spans="1:23" s="39" customFormat="1" x14ac:dyDescent="0.25">
      <c r="A1353" s="31">
        <v>248</v>
      </c>
      <c r="B1353" s="32" t="s">
        <v>1451</v>
      </c>
      <c r="C1353" s="33" t="s">
        <v>29</v>
      </c>
      <c r="D1353" s="34">
        <v>2015</v>
      </c>
      <c r="E1353" s="34" t="s">
        <v>30</v>
      </c>
      <c r="F1353" s="6"/>
      <c r="G1353" s="6"/>
      <c r="H1353" s="6">
        <v>8</v>
      </c>
      <c r="I1353" s="6">
        <v>8</v>
      </c>
      <c r="J1353" s="6">
        <v>10</v>
      </c>
      <c r="K1353" s="6"/>
      <c r="L1353" s="6">
        <v>8</v>
      </c>
      <c r="M1353" s="6"/>
      <c r="N1353" s="6">
        <v>10</v>
      </c>
      <c r="O1353" s="6"/>
      <c r="P1353" s="6"/>
      <c r="Q1353" s="6"/>
      <c r="R1353" s="6"/>
      <c r="S1353" s="35">
        <f>SUM(F1353:R1353)</f>
        <v>44</v>
      </c>
      <c r="T1353" s="35">
        <f>COUNT(F1353:R1353)</f>
        <v>5</v>
      </c>
      <c r="U1353" s="36">
        <f>IF(T1353&gt;=2,ROUND((IF(T1353=2,0.55,IF(T1353&lt;=4,0.7,IF(T1353&lt;=6,0.8,IF(T1353&lt;=9,0.9,1))))*(S1353/T1353)+(1-(IF(T1353=2,0.55,IF(T1353&lt;=4,0.7,IF(T1353&lt;=6,0.8,IF(T1353&lt;=9,0.9,1))))))*$Y$1),1),"")</f>
        <v>8.7</v>
      </c>
      <c r="V1353" s="37">
        <v>8.3</v>
      </c>
      <c r="W1353" s="38"/>
    </row>
    <row r="1354" ht="24" customHeight="1" spans="1:23" x14ac:dyDescent="0.25">
      <c r="A1354" s="31">
        <v>1007</v>
      </c>
      <c r="B1354" s="32" t="s">
        <v>1452</v>
      </c>
      <c r="C1354" s="33" t="s">
        <v>29</v>
      </c>
      <c r="D1354" s="34">
        <v>2021</v>
      </c>
      <c r="E1354" s="34" t="s">
        <v>30</v>
      </c>
      <c r="F1354" s="6">
        <v>6</v>
      </c>
      <c r="G1354" s="6"/>
      <c r="H1354" s="6"/>
      <c r="I1354" s="6">
        <v>8</v>
      </c>
      <c r="J1354" s="6">
        <v>8</v>
      </c>
      <c r="K1354" s="6"/>
      <c r="L1354" s="6"/>
      <c r="M1354" s="6"/>
      <c r="N1354" s="6"/>
      <c r="O1354" s="6"/>
      <c r="P1354" s="6"/>
      <c r="Q1354" s="6"/>
      <c r="R1354" s="6"/>
      <c r="S1354" s="35">
        <f>SUM(F1354:R1354)</f>
        <v>22</v>
      </c>
      <c r="T1354" s="35">
        <f>COUNT(F1354:R1354)</f>
        <v>3</v>
      </c>
      <c r="U1354" s="36">
        <f>IF(T1354&gt;=2,ROUND((IF(T1354=2,0.55,IF(T1354&lt;=4,0.7,IF(T1354&lt;=6,0.8,IF(T1354&lt;=9,0.9,1))))*(S1354/T1354)+(1-(IF(T1354=2,0.55,IF(T1354&lt;=4,0.7,IF(T1354&lt;=6,0.8,IF(T1354&lt;=9,0.9,1))))))*$Y$1),1),"")</f>
        <v>7.6</v>
      </c>
      <c r="V1354" s="37">
        <v>7.4</v>
      </c>
      <c r="W1354" s="38"/>
    </row>
    <row r="1355" ht="24" customHeight="1" spans="1:23" x14ac:dyDescent="0.25">
      <c r="A1355" s="31">
        <v>56</v>
      </c>
      <c r="B1355" s="32" t="s">
        <v>1453</v>
      </c>
      <c r="C1355" s="33" t="s">
        <v>24</v>
      </c>
      <c r="D1355" s="34">
        <v>2016</v>
      </c>
      <c r="E1355" s="34" t="s">
        <v>30</v>
      </c>
      <c r="F1355" s="6">
        <v>8</v>
      </c>
      <c r="G1355" s="6">
        <v>7</v>
      </c>
      <c r="H1355" s="6">
        <v>8</v>
      </c>
      <c r="I1355" s="6">
        <v>8</v>
      </c>
      <c r="J1355" s="6">
        <v>8</v>
      </c>
      <c r="K1355" s="6">
        <v>8</v>
      </c>
      <c r="L1355" s="6">
        <v>8</v>
      </c>
      <c r="M1355" s="6">
        <v>8</v>
      </c>
      <c r="N1355" s="6">
        <v>8</v>
      </c>
      <c r="O1355" s="6">
        <v>8</v>
      </c>
      <c r="P1355" s="6">
        <v>6</v>
      </c>
      <c r="Q1355" s="6">
        <v>8</v>
      </c>
      <c r="R1355" s="6">
        <v>8</v>
      </c>
      <c r="S1355" s="35">
        <f>SUM(F1355:R1355)</f>
        <v>101</v>
      </c>
      <c r="T1355" s="35">
        <f>COUNT(F1355:R1355)</f>
        <v>13</v>
      </c>
      <c r="U1355" s="36">
        <f>IF(T1355&gt;=2,ROUND((IF(T1355=2,0.55,IF(T1355&lt;=4,0.7,IF(T1355&lt;=6,0.8,IF(T1355&lt;=9,0.9,1))))*(S1355/T1355)+(1-(IF(T1355=2,0.55,IF(T1355&lt;=4,0.7,IF(T1355&lt;=6,0.8,IF(T1355&lt;=9,0.9,1))))))*$Y$1),1),"")</f>
        <v>7.8</v>
      </c>
      <c r="V1355" s="37">
        <v>6.7</v>
      </c>
      <c r="W1355" s="38"/>
    </row>
    <row r="1356" ht="24" customHeight="1" spans="1:23" x14ac:dyDescent="0.25">
      <c r="A1356" s="31">
        <v>1985</v>
      </c>
      <c r="B1356" s="32" t="s">
        <v>1454</v>
      </c>
      <c r="C1356" s="33" t="s">
        <v>24</v>
      </c>
      <c r="D1356" s="34">
        <v>2021</v>
      </c>
      <c r="E1356" s="34" t="s">
        <v>25</v>
      </c>
      <c r="F1356" s="6"/>
      <c r="G1356" s="6">
        <v>6</v>
      </c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35">
        <f>SUM(F1356:R1356)</f>
        <v>6</v>
      </c>
      <c r="T1356" s="35">
        <f>COUNT(F1356:R1356)</f>
        <v>1</v>
      </c>
      <c r="U1356" s="36">
        <f>IF(T1356&gt;=2,ROUND((IF(T1356=2,0.55,IF(T1356&lt;=4,0.7,IF(T1356&lt;=6,0.8,IF(T1356&lt;=9,0.9,1))))*(S1356/T1356)+(1-(IF(T1356=2,0.55,IF(T1356&lt;=4,0.7,IF(T1356&lt;=6,0.8,IF(T1356&lt;=9,0.9,1))))))*$Y$1),1),"")</f>
      </c>
      <c r="V1356" s="37">
        <v>8</v>
      </c>
      <c r="W1356" s="38"/>
    </row>
    <row r="1357" ht="24" customHeight="1" spans="1:23" x14ac:dyDescent="0.25">
      <c r="A1357" s="31">
        <v>819</v>
      </c>
      <c r="B1357" s="32" t="s">
        <v>1455</v>
      </c>
      <c r="C1357" s="33" t="s">
        <v>24</v>
      </c>
      <c r="D1357" s="34">
        <v>1996</v>
      </c>
      <c r="E1357" s="34" t="s">
        <v>27</v>
      </c>
      <c r="F1357" s="6"/>
      <c r="G1357" s="6">
        <v>8</v>
      </c>
      <c r="H1357" s="6"/>
      <c r="I1357" s="6"/>
      <c r="J1357" s="6"/>
      <c r="K1357" s="6">
        <v>8</v>
      </c>
      <c r="L1357" s="6"/>
      <c r="M1357" s="6"/>
      <c r="N1357" s="6"/>
      <c r="O1357" s="6"/>
      <c r="P1357" s="6"/>
      <c r="Q1357" s="6">
        <v>8</v>
      </c>
      <c r="R1357" s="6"/>
      <c r="S1357" s="35">
        <f>SUM(F1357:R1357)</f>
        <v>24</v>
      </c>
      <c r="T1357" s="35">
        <f>COUNT(F1357:R1357)</f>
        <v>3</v>
      </c>
      <c r="U1357" s="36">
        <f>IF(T1357&gt;=2,ROUND((IF(T1357=2,0.55,IF(T1357&lt;=4,0.7,IF(T1357&lt;=6,0.8,IF(T1357&lt;=9,0.9,1))))*(S1357/T1357)+(1-(IF(T1357=2,0.55,IF(T1357&lt;=4,0.7,IF(T1357&lt;=6,0.8,IF(T1357&lt;=9,0.9,1))))))*$Y$1),1),"")</f>
        <v>8</v>
      </c>
      <c r="V1357" s="37">
        <v>8.1</v>
      </c>
      <c r="W1357" s="38"/>
    </row>
    <row r="1358" ht="24" customHeight="1" spans="1:23" x14ac:dyDescent="0.25">
      <c r="A1358" s="31">
        <v>1303</v>
      </c>
      <c r="B1358" s="32" t="s">
        <v>1456</v>
      </c>
      <c r="C1358" s="33" t="s">
        <v>29</v>
      </c>
      <c r="D1358" s="34">
        <v>2014</v>
      </c>
      <c r="E1358" s="34" t="s">
        <v>30</v>
      </c>
      <c r="F1358" s="6"/>
      <c r="G1358" s="6"/>
      <c r="H1358" s="6"/>
      <c r="I1358" s="6"/>
      <c r="J1358" s="6">
        <v>7</v>
      </c>
      <c r="K1358" s="6"/>
      <c r="L1358" s="6"/>
      <c r="M1358" s="6"/>
      <c r="N1358" s="6"/>
      <c r="O1358" s="6"/>
      <c r="P1358" s="6"/>
      <c r="Q1358" s="6"/>
      <c r="R1358" s="6"/>
      <c r="S1358" s="35">
        <f>SUM(F1358:R1358)</f>
        <v>7</v>
      </c>
      <c r="T1358" s="35">
        <f>COUNT(F1358:R1358)</f>
        <v>1</v>
      </c>
      <c r="U1358" s="36">
        <f>IF(T1358&gt;=2,ROUND((IF(T1358=2,0.55,IF(T1358&lt;=4,0.7,IF(T1358&lt;=6,0.8,IF(T1358&lt;=9,0.9,1))))*(S1358/T1358)+(1-(IF(T1358=2,0.55,IF(T1358&lt;=4,0.7,IF(T1358&lt;=6,0.8,IF(T1358&lt;=9,0.9,1))))))*$Y$1),1),"")</f>
      </c>
      <c r="V1358" s="37">
        <v>8.8</v>
      </c>
      <c r="W1358" s="38"/>
    </row>
    <row r="1359" ht="24" customHeight="1" spans="1:23" x14ac:dyDescent="0.25">
      <c r="A1359" s="31">
        <v>2493</v>
      </c>
      <c r="B1359" s="32" t="s">
        <v>1457</v>
      </c>
      <c r="C1359" s="33" t="s">
        <v>24</v>
      </c>
      <c r="D1359" s="34">
        <v>2025</v>
      </c>
      <c r="E1359" s="41"/>
      <c r="F1359" s="6"/>
      <c r="G1359" s="6"/>
      <c r="H1359" s="6"/>
      <c r="I1359" s="6"/>
      <c r="J1359" s="6">
        <v>7</v>
      </c>
      <c r="K1359" s="6"/>
      <c r="L1359" s="6"/>
      <c r="M1359" s="6"/>
      <c r="N1359" s="6"/>
      <c r="O1359" s="6"/>
      <c r="P1359" s="6"/>
      <c r="Q1359" s="6"/>
      <c r="R1359" s="6"/>
      <c r="S1359" s="35">
        <f>SUM(F1359:R1359)</f>
        <v>7</v>
      </c>
      <c r="T1359" s="35">
        <f>COUNT(F1359:R1359)</f>
        <v>1</v>
      </c>
      <c r="U1359" s="36">
        <f>IF(T1359&gt;=2,ROUND((IF(T1359=2,0.55,IF(T1359&lt;=4,0.7,IF(T1359&lt;=6,0.8,IF(T1359&lt;=9,0.9,1))))*(S1359/T1359)+(1-(IF(T1359=2,0.55,IF(T1359&lt;=4,0.7,IF(T1359&lt;=6,0.8,IF(T1359&lt;=9,0.9,1))))))*$Y$1),1),"")</f>
      </c>
      <c r="V1359" s="37">
        <v>6.5</v>
      </c>
      <c r="W1359" s="38"/>
    </row>
    <row r="1360" ht="24" customHeight="1" spans="1:23" x14ac:dyDescent="0.25">
      <c r="A1360" s="31">
        <v>980</v>
      </c>
      <c r="B1360" s="32" t="s">
        <v>1458</v>
      </c>
      <c r="C1360" s="33" t="s">
        <v>29</v>
      </c>
      <c r="D1360" s="34">
        <v>1999</v>
      </c>
      <c r="E1360" s="34" t="s">
        <v>30</v>
      </c>
      <c r="F1360" s="6"/>
      <c r="G1360" s="6"/>
      <c r="H1360" s="6"/>
      <c r="I1360" s="6"/>
      <c r="J1360" s="6">
        <v>10</v>
      </c>
      <c r="K1360" s="6"/>
      <c r="L1360" s="6"/>
      <c r="M1360" s="6"/>
      <c r="N1360" s="6"/>
      <c r="O1360" s="6"/>
      <c r="P1360" s="6"/>
      <c r="Q1360" s="6"/>
      <c r="R1360" s="6"/>
      <c r="S1360" s="35">
        <f>SUM(F1360:R1360)</f>
        <v>10</v>
      </c>
      <c r="T1360" s="35">
        <f>COUNT(F1360:R1360)</f>
        <v>1</v>
      </c>
      <c r="U1360" s="36">
        <f>IF(T1360&gt;=2,ROUND((IF(T1360=2,0.55,IF(T1360&lt;=4,0.7,IF(T1360&lt;=6,0.8,IF(T1360&lt;=9,0.9,1))))*(S1360/T1360)+(1-(IF(T1360=2,0.55,IF(T1360&lt;=4,0.7,IF(T1360&lt;=6,0.8,IF(T1360&lt;=9,0.9,1))))))*$Y$1),1),"")</f>
      </c>
      <c r="V1360" s="37">
        <v>9.2</v>
      </c>
      <c r="W1360" s="38"/>
    </row>
    <row r="1361" ht="24" customHeight="1" spans="1:23" x14ac:dyDescent="0.25">
      <c r="A1361" s="31">
        <v>1987</v>
      </c>
      <c r="B1361" s="32" t="s">
        <v>1459</v>
      </c>
      <c r="C1361" s="33" t="s">
        <v>24</v>
      </c>
      <c r="D1361" s="34">
        <v>2024</v>
      </c>
      <c r="E1361" s="34" t="s">
        <v>141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>
        <v>9</v>
      </c>
      <c r="P1361" s="6"/>
      <c r="Q1361" s="6"/>
      <c r="R1361" s="6"/>
      <c r="S1361" s="35">
        <f>SUM(F1361:R1361)</f>
        <v>9</v>
      </c>
      <c r="T1361" s="35">
        <f>COUNT(F1361:R1361)</f>
        <v>1</v>
      </c>
      <c r="U1361" s="36">
        <f>IF(T1361&gt;=2,ROUND((IF(T1361=2,0.55,IF(T1361&lt;=4,0.7,IF(T1361&lt;=6,0.8,IF(T1361&lt;=9,0.9,1))))*(S1361/T1361)+(1-(IF(T1361=2,0.55,IF(T1361&lt;=4,0.7,IF(T1361&lt;=6,0.8,IF(T1361&lt;=9,0.9,1))))))*$Y$1),1),"")</f>
      </c>
      <c r="V1361" s="37">
        <v>6.8</v>
      </c>
      <c r="W1361" s="38"/>
    </row>
    <row r="1362" ht="24" customHeight="1" spans="1:23" x14ac:dyDescent="0.25">
      <c r="A1362" s="47">
        <v>272</v>
      </c>
      <c r="B1362" s="32" t="s">
        <v>1460</v>
      </c>
      <c r="C1362" s="48" t="s">
        <v>24</v>
      </c>
      <c r="D1362" s="49">
        <v>2002</v>
      </c>
      <c r="E1362" s="49" t="s">
        <v>52</v>
      </c>
      <c r="F1362" s="6">
        <v>8</v>
      </c>
      <c r="G1362" s="6">
        <v>9</v>
      </c>
      <c r="H1362" s="6">
        <v>8</v>
      </c>
      <c r="I1362" s="6"/>
      <c r="J1362" s="6">
        <v>8</v>
      </c>
      <c r="K1362" s="6">
        <v>10</v>
      </c>
      <c r="L1362" s="6">
        <v>8</v>
      </c>
      <c r="M1362" s="6">
        <v>8</v>
      </c>
      <c r="N1362" s="6">
        <v>8</v>
      </c>
      <c r="O1362" s="6">
        <v>8</v>
      </c>
      <c r="P1362" s="6">
        <v>8</v>
      </c>
      <c r="Q1362" s="6">
        <v>10</v>
      </c>
      <c r="R1362" s="6"/>
      <c r="S1362" s="50">
        <f>SUM(F1362:R1362)</f>
        <v>93</v>
      </c>
      <c r="T1362" s="50">
        <f>COUNT(F1362:R1362)</f>
        <v>11</v>
      </c>
      <c r="U1362" s="36">
        <f>IF(T1362&gt;=2,ROUND((IF(T1362=2,0.55,IF(T1362&lt;=4,0.7,IF(T1362&lt;=6,0.8,IF(T1362&lt;=9,0.9,1))))*(S1362/T1362)+(1-(IF(T1362=2,0.55,IF(T1362&lt;=4,0.7,IF(T1362&lt;=6,0.8,IF(T1362&lt;=9,0.9,1))))))*$Y$1),1),"")</f>
        <v>8.5</v>
      </c>
      <c r="V1362" s="37">
        <v>7.9</v>
      </c>
      <c r="W1362" s="38" t="s">
        <v>44</v>
      </c>
    </row>
    <row r="1363" ht="24" customHeight="1" spans="1:23" x14ac:dyDescent="0.25">
      <c r="A1363" s="31">
        <v>1957</v>
      </c>
      <c r="B1363" s="32" t="s">
        <v>1461</v>
      </c>
      <c r="C1363" s="33" t="s">
        <v>24</v>
      </c>
      <c r="D1363" s="34">
        <v>2001</v>
      </c>
      <c r="E1363" s="34" t="s">
        <v>48</v>
      </c>
      <c r="F1363" s="6">
        <v>8</v>
      </c>
      <c r="G1363" s="6"/>
      <c r="H1363" s="6"/>
      <c r="I1363" s="6"/>
      <c r="J1363" s="6">
        <v>10</v>
      </c>
      <c r="K1363" s="6"/>
      <c r="L1363" s="6"/>
      <c r="M1363" s="6"/>
      <c r="N1363" s="6"/>
      <c r="O1363" s="6"/>
      <c r="P1363" s="6"/>
      <c r="Q1363" s="6"/>
      <c r="R1363" s="6"/>
      <c r="S1363" s="35">
        <f>SUM(F1363:R1363)</f>
        <v>18</v>
      </c>
      <c r="T1363" s="35">
        <f>COUNT(F1363:R1363)</f>
        <v>2</v>
      </c>
      <c r="U1363" s="36">
        <f>IF(T1363&gt;=2,ROUND((IF(T1363=2,0.55,IF(T1363&lt;=4,0.7,IF(T1363&lt;=6,0.8,IF(T1363&lt;=9,0.9,1))))*(S1363/T1363)+(1-(IF(T1363=2,0.55,IF(T1363&lt;=4,0.7,IF(T1363&lt;=6,0.8,IF(T1363&lt;=9,0.9,1))))))*$Y$1),1),"")</f>
        <v>8.6</v>
      </c>
      <c r="V1363" s="37">
        <v>7.7</v>
      </c>
      <c r="W1363" s="38"/>
    </row>
    <row r="1364" ht="24" customHeight="1" spans="1:23" x14ac:dyDescent="0.25">
      <c r="A1364" s="31">
        <v>2451</v>
      </c>
      <c r="B1364" s="32" t="s">
        <v>1462</v>
      </c>
      <c r="C1364" s="33" t="s">
        <v>29</v>
      </c>
      <c r="D1364" s="34">
        <v>2023</v>
      </c>
      <c r="E1364" s="41"/>
      <c r="F1364" s="6"/>
      <c r="G1364" s="6"/>
      <c r="H1364" s="6"/>
      <c r="I1364" s="6"/>
      <c r="J1364" s="6">
        <v>8</v>
      </c>
      <c r="K1364" s="6"/>
      <c r="L1364" s="6"/>
      <c r="M1364" s="6"/>
      <c r="N1364" s="6"/>
      <c r="O1364" s="6"/>
      <c r="P1364" s="6"/>
      <c r="Q1364" s="6"/>
      <c r="R1364" s="6"/>
      <c r="S1364" s="35">
        <f>SUM(F1364:R1364)</f>
        <v>8</v>
      </c>
      <c r="T1364" s="35">
        <f>COUNT(F1364:R1364)</f>
        <v>1</v>
      </c>
      <c r="U1364" s="36">
        <f>IF(T1364&gt;=2,ROUND((IF(T1364=2,0.55,IF(T1364&lt;=4,0.7,IF(T1364&lt;=6,0.8,IF(T1364&lt;=9,0.9,1))))*(S1364/T1364)+(1-(IF(T1364=2,0.55,IF(T1364&lt;=4,0.7,IF(T1364&lt;=6,0.8,IF(T1364&lt;=9,0.9,1))))))*$Y$1),1),"")</f>
      </c>
      <c r="V1364" s="37">
        <v>8.2</v>
      </c>
      <c r="W1364" s="38"/>
    </row>
    <row r="1365" ht="24" customHeight="1" spans="1:23" x14ac:dyDescent="0.25">
      <c r="A1365" s="40">
        <v>2142</v>
      </c>
      <c r="B1365" s="32" t="s">
        <v>1463</v>
      </c>
      <c r="C1365" s="33" t="s">
        <v>24</v>
      </c>
      <c r="D1365" s="34">
        <v>2004</v>
      </c>
      <c r="E1365" s="41"/>
      <c r="F1365" s="6"/>
      <c r="G1365" s="6">
        <v>7</v>
      </c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35">
        <f>SUM(F1365:R1365)</f>
        <v>7</v>
      </c>
      <c r="T1365" s="35">
        <f>COUNT(F1365:R1365)</f>
        <v>1</v>
      </c>
      <c r="U1365" s="36">
        <f>IF(T1365&gt;=2,ROUND((IF(T1365=2,0.55,IF(T1365&lt;=4,0.7,IF(T1365&lt;=6,0.8,IF(T1365&lt;=9,0.9,1))))*(S1365/T1365)+(1-(IF(T1365=2,0.55,IF(T1365&lt;=4,0.7,IF(T1365&lt;=6,0.8,IF(T1365&lt;=9,0.9,1))))))*$Y$1),1),"")</f>
      </c>
      <c r="V1365" s="37">
        <v>7.5</v>
      </c>
      <c r="W1365" s="38"/>
    </row>
    <row r="1366" ht="24" customHeight="1" spans="1:23" x14ac:dyDescent="0.25">
      <c r="A1366" s="47">
        <v>742</v>
      </c>
      <c r="B1366" s="32" t="s">
        <v>1464</v>
      </c>
      <c r="C1366" s="48" t="s">
        <v>24</v>
      </c>
      <c r="D1366" s="49">
        <v>2008</v>
      </c>
      <c r="E1366" s="49" t="s">
        <v>27</v>
      </c>
      <c r="F1366" s="6">
        <v>8</v>
      </c>
      <c r="G1366" s="6">
        <v>8</v>
      </c>
      <c r="H1366" s="6">
        <v>8</v>
      </c>
      <c r="I1366" s="6">
        <v>8</v>
      </c>
      <c r="J1366" s="6">
        <v>8</v>
      </c>
      <c r="K1366" s="6">
        <v>8</v>
      </c>
      <c r="L1366" s="6">
        <v>9</v>
      </c>
      <c r="M1366" s="6">
        <v>8</v>
      </c>
      <c r="N1366" s="6">
        <v>8</v>
      </c>
      <c r="O1366" s="6">
        <v>8</v>
      </c>
      <c r="P1366" s="6">
        <v>8</v>
      </c>
      <c r="Q1366" s="6">
        <v>8</v>
      </c>
      <c r="R1366" s="6"/>
      <c r="S1366" s="50">
        <f>SUM(F1366:R1366)</f>
        <v>97</v>
      </c>
      <c r="T1366" s="50">
        <f>COUNT(F1366:R1366)</f>
        <v>12</v>
      </c>
      <c r="U1366" s="36">
        <f>IF(T1366&gt;=2,ROUND((IF(T1366=2,0.55,IF(T1366&lt;=4,0.7,IF(T1366&lt;=6,0.8,IF(T1366&lt;=9,0.9,1))))*(S1366/T1366)+(1-(IF(T1366=2,0.55,IF(T1366&lt;=4,0.7,IF(T1366&lt;=6,0.8,IF(T1366&lt;=9,0.9,1))))))*$Y$1),1),"")</f>
        <v>8.1</v>
      </c>
      <c r="V1366" s="37">
        <v>7.1</v>
      </c>
      <c r="W1366" s="38" t="s">
        <v>44</v>
      </c>
    </row>
    <row r="1367" ht="24" customHeight="1" spans="1:23" x14ac:dyDescent="0.25">
      <c r="A1367" s="31">
        <v>1178</v>
      </c>
      <c r="B1367" s="32" t="s">
        <v>1465</v>
      </c>
      <c r="C1367" s="33" t="s">
        <v>24</v>
      </c>
      <c r="D1367" s="34">
        <v>1989</v>
      </c>
      <c r="E1367" s="34" t="s">
        <v>52</v>
      </c>
      <c r="F1367" s="6"/>
      <c r="G1367" s="6">
        <v>7</v>
      </c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35">
        <f>SUM(F1367:R1367)</f>
        <v>7</v>
      </c>
      <c r="T1367" s="35">
        <f>COUNT(F1367:R1367)</f>
        <v>1</v>
      </c>
      <c r="U1367" s="36">
        <f>IF(T1367&gt;=2,ROUND((IF(T1367=2,0.55,IF(T1367&lt;=4,0.7,IF(T1367&lt;=6,0.8,IF(T1367&lt;=9,0.9,1))))*(S1367/T1367)+(1-(IF(T1367=2,0.55,IF(T1367&lt;=4,0.7,IF(T1367&lt;=6,0.8,IF(T1367&lt;=9,0.9,1))))))*$Y$1),1),"")</f>
      </c>
      <c r="V1367" s="37">
        <v>7.9</v>
      </c>
      <c r="W1367" s="38"/>
    </row>
    <row r="1368" ht="24" customHeight="1" spans="1:23" x14ac:dyDescent="0.25">
      <c r="A1368" s="47">
        <v>198</v>
      </c>
      <c r="B1368" s="32" t="s">
        <v>1466</v>
      </c>
      <c r="C1368" s="48" t="s">
        <v>24</v>
      </c>
      <c r="D1368" s="49">
        <v>2017</v>
      </c>
      <c r="E1368" s="49" t="s">
        <v>1467</v>
      </c>
      <c r="F1368" s="6">
        <v>8</v>
      </c>
      <c r="G1368" s="6">
        <v>9</v>
      </c>
      <c r="H1368" s="6">
        <v>10</v>
      </c>
      <c r="I1368" s="6">
        <v>10</v>
      </c>
      <c r="J1368" s="6">
        <v>10</v>
      </c>
      <c r="K1368" s="6">
        <v>9</v>
      </c>
      <c r="L1368" s="6">
        <v>10</v>
      </c>
      <c r="M1368" s="6">
        <v>10</v>
      </c>
      <c r="N1368" s="6">
        <v>10</v>
      </c>
      <c r="O1368" s="6">
        <v>10</v>
      </c>
      <c r="P1368" s="6">
        <v>8</v>
      </c>
      <c r="Q1368" s="6">
        <v>9</v>
      </c>
      <c r="R1368" s="6">
        <v>10</v>
      </c>
      <c r="S1368" s="50">
        <f>SUM(F1368:R1368)</f>
        <v>123</v>
      </c>
      <c r="T1368" s="50">
        <f>COUNT(F1368:R1368)</f>
        <v>13</v>
      </c>
      <c r="U1368" s="36">
        <f>IF(T1368&gt;=2,ROUND((IF(T1368=2,0.55,IF(T1368&lt;=4,0.7,IF(T1368&lt;=6,0.8,IF(T1368&lt;=9,0.9,1))))*(S1368/T1368)+(1-(IF(T1368=2,0.55,IF(T1368&lt;=4,0.7,IF(T1368&lt;=6,0.8,IF(T1368&lt;=9,0.9,1))))))*$Y$1),1),"")</f>
        <v>9.5</v>
      </c>
      <c r="V1368" s="37">
        <v>7.9</v>
      </c>
      <c r="W1368" s="38" t="s">
        <v>44</v>
      </c>
    </row>
    <row r="1369" ht="24" customHeight="1" spans="1:23" x14ac:dyDescent="0.25">
      <c r="A1369" s="31">
        <v>1580</v>
      </c>
      <c r="B1369" s="32" t="s">
        <v>1468</v>
      </c>
      <c r="C1369" s="33" t="s">
        <v>24</v>
      </c>
      <c r="D1369" s="34">
        <v>2020</v>
      </c>
      <c r="E1369" s="34" t="s">
        <v>30</v>
      </c>
      <c r="F1369" s="6"/>
      <c r="G1369" s="6"/>
      <c r="H1369" s="6"/>
      <c r="I1369" s="6"/>
      <c r="J1369" s="6"/>
      <c r="K1369" s="6"/>
      <c r="L1369" s="6"/>
      <c r="M1369" s="6"/>
      <c r="N1369" s="6"/>
      <c r="O1369" s="6">
        <v>7</v>
      </c>
      <c r="P1369" s="6"/>
      <c r="Q1369" s="6"/>
      <c r="R1369" s="6"/>
      <c r="S1369" s="35">
        <f>SUM(F1369:R1369)</f>
        <v>7</v>
      </c>
      <c r="T1369" s="35">
        <f>COUNT(F1369:R1369)</f>
        <v>1</v>
      </c>
      <c r="U1369" s="36">
        <f>IF(T1369&gt;=2,ROUND((IF(T1369=2,0.55,IF(T1369&lt;=4,0.7,IF(T1369&lt;=6,0.8,IF(T1369&lt;=9,0.9,1))))*(S1369/T1369)+(1-(IF(T1369=2,0.55,IF(T1369&lt;=4,0.7,IF(T1369&lt;=6,0.8,IF(T1369&lt;=9,0.9,1))))))*$Y$1),1),"")</f>
      </c>
      <c r="V1369" s="37">
        <v>5.6</v>
      </c>
      <c r="W1369" s="38"/>
    </row>
    <row r="1370" ht="24" customHeight="1" spans="1:23" x14ac:dyDescent="0.25">
      <c r="A1370" s="31">
        <v>1221</v>
      </c>
      <c r="B1370" s="32" t="s">
        <v>1469</v>
      </c>
      <c r="C1370" s="33" t="s">
        <v>24</v>
      </c>
      <c r="D1370" s="34">
        <v>2014</v>
      </c>
      <c r="E1370" s="34" t="s">
        <v>30</v>
      </c>
      <c r="F1370" s="6"/>
      <c r="G1370" s="6">
        <v>8</v>
      </c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35">
        <f>SUM(F1370:R1370)</f>
        <v>8</v>
      </c>
      <c r="T1370" s="35">
        <f>COUNT(F1370:R1370)</f>
        <v>1</v>
      </c>
      <c r="U1370" s="36">
        <f>IF(T1370&gt;=2,ROUND((IF(T1370=2,0.55,IF(T1370&lt;=4,0.7,IF(T1370&lt;=6,0.8,IF(T1370&lt;=9,0.9,1))))*(S1370/T1370)+(1-(IF(T1370=2,0.55,IF(T1370&lt;=4,0.7,IF(T1370&lt;=6,0.8,IF(T1370&lt;=9,0.9,1))))))*$Y$1),1),"")</f>
      </c>
      <c r="V1370" s="37">
        <v>7.7</v>
      </c>
      <c r="W1370" s="38"/>
    </row>
    <row r="1371" ht="24" customHeight="1" spans="1:23" x14ac:dyDescent="0.25">
      <c r="A1371" s="31">
        <v>1148</v>
      </c>
      <c r="B1371" s="32" t="s">
        <v>1470</v>
      </c>
      <c r="C1371" s="33" t="s">
        <v>24</v>
      </c>
      <c r="D1371" s="34">
        <v>2021</v>
      </c>
      <c r="E1371" s="34" t="s">
        <v>30</v>
      </c>
      <c r="F1371" s="6"/>
      <c r="G1371" s="6"/>
      <c r="H1371" s="6"/>
      <c r="I1371" s="6"/>
      <c r="J1371" s="6"/>
      <c r="K1371" s="6"/>
      <c r="L1371" s="6"/>
      <c r="M1371" s="6"/>
      <c r="N1371" s="6"/>
      <c r="O1371" s="6">
        <v>8</v>
      </c>
      <c r="P1371" s="6"/>
      <c r="Q1371" s="6"/>
      <c r="R1371" s="6"/>
      <c r="S1371" s="35">
        <f>SUM(F1371:R1371)</f>
        <v>8</v>
      </c>
      <c r="T1371" s="35">
        <f>COUNT(F1371:R1371)</f>
        <v>1</v>
      </c>
      <c r="U1371" s="36">
        <f>IF(T1371&gt;=2,ROUND((IF(T1371=2,0.55,IF(T1371&lt;=4,0.7,IF(T1371&lt;=6,0.8,IF(T1371&lt;=9,0.9,1))))*(S1371/T1371)+(1-(IF(T1371=2,0.55,IF(T1371&lt;=4,0.7,IF(T1371&lt;=6,0.8,IF(T1371&lt;=9,0.9,1))))))*$Y$1),1),"")</f>
      </c>
      <c r="V1371" s="37">
        <v>6.4</v>
      </c>
      <c r="W1371" s="38"/>
    </row>
    <row r="1372" ht="24" customHeight="1" spans="1:23" x14ac:dyDescent="0.25">
      <c r="A1372" s="31">
        <v>498</v>
      </c>
      <c r="B1372" s="32" t="s">
        <v>1471</v>
      </c>
      <c r="C1372" s="33" t="s">
        <v>24</v>
      </c>
      <c r="D1372" s="34">
        <v>2003</v>
      </c>
      <c r="E1372" s="34" t="s">
        <v>25</v>
      </c>
      <c r="F1372" s="6"/>
      <c r="G1372" s="6">
        <v>8</v>
      </c>
      <c r="H1372" s="6"/>
      <c r="I1372" s="6"/>
      <c r="J1372" s="6"/>
      <c r="K1372" s="6"/>
      <c r="L1372" s="6"/>
      <c r="M1372" s="6"/>
      <c r="N1372" s="6"/>
      <c r="O1372" s="6"/>
      <c r="P1372" s="6">
        <v>8</v>
      </c>
      <c r="Q1372" s="6"/>
      <c r="R1372" s="6"/>
      <c r="S1372" s="35">
        <f>SUM(F1372:R1372)</f>
        <v>16</v>
      </c>
      <c r="T1372" s="35">
        <f>COUNT(F1372:R1372)</f>
        <v>2</v>
      </c>
      <c r="U1372" s="36">
        <f>IF(T1372&gt;=2,ROUND((IF(T1372=2,0.55,IF(T1372&lt;=4,0.7,IF(T1372&lt;=6,0.8,IF(T1372&lt;=9,0.9,1))))*(S1372/T1372)+(1-(IF(T1372=2,0.55,IF(T1372&lt;=4,0.7,IF(T1372&lt;=6,0.8,IF(T1372&lt;=9,0.9,1))))))*$Y$1),1),"")</f>
        <v>8</v>
      </c>
      <c r="V1372" s="37">
        <v>7.7</v>
      </c>
      <c r="W1372" s="38"/>
    </row>
    <row r="1373" ht="24" customHeight="1" spans="1:23" x14ac:dyDescent="0.25">
      <c r="A1373" s="31">
        <v>171</v>
      </c>
      <c r="B1373" s="32" t="s">
        <v>1472</v>
      </c>
      <c r="C1373" s="33" t="s">
        <v>24</v>
      </c>
      <c r="D1373" s="34">
        <v>2018</v>
      </c>
      <c r="E1373" s="34" t="s">
        <v>30</v>
      </c>
      <c r="F1373" s="6"/>
      <c r="G1373" s="6"/>
      <c r="H1373" s="6"/>
      <c r="I1373" s="6"/>
      <c r="J1373" s="6">
        <v>6</v>
      </c>
      <c r="K1373" s="6">
        <v>6</v>
      </c>
      <c r="L1373" s="6"/>
      <c r="M1373" s="6"/>
      <c r="N1373" s="6">
        <v>6</v>
      </c>
      <c r="O1373" s="6"/>
      <c r="P1373" s="6"/>
      <c r="Q1373" s="6">
        <v>6</v>
      </c>
      <c r="R1373" s="6"/>
      <c r="S1373" s="35">
        <f>SUM(F1373:R1373)</f>
        <v>24</v>
      </c>
      <c r="T1373" s="35">
        <f>COUNT(F1373:R1373)</f>
        <v>4</v>
      </c>
      <c r="U1373" s="36">
        <f>IF(T1373&gt;=2,ROUND((IF(T1373=2,0.55,IF(T1373&lt;=4,0.7,IF(T1373&lt;=6,0.8,IF(T1373&lt;=9,0.9,1))))*(S1373/T1373)+(1-(IF(T1373=2,0.55,IF(T1373&lt;=4,0.7,IF(T1373&lt;=6,0.8,IF(T1373&lt;=9,0.9,1))))))*$Y$1),1),"")</f>
        <v>6.6</v>
      </c>
      <c r="V1373" s="37">
        <v>6.6</v>
      </c>
      <c r="W1373" s="38"/>
    </row>
    <row r="1374" ht="24" customHeight="1" spans="1:23" x14ac:dyDescent="0.25">
      <c r="A1374" s="31">
        <v>316</v>
      </c>
      <c r="B1374" s="32" t="s">
        <v>1473</v>
      </c>
      <c r="C1374" s="33" t="s">
        <v>24</v>
      </c>
      <c r="D1374" s="34">
        <v>2017</v>
      </c>
      <c r="E1374" s="34" t="s">
        <v>52</v>
      </c>
      <c r="F1374" s="6"/>
      <c r="G1374" s="6"/>
      <c r="H1374" s="6"/>
      <c r="I1374" s="6"/>
      <c r="J1374" s="6"/>
      <c r="K1374" s="6">
        <v>8</v>
      </c>
      <c r="L1374" s="6">
        <v>8</v>
      </c>
      <c r="M1374" s="6"/>
      <c r="N1374" s="6"/>
      <c r="O1374" s="6"/>
      <c r="P1374" s="6"/>
      <c r="Q1374" s="6">
        <v>8</v>
      </c>
      <c r="R1374" s="6"/>
      <c r="S1374" s="35">
        <f>SUM(F1374:R1374)</f>
        <v>24</v>
      </c>
      <c r="T1374" s="35">
        <f>COUNT(F1374:R1374)</f>
        <v>3</v>
      </c>
      <c r="U1374" s="36">
        <f>IF(T1374&gt;=2,ROUND((IF(T1374=2,0.55,IF(T1374&lt;=4,0.7,IF(T1374&lt;=6,0.8,IF(T1374&lt;=9,0.9,1))))*(S1374/T1374)+(1-(IF(T1374=2,0.55,IF(T1374&lt;=4,0.7,IF(T1374&lt;=6,0.8,IF(T1374&lt;=9,0.9,1))))))*$Y$1),1),"")</f>
        <v>8</v>
      </c>
      <c r="V1374" s="37">
        <v>7.5</v>
      </c>
      <c r="W1374" s="38"/>
    </row>
    <row r="1375" ht="24" customHeight="1" spans="1:23" x14ac:dyDescent="0.25">
      <c r="A1375" s="31">
        <v>704</v>
      </c>
      <c r="B1375" s="32" t="s">
        <v>1474</v>
      </c>
      <c r="C1375" s="33" t="s">
        <v>24</v>
      </c>
      <c r="D1375" s="34">
        <v>2016</v>
      </c>
      <c r="E1375" s="34" t="s">
        <v>30</v>
      </c>
      <c r="F1375" s="6">
        <v>8</v>
      </c>
      <c r="G1375" s="6">
        <v>8</v>
      </c>
      <c r="H1375" s="6"/>
      <c r="I1375" s="6"/>
      <c r="J1375" s="6"/>
      <c r="K1375" s="6">
        <v>9</v>
      </c>
      <c r="L1375" s="6">
        <v>8</v>
      </c>
      <c r="M1375" s="6"/>
      <c r="N1375" s="6"/>
      <c r="O1375" s="6"/>
      <c r="P1375" s="6">
        <v>9</v>
      </c>
      <c r="Q1375" s="6">
        <v>9</v>
      </c>
      <c r="R1375" s="6"/>
      <c r="S1375" s="35">
        <f>SUM(F1375:R1375)</f>
        <v>51</v>
      </c>
      <c r="T1375" s="35">
        <f>COUNT(F1375:R1375)</f>
        <v>6</v>
      </c>
      <c r="U1375" s="36">
        <f>IF(T1375&gt;=2,ROUND((IF(T1375=2,0.55,IF(T1375&lt;=4,0.7,IF(T1375&lt;=6,0.8,IF(T1375&lt;=9,0.9,1))))*(S1375/T1375)+(1-(IF(T1375=2,0.55,IF(T1375&lt;=4,0.7,IF(T1375&lt;=6,0.8,IF(T1375&lt;=9,0.9,1))))))*$Y$1),1),"")</f>
        <v>8.4</v>
      </c>
      <c r="V1375" s="37">
        <v>7.8</v>
      </c>
      <c r="W1375" s="38"/>
    </row>
    <row r="1376" ht="24" customHeight="1" spans="1:23" x14ac:dyDescent="0.25">
      <c r="A1376" s="40">
        <v>2339</v>
      </c>
      <c r="B1376" s="32" t="s">
        <v>1475</v>
      </c>
      <c r="C1376" s="33" t="s">
        <v>24</v>
      </c>
      <c r="D1376" s="34">
        <v>2023</v>
      </c>
      <c r="E1376" s="41"/>
      <c r="F1376" s="6"/>
      <c r="G1376" s="6">
        <v>7</v>
      </c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35">
        <f>SUM(F1376:R1376)</f>
        <v>7</v>
      </c>
      <c r="T1376" s="35">
        <f>COUNT(F1376:R1376)</f>
        <v>1</v>
      </c>
      <c r="U1376" s="36">
        <f>IF(T1376&gt;=2,ROUND((IF(T1376=2,0.55,IF(T1376&lt;=4,0.7,IF(T1376&lt;=6,0.8,IF(T1376&lt;=9,0.9,1))))*(S1376/T1376)+(1-(IF(T1376=2,0.55,IF(T1376&lt;=4,0.7,IF(T1376&lt;=6,0.8,IF(T1376&lt;=9,0.9,1))))))*$Y$1),1),"")</f>
      </c>
      <c r="V1376" s="37">
        <v>7.6</v>
      </c>
      <c r="W1376" s="38"/>
    </row>
    <row r="1377" ht="24" customHeight="1" spans="1:23" x14ac:dyDescent="0.25">
      <c r="A1377" s="31">
        <v>2488</v>
      </c>
      <c r="B1377" s="32" t="s">
        <v>1476</v>
      </c>
      <c r="C1377" s="33" t="s">
        <v>29</v>
      </c>
      <c r="D1377" s="34">
        <v>2026</v>
      </c>
      <c r="E1377" s="41"/>
      <c r="F1377" s="6">
        <v>8</v>
      </c>
      <c r="G1377" s="6"/>
      <c r="H1377" s="6">
        <v>8</v>
      </c>
      <c r="I1377" s="6"/>
      <c r="J1377" s="6">
        <v>8</v>
      </c>
      <c r="K1377" s="6">
        <v>8</v>
      </c>
      <c r="L1377" s="6">
        <v>8</v>
      </c>
      <c r="M1377" s="6"/>
      <c r="N1377" s="6"/>
      <c r="O1377" s="6">
        <v>8</v>
      </c>
      <c r="P1377" s="6"/>
      <c r="Q1377" s="6">
        <v>8</v>
      </c>
      <c r="R1377" s="6">
        <v>8</v>
      </c>
      <c r="S1377" s="35">
        <f>SUM(F1377:R1377)</f>
        <v>64</v>
      </c>
      <c r="T1377" s="35">
        <f>COUNT(F1377:R1377)</f>
        <v>8</v>
      </c>
      <c r="U1377" s="36">
        <f>IF(T1377&gt;=2,ROUND((IF(T1377=2,0.55,IF(T1377&lt;=4,0.7,IF(T1377&lt;=6,0.8,IF(T1377&lt;=9,0.9,1))))*(S1377/T1377)+(1-(IF(T1377=2,0.55,IF(T1377&lt;=4,0.7,IF(T1377&lt;=6,0.8,IF(T1377&lt;=9,0.9,1))))))*$Y$1),1),"")</f>
        <v>8</v>
      </c>
      <c r="V1377" s="37">
        <v>7.1</v>
      </c>
      <c r="W1377" s="38"/>
    </row>
    <row r="1378" ht="24" customHeight="1" spans="1:23" x14ac:dyDescent="0.25">
      <c r="A1378" s="31">
        <v>2013</v>
      </c>
      <c r="B1378" s="32" t="s">
        <v>1477</v>
      </c>
      <c r="C1378" s="33" t="s">
        <v>24</v>
      </c>
      <c r="D1378" s="34">
        <v>2018</v>
      </c>
      <c r="E1378" s="34"/>
      <c r="F1378" s="6"/>
      <c r="G1378" s="6"/>
      <c r="H1378" s="6"/>
      <c r="I1378" s="6"/>
      <c r="J1378" s="6"/>
      <c r="K1378" s="6">
        <v>8</v>
      </c>
      <c r="L1378" s="6"/>
      <c r="M1378" s="6"/>
      <c r="N1378" s="6"/>
      <c r="O1378" s="6"/>
      <c r="P1378" s="6"/>
      <c r="Q1378" s="6">
        <v>8</v>
      </c>
      <c r="R1378" s="6"/>
      <c r="S1378" s="35">
        <f>SUM(F1378:R1378)</f>
        <v>16</v>
      </c>
      <c r="T1378" s="35">
        <f>COUNT(F1378:R1378)</f>
        <v>2</v>
      </c>
      <c r="U1378" s="36">
        <f>IF(T1378&gt;=2,ROUND((IF(T1378=2,0.55,IF(T1378&lt;=4,0.7,IF(T1378&lt;=6,0.8,IF(T1378&lt;=9,0.9,1))))*(S1378/T1378)+(1-(IF(T1378=2,0.55,IF(T1378&lt;=4,0.7,IF(T1378&lt;=6,0.8,IF(T1378&lt;=9,0.9,1))))))*$Y$1),1),"")</f>
        <v>8</v>
      </c>
      <c r="V1378" s="37">
        <v>7.3</v>
      </c>
      <c r="W1378" s="38"/>
    </row>
    <row r="1379" ht="24" customHeight="1" spans="1:23" x14ac:dyDescent="0.25">
      <c r="A1379" s="31">
        <v>932</v>
      </c>
      <c r="B1379" s="32" t="s">
        <v>1478</v>
      </c>
      <c r="C1379" s="33" t="s">
        <v>24</v>
      </c>
      <c r="D1379" s="34">
        <v>2020</v>
      </c>
      <c r="E1379" s="34" t="s">
        <v>30</v>
      </c>
      <c r="F1379" s="6"/>
      <c r="G1379" s="6">
        <v>7</v>
      </c>
      <c r="H1379" s="6">
        <v>7</v>
      </c>
      <c r="I1379" s="6"/>
      <c r="J1379" s="6">
        <v>8</v>
      </c>
      <c r="K1379" s="6">
        <v>8</v>
      </c>
      <c r="L1379" s="6"/>
      <c r="M1379" s="6">
        <v>6</v>
      </c>
      <c r="N1379" s="6">
        <v>6</v>
      </c>
      <c r="O1379" s="6"/>
      <c r="P1379" s="6">
        <v>6</v>
      </c>
      <c r="Q1379" s="6">
        <v>8</v>
      </c>
      <c r="R1379" s="6">
        <v>6</v>
      </c>
      <c r="S1379" s="35">
        <f>SUM(F1379:R1379)</f>
        <v>62</v>
      </c>
      <c r="T1379" s="35">
        <f>COUNT(F1379:R1379)</f>
        <v>9</v>
      </c>
      <c r="U1379" s="36">
        <f>IF(T1379&gt;=2,ROUND((IF(T1379=2,0.55,IF(T1379&lt;=4,0.7,IF(T1379&lt;=6,0.8,IF(T1379&lt;=9,0.9,1))))*(S1379/T1379)+(1-(IF(T1379=2,0.55,IF(T1379&lt;=4,0.7,IF(T1379&lt;=6,0.8,IF(T1379&lt;=9,0.9,1))))))*$Y$1),1),"")</f>
        <v>7</v>
      </c>
      <c r="V1379" s="37">
        <v>6.4</v>
      </c>
      <c r="W1379" s="38"/>
    </row>
    <row r="1380" ht="47.25" customHeight="1" spans="1:23" x14ac:dyDescent="0.25">
      <c r="A1380" s="31">
        <v>55</v>
      </c>
      <c r="B1380" s="32" t="s">
        <v>1479</v>
      </c>
      <c r="C1380" s="33" t="s">
        <v>24</v>
      </c>
      <c r="D1380" s="34">
        <v>2016</v>
      </c>
      <c r="E1380" s="34" t="s">
        <v>919</v>
      </c>
      <c r="F1380" s="6"/>
      <c r="G1380" s="6"/>
      <c r="H1380" s="6"/>
      <c r="I1380" s="6"/>
      <c r="J1380" s="6"/>
      <c r="K1380" s="6"/>
      <c r="L1380" s="6">
        <v>8</v>
      </c>
      <c r="M1380" s="6"/>
      <c r="N1380" s="6"/>
      <c r="O1380" s="6"/>
      <c r="P1380" s="6">
        <v>8</v>
      </c>
      <c r="Q1380" s="6"/>
      <c r="R1380" s="6"/>
      <c r="S1380" s="35">
        <f>SUM(F1380:R1380)</f>
        <v>16</v>
      </c>
      <c r="T1380" s="35">
        <f>COUNT(F1380:R1380)</f>
        <v>2</v>
      </c>
      <c r="U1380" s="36">
        <f>IF(T1380&gt;=2,ROUND((IF(T1380=2,0.55,IF(T1380&lt;=4,0.7,IF(T1380&lt;=6,0.8,IF(T1380&lt;=9,0.9,1))))*(S1380/T1380)+(1-(IF(T1380=2,0.55,IF(T1380&lt;=4,0.7,IF(T1380&lt;=6,0.8,IF(T1380&lt;=9,0.9,1))))))*$Y$1),1),"")</f>
        <v>8</v>
      </c>
      <c r="V1380" s="37">
        <v>7.8</v>
      </c>
      <c r="W1380" s="38"/>
    </row>
    <row r="1381" ht="24" customHeight="1" spans="1:23" x14ac:dyDescent="0.25">
      <c r="A1381" s="31">
        <v>483</v>
      </c>
      <c r="B1381" s="32" t="s">
        <v>1480</v>
      </c>
      <c r="C1381" s="33" t="s">
        <v>24</v>
      </c>
      <c r="D1381" s="34">
        <v>2019</v>
      </c>
      <c r="E1381" s="34" t="s">
        <v>30</v>
      </c>
      <c r="F1381" s="6"/>
      <c r="G1381" s="6"/>
      <c r="H1381" s="6"/>
      <c r="I1381" s="6"/>
      <c r="J1381" s="6">
        <v>8</v>
      </c>
      <c r="K1381" s="6">
        <v>8</v>
      </c>
      <c r="L1381" s="6"/>
      <c r="M1381" s="6">
        <v>6</v>
      </c>
      <c r="N1381" s="6">
        <v>6</v>
      </c>
      <c r="O1381" s="6"/>
      <c r="P1381" s="6"/>
      <c r="Q1381" s="6">
        <v>8</v>
      </c>
      <c r="R1381" s="6"/>
      <c r="S1381" s="35">
        <f>SUM(F1381:R1381)</f>
        <v>36</v>
      </c>
      <c r="T1381" s="35">
        <f>COUNT(F1381:R1381)</f>
        <v>5</v>
      </c>
      <c r="U1381" s="36">
        <f>IF(T1381&gt;=2,ROUND((IF(T1381=2,0.55,IF(T1381&lt;=4,0.7,IF(T1381&lt;=6,0.8,IF(T1381&lt;=9,0.9,1))))*(S1381/T1381)+(1-(IF(T1381=2,0.55,IF(T1381&lt;=4,0.7,IF(T1381&lt;=6,0.8,IF(T1381&lt;=9,0.9,1))))))*$Y$1),1),"")</f>
        <v>7.4</v>
      </c>
      <c r="V1381" s="37">
        <v>6.9</v>
      </c>
      <c r="W1381" s="38"/>
    </row>
    <row r="1382" ht="24" customHeight="1" spans="1:23" x14ac:dyDescent="0.25">
      <c r="A1382" s="31">
        <v>497</v>
      </c>
      <c r="B1382" s="32" t="s">
        <v>1481</v>
      </c>
      <c r="C1382" s="33" t="s">
        <v>24</v>
      </c>
      <c r="D1382" s="34">
        <v>2007</v>
      </c>
      <c r="E1382" s="34" t="s">
        <v>25</v>
      </c>
      <c r="F1382" s="6"/>
      <c r="G1382" s="6">
        <v>8</v>
      </c>
      <c r="H1382" s="6"/>
      <c r="I1382" s="6">
        <v>6</v>
      </c>
      <c r="J1382" s="6"/>
      <c r="K1382" s="6"/>
      <c r="L1382" s="6"/>
      <c r="M1382" s="6"/>
      <c r="N1382" s="6"/>
      <c r="O1382" s="6"/>
      <c r="P1382" s="6">
        <v>8</v>
      </c>
      <c r="Q1382" s="6"/>
      <c r="R1382" s="6"/>
      <c r="S1382" s="35">
        <f>SUM(F1382:R1382)</f>
        <v>22</v>
      </c>
      <c r="T1382" s="35">
        <f>COUNT(F1382:R1382)</f>
        <v>3</v>
      </c>
      <c r="U1382" s="36">
        <f>IF(T1382&gt;=2,ROUND((IF(T1382=2,0.55,IF(T1382&lt;=4,0.7,IF(T1382&lt;=6,0.8,IF(T1382&lt;=9,0.9,1))))*(S1382/T1382)+(1-(IF(T1382=2,0.55,IF(T1382&lt;=4,0.7,IF(T1382&lt;=6,0.8,IF(T1382&lt;=9,0.9,1))))))*$Y$1),1),"")</f>
        <v>7.6</v>
      </c>
      <c r="V1382" s="37">
        <v>7.8</v>
      </c>
      <c r="W1382" s="38"/>
    </row>
    <row r="1383" ht="24" customHeight="1" spans="1:23" x14ac:dyDescent="0.25">
      <c r="A1383" s="31">
        <v>1040</v>
      </c>
      <c r="B1383" s="32" t="s">
        <v>1482</v>
      </c>
      <c r="C1383" s="33" t="s">
        <v>24</v>
      </c>
      <c r="D1383" s="34">
        <v>2009</v>
      </c>
      <c r="E1383" s="34" t="s">
        <v>60</v>
      </c>
      <c r="F1383" s="6">
        <v>8</v>
      </c>
      <c r="G1383" s="6"/>
      <c r="H1383" s="6"/>
      <c r="I1383" s="6"/>
      <c r="J1383" s="6"/>
      <c r="K1383" s="6">
        <v>8</v>
      </c>
      <c r="L1383" s="6">
        <v>8</v>
      </c>
      <c r="M1383" s="6"/>
      <c r="N1383" s="6"/>
      <c r="O1383" s="6">
        <v>8</v>
      </c>
      <c r="P1383" s="6"/>
      <c r="Q1383" s="6">
        <v>8</v>
      </c>
      <c r="R1383" s="6"/>
      <c r="S1383" s="35">
        <f>SUM(F1383:R1383)</f>
        <v>40</v>
      </c>
      <c r="T1383" s="35">
        <f>COUNT(F1383:R1383)</f>
        <v>5</v>
      </c>
      <c r="U1383" s="36">
        <f>IF(T1383&gt;=2,ROUND((IF(T1383=2,0.55,IF(T1383&lt;=4,0.7,IF(T1383&lt;=6,0.8,IF(T1383&lt;=9,0.9,1))))*(S1383/T1383)+(1-(IF(T1383=2,0.55,IF(T1383&lt;=4,0.7,IF(T1383&lt;=6,0.8,IF(T1383&lt;=9,0.9,1))))))*$Y$1),1),"")</f>
        <v>8</v>
      </c>
      <c r="V1383" s="37">
        <v>7.1</v>
      </c>
      <c r="W1383" s="38"/>
    </row>
    <row r="1384" ht="24" customHeight="1" spans="1:23" s="39" customFormat="1" x14ac:dyDescent="0.25">
      <c r="A1384" s="31">
        <v>1637</v>
      </c>
      <c r="B1384" s="32" t="s">
        <v>1483</v>
      </c>
      <c r="C1384" s="33" t="s">
        <v>29</v>
      </c>
      <c r="D1384" s="34">
        <v>2020</v>
      </c>
      <c r="E1384" s="34" t="s">
        <v>30</v>
      </c>
      <c r="F1384" s="6"/>
      <c r="G1384" s="6"/>
      <c r="H1384" s="6"/>
      <c r="I1384" s="6"/>
      <c r="J1384" s="6">
        <v>8</v>
      </c>
      <c r="K1384" s="6"/>
      <c r="L1384" s="6"/>
      <c r="M1384" s="6"/>
      <c r="N1384" s="6">
        <v>8</v>
      </c>
      <c r="O1384" s="6"/>
      <c r="P1384" s="6"/>
      <c r="Q1384" s="6"/>
      <c r="R1384" s="6"/>
      <c r="S1384" s="35">
        <f>SUM(F1384:R1384)</f>
        <v>16</v>
      </c>
      <c r="T1384" s="35">
        <f>COUNT(F1384:R1384)</f>
        <v>2</v>
      </c>
      <c r="U1384" s="36">
        <f>IF(T1384&gt;=2,ROUND((IF(T1384=2,0.55,IF(T1384&lt;=4,0.7,IF(T1384&lt;=6,0.8,IF(T1384&lt;=9,0.9,1))))*(S1384/T1384)+(1-(IF(T1384=2,0.55,IF(T1384&lt;=4,0.7,IF(T1384&lt;=6,0.8,IF(T1384&lt;=9,0.9,1))))))*$Y$1),1),"")</f>
        <v>8</v>
      </c>
      <c r="V1384" s="37">
        <v>7.5</v>
      </c>
      <c r="W1384" s="38"/>
    </row>
    <row r="1385" ht="24" customHeight="1" spans="1:23" x14ac:dyDescent="0.25">
      <c r="A1385" s="31">
        <v>1532</v>
      </c>
      <c r="B1385" s="32" t="s">
        <v>1484</v>
      </c>
      <c r="C1385" s="33" t="s">
        <v>24</v>
      </c>
      <c r="D1385" s="34">
        <v>2023</v>
      </c>
      <c r="E1385" s="34" t="s">
        <v>30</v>
      </c>
      <c r="F1385" s="6">
        <v>7</v>
      </c>
      <c r="G1385" s="6"/>
      <c r="H1385" s="6"/>
      <c r="I1385" s="6"/>
      <c r="J1385" s="6"/>
      <c r="K1385" s="6"/>
      <c r="L1385" s="6"/>
      <c r="M1385" s="6"/>
      <c r="N1385" s="6"/>
      <c r="O1385" s="6">
        <v>8</v>
      </c>
      <c r="P1385" s="6"/>
      <c r="Q1385" s="6"/>
      <c r="R1385" s="6"/>
      <c r="S1385" s="35">
        <f>SUM(F1385:R1385)</f>
        <v>15</v>
      </c>
      <c r="T1385" s="35">
        <f>COUNT(F1385:R1385)</f>
        <v>2</v>
      </c>
      <c r="U1385" s="36">
        <f>IF(T1385&gt;=2,ROUND((IF(T1385=2,0.55,IF(T1385&lt;=4,0.7,IF(T1385&lt;=6,0.8,IF(T1385&lt;=9,0.9,1))))*(S1385/T1385)+(1-(IF(T1385=2,0.55,IF(T1385&lt;=4,0.7,IF(T1385&lt;=6,0.8,IF(T1385&lt;=9,0.9,1))))))*$Y$1),1),"")</f>
        <v>7.8</v>
      </c>
      <c r="V1385" s="37">
        <v>3.9</v>
      </c>
      <c r="W1385" s="38"/>
    </row>
    <row r="1386" ht="24" customHeight="1" spans="1:23" x14ac:dyDescent="0.25">
      <c r="A1386" s="31">
        <v>1800</v>
      </c>
      <c r="B1386" s="32" t="s">
        <v>1485</v>
      </c>
      <c r="C1386" s="33" t="s">
        <v>29</v>
      </c>
      <c r="D1386" s="34">
        <v>2018</v>
      </c>
      <c r="E1386" s="34" t="s">
        <v>58</v>
      </c>
      <c r="F1386" s="6"/>
      <c r="G1386" s="6"/>
      <c r="H1386" s="6"/>
      <c r="I1386" s="6"/>
      <c r="J1386" s="6"/>
      <c r="K1386" s="6"/>
      <c r="L1386" s="6"/>
      <c r="M1386" s="6"/>
      <c r="N1386" s="6">
        <v>8</v>
      </c>
      <c r="O1386" s="6"/>
      <c r="P1386" s="6"/>
      <c r="Q1386" s="6"/>
      <c r="R1386" s="6"/>
      <c r="S1386" s="35">
        <f>SUM(F1386:R1386)</f>
        <v>8</v>
      </c>
      <c r="T1386" s="35">
        <f>COUNT(F1386:R1386)</f>
        <v>1</v>
      </c>
      <c r="U1386" s="36">
        <f>IF(T1386&gt;=2,ROUND((IF(T1386=2,0.55,IF(T1386&lt;=4,0.7,IF(T1386&lt;=6,0.8,IF(T1386&lt;=9,0.9,1))))*(S1386/T1386)+(1-(IF(T1386=2,0.55,IF(T1386&lt;=4,0.7,IF(T1386&lt;=6,0.8,IF(T1386&lt;=9,0.9,1))))))*$Y$1),1),"")</f>
      </c>
      <c r="V1386" s="37">
        <v>8.1</v>
      </c>
      <c r="W1386" s="38"/>
    </row>
    <row r="1387" ht="24" customHeight="1" spans="1:23" s="39" customFormat="1" x14ac:dyDescent="0.25">
      <c r="A1387" s="31">
        <v>294</v>
      </c>
      <c r="B1387" s="32" t="s">
        <v>1486</v>
      </c>
      <c r="C1387" s="33" t="s">
        <v>24</v>
      </c>
      <c r="D1387" s="34">
        <v>2007</v>
      </c>
      <c r="E1387" s="34" t="s">
        <v>30</v>
      </c>
      <c r="F1387" s="6">
        <v>10</v>
      </c>
      <c r="G1387" s="6">
        <v>9</v>
      </c>
      <c r="H1387" s="6">
        <v>8</v>
      </c>
      <c r="I1387" s="6">
        <v>10</v>
      </c>
      <c r="J1387" s="6">
        <v>8</v>
      </c>
      <c r="K1387" s="6">
        <v>10</v>
      </c>
      <c r="L1387" s="6">
        <v>8</v>
      </c>
      <c r="M1387" s="6">
        <v>8</v>
      </c>
      <c r="N1387" s="6">
        <v>8</v>
      </c>
      <c r="O1387" s="6">
        <v>8</v>
      </c>
      <c r="P1387" s="6">
        <v>10</v>
      </c>
      <c r="Q1387" s="6">
        <v>10</v>
      </c>
      <c r="R1387" s="6">
        <v>8</v>
      </c>
      <c r="S1387" s="35">
        <f>SUM(F1387:R1387)</f>
        <v>115</v>
      </c>
      <c r="T1387" s="35">
        <f>COUNT(F1387:R1387)</f>
        <v>13</v>
      </c>
      <c r="U1387" s="36">
        <f>IF(T1387&gt;=2,ROUND((IF(T1387=2,0.55,IF(T1387&lt;=4,0.7,IF(T1387&lt;=6,0.8,IF(T1387&lt;=9,0.9,1))))*(S1387/T1387)+(1-(IF(T1387=2,0.55,IF(T1387&lt;=4,0.7,IF(T1387&lt;=6,0.8,IF(T1387&lt;=9,0.9,1))))))*$Y$1),1),"")</f>
        <v>8.8</v>
      </c>
      <c r="V1387" s="37">
        <v>7.6</v>
      </c>
      <c r="W1387" s="38"/>
    </row>
    <row r="1388" ht="24" customHeight="1" spans="1:23" s="39" customFormat="1" x14ac:dyDescent="0.25">
      <c r="A1388" s="31">
        <v>1262</v>
      </c>
      <c r="B1388" s="32" t="s">
        <v>1487</v>
      </c>
      <c r="C1388" s="33" t="s">
        <v>24</v>
      </c>
      <c r="D1388" s="34">
        <v>2017</v>
      </c>
      <c r="E1388" s="34" t="s">
        <v>30</v>
      </c>
      <c r="F1388" s="6"/>
      <c r="G1388" s="6"/>
      <c r="H1388" s="6"/>
      <c r="I1388" s="6"/>
      <c r="J1388" s="6"/>
      <c r="K1388" s="6"/>
      <c r="L1388" s="6"/>
      <c r="M1388" s="6"/>
      <c r="N1388" s="6">
        <v>6</v>
      </c>
      <c r="O1388" s="6"/>
      <c r="P1388" s="6"/>
      <c r="Q1388" s="6"/>
      <c r="R1388" s="6"/>
      <c r="S1388" s="35">
        <f>SUM(F1388:R1388)</f>
        <v>6</v>
      </c>
      <c r="T1388" s="35">
        <f>COUNT(F1388:R1388)</f>
        <v>1</v>
      </c>
      <c r="U1388" s="36">
        <f>IF(T1388&gt;=2,ROUND((IF(T1388=2,0.55,IF(T1388&lt;=4,0.7,IF(T1388&lt;=6,0.8,IF(T1388&lt;=9,0.9,1))))*(S1388/T1388)+(1-(IF(T1388=2,0.55,IF(T1388&lt;=4,0.7,IF(T1388&lt;=6,0.8,IF(T1388&lt;=9,0.9,1))))))*$Y$1),1),"")</f>
      </c>
      <c r="V1388" s="37">
        <v>6.4</v>
      </c>
      <c r="W1388" s="38"/>
    </row>
    <row r="1389" ht="47.25" customHeight="1" spans="1:23" x14ac:dyDescent="0.25">
      <c r="A1389" s="40">
        <v>2316</v>
      </c>
      <c r="B1389" s="32" t="s">
        <v>1488</v>
      </c>
      <c r="C1389" s="33" t="s">
        <v>24</v>
      </c>
      <c r="D1389" s="34">
        <v>2017</v>
      </c>
      <c r="E1389" s="41"/>
      <c r="F1389" s="6"/>
      <c r="G1389" s="6">
        <v>8</v>
      </c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35">
        <f>SUM(F1389:R1389)</f>
        <v>8</v>
      </c>
      <c r="T1389" s="35">
        <f>COUNT(F1389:R1389)</f>
        <v>1</v>
      </c>
      <c r="U1389" s="36">
        <f>IF(T1389&gt;=2,ROUND((IF(T1389=2,0.55,IF(T1389&lt;=4,0.7,IF(T1389&lt;=6,0.8,IF(T1389&lt;=9,0.9,1))))*(S1389/T1389)+(1-(IF(T1389=2,0.55,IF(T1389&lt;=4,0.7,IF(T1389&lt;=6,0.8,IF(T1389&lt;=9,0.9,1))))))*$Y$1),1),"")</f>
      </c>
      <c r="V1389" s="37">
        <v>8.1</v>
      </c>
      <c r="W1389" s="38"/>
    </row>
    <row r="1390" ht="47.25" customHeight="1" spans="1:23" x14ac:dyDescent="0.25">
      <c r="A1390" s="31">
        <v>1873</v>
      </c>
      <c r="B1390" s="32" t="s">
        <v>1489</v>
      </c>
      <c r="C1390" s="33" t="s">
        <v>24</v>
      </c>
      <c r="D1390" s="34">
        <v>2023</v>
      </c>
      <c r="E1390" s="34" t="s">
        <v>48</v>
      </c>
      <c r="F1390" s="6"/>
      <c r="G1390" s="6">
        <v>7</v>
      </c>
      <c r="H1390" s="6"/>
      <c r="I1390" s="6"/>
      <c r="J1390" s="6">
        <v>8</v>
      </c>
      <c r="K1390" s="6"/>
      <c r="L1390" s="6"/>
      <c r="M1390" s="6"/>
      <c r="N1390" s="6"/>
      <c r="O1390" s="6"/>
      <c r="P1390" s="6"/>
      <c r="Q1390" s="6"/>
      <c r="R1390" s="6"/>
      <c r="S1390" s="35">
        <f>SUM(F1390:R1390)</f>
        <v>15</v>
      </c>
      <c r="T1390" s="35">
        <f>COUNT(F1390:R1390)</f>
        <v>2</v>
      </c>
      <c r="U1390" s="36">
        <f>IF(T1390&gt;=2,ROUND((IF(T1390=2,0.55,IF(T1390&lt;=4,0.7,IF(T1390&lt;=6,0.8,IF(T1390&lt;=9,0.9,1))))*(S1390/T1390)+(1-(IF(T1390=2,0.55,IF(T1390&lt;=4,0.7,IF(T1390&lt;=6,0.8,IF(T1390&lt;=9,0.9,1))))))*$Y$1),1),"")</f>
        <v>7.8</v>
      </c>
      <c r="V1390" s="37">
        <v>7.7</v>
      </c>
      <c r="W1390" s="38"/>
    </row>
    <row r="1391" ht="24" customHeight="1" spans="1:23" x14ac:dyDescent="0.25">
      <c r="A1391" s="40">
        <v>2236</v>
      </c>
      <c r="B1391" s="32" t="s">
        <v>1490</v>
      </c>
      <c r="C1391" s="33" t="s">
        <v>24</v>
      </c>
      <c r="D1391" s="34">
        <v>2009</v>
      </c>
      <c r="E1391" s="41"/>
      <c r="F1391" s="6"/>
      <c r="G1391" s="6">
        <v>7</v>
      </c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35">
        <f>SUM(F1391:R1391)</f>
        <v>7</v>
      </c>
      <c r="T1391" s="35">
        <f>COUNT(F1391:R1391)</f>
        <v>1</v>
      </c>
      <c r="U1391" s="36">
        <f>IF(T1391&gt;=2,ROUND((IF(T1391=2,0.55,IF(T1391&lt;=4,0.7,IF(T1391&lt;=6,0.8,IF(T1391&lt;=9,0.9,1))))*(S1391/T1391)+(1-(IF(T1391=2,0.55,IF(T1391&lt;=4,0.7,IF(T1391&lt;=6,0.8,IF(T1391&lt;=9,0.9,1))))))*$Y$1),1),"")</f>
      </c>
      <c r="V1391" s="37">
        <v>6.2</v>
      </c>
      <c r="W1391" s="38"/>
    </row>
    <row r="1392" ht="24" customHeight="1" spans="1:23" x14ac:dyDescent="0.25">
      <c r="A1392" s="31">
        <v>1091</v>
      </c>
      <c r="B1392" s="32" t="s">
        <v>1491</v>
      </c>
      <c r="C1392" s="33" t="s">
        <v>24</v>
      </c>
      <c r="D1392" s="34">
        <v>2000</v>
      </c>
      <c r="E1392" s="34" t="s">
        <v>30</v>
      </c>
      <c r="F1392" s="6"/>
      <c r="G1392" s="6">
        <v>7</v>
      </c>
      <c r="H1392" s="6"/>
      <c r="I1392" s="6"/>
      <c r="J1392" s="6"/>
      <c r="K1392" s="6"/>
      <c r="L1392" s="6">
        <v>7</v>
      </c>
      <c r="M1392" s="6"/>
      <c r="N1392" s="6"/>
      <c r="O1392" s="6">
        <v>8</v>
      </c>
      <c r="P1392" s="6">
        <v>8</v>
      </c>
      <c r="Q1392" s="6"/>
      <c r="R1392" s="6"/>
      <c r="S1392" s="35">
        <f>SUM(F1392:R1392)</f>
        <v>30</v>
      </c>
      <c r="T1392" s="35">
        <f>COUNT(F1392:R1392)</f>
        <v>4</v>
      </c>
      <c r="U1392" s="36">
        <f>IF(T1392&gt;=2,ROUND((IF(T1392=2,0.55,IF(T1392&lt;=4,0.7,IF(T1392&lt;=6,0.8,IF(T1392&lt;=9,0.9,1))))*(S1392/T1392)+(1-(IF(T1392=2,0.55,IF(T1392&lt;=4,0.7,IF(T1392&lt;=6,0.8,IF(T1392&lt;=9,0.9,1))))))*$Y$1),1),"")</f>
        <v>7.7</v>
      </c>
      <c r="V1392" s="37">
        <v>7.5</v>
      </c>
      <c r="W1392" s="38"/>
    </row>
    <row r="1393" ht="24" customHeight="1" spans="1:23" x14ac:dyDescent="0.25">
      <c r="A1393" s="31">
        <v>1804</v>
      </c>
      <c r="B1393" s="32" t="s">
        <v>1492</v>
      </c>
      <c r="C1393" s="33" t="s">
        <v>29</v>
      </c>
      <c r="D1393" s="34">
        <v>2024</v>
      </c>
      <c r="E1393" s="34" t="s">
        <v>30</v>
      </c>
      <c r="F1393" s="6">
        <v>7</v>
      </c>
      <c r="G1393" s="6"/>
      <c r="H1393" s="6">
        <v>7</v>
      </c>
      <c r="I1393" s="6"/>
      <c r="J1393" s="6"/>
      <c r="K1393" s="6">
        <v>8</v>
      </c>
      <c r="L1393" s="6">
        <v>6</v>
      </c>
      <c r="M1393" s="6"/>
      <c r="N1393" s="6"/>
      <c r="O1393" s="6"/>
      <c r="P1393" s="6"/>
      <c r="Q1393" s="6">
        <v>8</v>
      </c>
      <c r="R1393" s="6"/>
      <c r="S1393" s="35">
        <f>SUM(F1393:R1393)</f>
        <v>36</v>
      </c>
      <c r="T1393" s="35">
        <f>COUNT(F1393:R1393)</f>
        <v>5</v>
      </c>
      <c r="U1393" s="36">
        <f>IF(T1393&gt;=2,ROUND((IF(T1393=2,0.55,IF(T1393&lt;=4,0.7,IF(T1393&lt;=6,0.8,IF(T1393&lt;=9,0.9,1))))*(S1393/T1393)+(1-(IF(T1393=2,0.55,IF(T1393&lt;=4,0.7,IF(T1393&lt;=6,0.8,IF(T1393&lt;=9,0.9,1))))))*$Y$1),1),"")</f>
        <v>7.4</v>
      </c>
      <c r="V1393" s="37">
        <v>6.9</v>
      </c>
      <c r="W1393" s="38"/>
    </row>
    <row r="1394" ht="24" customHeight="1" spans="1:23" x14ac:dyDescent="0.25">
      <c r="A1394" s="31">
        <v>1081</v>
      </c>
      <c r="B1394" s="32" t="s">
        <v>1493</v>
      </c>
      <c r="C1394" s="33" t="s">
        <v>24</v>
      </c>
      <c r="D1394" s="34">
        <v>2021</v>
      </c>
      <c r="E1394" s="34" t="s">
        <v>69</v>
      </c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>
        <v>8</v>
      </c>
      <c r="S1394" s="35">
        <f>SUM(F1394:R1394)</f>
        <v>8</v>
      </c>
      <c r="T1394" s="35">
        <f>COUNT(F1394:R1394)</f>
        <v>1</v>
      </c>
      <c r="U1394" s="36">
        <f>IF(T1394&gt;=2,ROUND((IF(T1394=2,0.55,IF(T1394&lt;=4,0.7,IF(T1394&lt;=6,0.8,IF(T1394&lt;=9,0.9,1))))*(S1394/T1394)+(1-(IF(T1394=2,0.55,IF(T1394&lt;=4,0.7,IF(T1394&lt;=6,0.8,IF(T1394&lt;=9,0.9,1))))))*$Y$1),1),"")</f>
      </c>
      <c r="V1394" s="37">
        <v>7.2</v>
      </c>
      <c r="W1394" s="38"/>
    </row>
    <row r="1395" ht="24" customHeight="1" spans="1:23" x14ac:dyDescent="0.25">
      <c r="A1395" s="47">
        <v>846</v>
      </c>
      <c r="B1395" s="32" t="s">
        <v>1494</v>
      </c>
      <c r="C1395" s="48" t="s">
        <v>24</v>
      </c>
      <c r="D1395" s="49">
        <v>2020</v>
      </c>
      <c r="E1395" s="49" t="s">
        <v>30</v>
      </c>
      <c r="F1395" s="6">
        <v>8</v>
      </c>
      <c r="G1395" s="6"/>
      <c r="H1395" s="6">
        <v>8</v>
      </c>
      <c r="I1395" s="6">
        <v>8</v>
      </c>
      <c r="J1395" s="6">
        <v>8</v>
      </c>
      <c r="K1395" s="6">
        <v>10</v>
      </c>
      <c r="L1395" s="6">
        <v>8</v>
      </c>
      <c r="M1395" s="6">
        <v>8</v>
      </c>
      <c r="N1395" s="6">
        <v>8</v>
      </c>
      <c r="O1395" s="6"/>
      <c r="P1395" s="6">
        <v>6</v>
      </c>
      <c r="Q1395" s="6">
        <v>10</v>
      </c>
      <c r="R1395" s="6">
        <v>10</v>
      </c>
      <c r="S1395" s="50">
        <f>SUM(F1395:R1395)</f>
        <v>92</v>
      </c>
      <c r="T1395" s="50">
        <f>COUNT(F1395:R1395)</f>
        <v>11</v>
      </c>
      <c r="U1395" s="36">
        <f>IF(T1395&gt;=2,ROUND((IF(T1395=2,0.55,IF(T1395&lt;=4,0.7,IF(T1395&lt;=6,0.8,IF(T1395&lt;=9,0.9,1))))*(S1395/T1395)+(1-(IF(T1395=2,0.55,IF(T1395&lt;=4,0.7,IF(T1395&lt;=6,0.8,IF(T1395&lt;=9,0.9,1))))))*$Y$1),1),"")</f>
        <v>8.4</v>
      </c>
      <c r="V1395" s="37">
        <v>6.7</v>
      </c>
      <c r="W1395" s="38" t="s">
        <v>44</v>
      </c>
    </row>
    <row r="1396" ht="24" customHeight="1" spans="1:23" x14ac:dyDescent="0.25">
      <c r="A1396" s="31">
        <v>213</v>
      </c>
      <c r="B1396" s="32" t="s">
        <v>1495</v>
      </c>
      <c r="C1396" s="33" t="s">
        <v>24</v>
      </c>
      <c r="D1396" s="34">
        <v>1968</v>
      </c>
      <c r="E1396" s="34" t="s">
        <v>52</v>
      </c>
      <c r="F1396" s="6"/>
      <c r="G1396" s="6">
        <v>9</v>
      </c>
      <c r="H1396" s="6"/>
      <c r="I1396" s="6"/>
      <c r="J1396" s="6"/>
      <c r="K1396" s="6">
        <v>10</v>
      </c>
      <c r="L1396" s="6">
        <v>6</v>
      </c>
      <c r="M1396" s="6">
        <v>6</v>
      </c>
      <c r="N1396" s="6">
        <v>10</v>
      </c>
      <c r="O1396" s="6"/>
      <c r="P1396" s="6">
        <v>10</v>
      </c>
      <c r="Q1396" s="6">
        <v>10</v>
      </c>
      <c r="R1396" s="6"/>
      <c r="S1396" s="35">
        <f>SUM(F1396:R1396)</f>
        <v>61</v>
      </c>
      <c r="T1396" s="35">
        <f>COUNT(F1396:R1396)</f>
        <v>7</v>
      </c>
      <c r="U1396" s="36">
        <f>IF(T1396&gt;=2,ROUND((IF(T1396=2,0.55,IF(T1396&lt;=4,0.7,IF(T1396&lt;=6,0.8,IF(T1396&lt;=9,0.9,1))))*(S1396/T1396)+(1-(IF(T1396=2,0.55,IF(T1396&lt;=4,0.7,IF(T1396&lt;=6,0.8,IF(T1396&lt;=9,0.9,1))))))*$Y$1),1),"")</f>
        <v>8.7</v>
      </c>
      <c r="V1396" s="37">
        <v>8.5</v>
      </c>
      <c r="W1396" s="38"/>
    </row>
    <row r="1397" ht="24" customHeight="1" spans="1:23" x14ac:dyDescent="0.25">
      <c r="A1397" s="31">
        <v>1653</v>
      </c>
      <c r="B1397" s="32" t="s">
        <v>1496</v>
      </c>
      <c r="C1397" s="33" t="s">
        <v>24</v>
      </c>
      <c r="D1397" s="34">
        <v>1984</v>
      </c>
      <c r="E1397" s="34" t="s">
        <v>27</v>
      </c>
      <c r="F1397" s="6"/>
      <c r="G1397" s="6">
        <v>8</v>
      </c>
      <c r="H1397" s="6"/>
      <c r="I1397" s="6"/>
      <c r="J1397" s="6">
        <v>10</v>
      </c>
      <c r="K1397" s="6"/>
      <c r="L1397" s="6"/>
      <c r="M1397" s="6"/>
      <c r="N1397" s="6">
        <v>8</v>
      </c>
      <c r="O1397" s="6"/>
      <c r="P1397" s="6"/>
      <c r="Q1397" s="6"/>
      <c r="R1397" s="6"/>
      <c r="S1397" s="35">
        <f>SUM(F1397:R1397)</f>
        <v>26</v>
      </c>
      <c r="T1397" s="35">
        <f>COUNT(F1397:R1397)</f>
        <v>3</v>
      </c>
      <c r="U1397" s="36">
        <f>IF(T1397&gt;=2,ROUND((IF(T1397=2,0.55,IF(T1397&lt;=4,0.7,IF(T1397&lt;=6,0.8,IF(T1397&lt;=9,0.9,1))))*(S1397/T1397)+(1-(IF(T1397=2,0.55,IF(T1397&lt;=4,0.7,IF(T1397&lt;=6,0.8,IF(T1397&lt;=9,0.9,1))))))*$Y$1),1),"")</f>
        <v>8.5</v>
      </c>
      <c r="V1397" s="37">
        <v>8.3</v>
      </c>
      <c r="W1397" s="38"/>
    </row>
    <row r="1398" ht="24" customHeight="1" spans="1:23" x14ac:dyDescent="0.25">
      <c r="A1398" s="31">
        <v>1069</v>
      </c>
      <c r="B1398" s="32" t="s">
        <v>1497</v>
      </c>
      <c r="C1398" s="33" t="s">
        <v>24</v>
      </c>
      <c r="D1398" s="34">
        <v>2013</v>
      </c>
      <c r="E1398" s="34" t="s">
        <v>106</v>
      </c>
      <c r="F1398" s="6"/>
      <c r="G1398" s="6"/>
      <c r="H1398" s="6"/>
      <c r="I1398" s="6"/>
      <c r="J1398" s="6"/>
      <c r="K1398" s="6">
        <v>8</v>
      </c>
      <c r="L1398" s="6"/>
      <c r="M1398" s="6"/>
      <c r="N1398" s="6"/>
      <c r="O1398" s="6"/>
      <c r="P1398" s="6"/>
      <c r="Q1398" s="6">
        <v>8</v>
      </c>
      <c r="R1398" s="6"/>
      <c r="S1398" s="35">
        <f>SUM(F1398:R1398)</f>
        <v>16</v>
      </c>
      <c r="T1398" s="35">
        <f>COUNT(F1398:R1398)</f>
        <v>2</v>
      </c>
      <c r="U1398" s="36">
        <f>IF(T1398&gt;=2,ROUND((IF(T1398=2,0.55,IF(T1398&lt;=4,0.7,IF(T1398&lt;=6,0.8,IF(T1398&lt;=9,0.9,1))))*(S1398/T1398)+(1-(IF(T1398=2,0.55,IF(T1398&lt;=4,0.7,IF(T1398&lt;=6,0.8,IF(T1398&lt;=9,0.9,1))))))*$Y$1),1),"")</f>
        <v>8</v>
      </c>
      <c r="V1398" s="37">
        <v>6.6</v>
      </c>
      <c r="W1398" s="38"/>
    </row>
    <row r="1399" ht="24" customHeight="1" spans="1:23" x14ac:dyDescent="0.25">
      <c r="A1399" s="31">
        <v>353</v>
      </c>
      <c r="B1399" s="32" t="s">
        <v>1498</v>
      </c>
      <c r="C1399" s="33" t="s">
        <v>24</v>
      </c>
      <c r="D1399" s="34">
        <v>2019</v>
      </c>
      <c r="E1399" s="34" t="s">
        <v>60</v>
      </c>
      <c r="F1399" s="6">
        <v>8</v>
      </c>
      <c r="G1399" s="6">
        <v>8</v>
      </c>
      <c r="H1399" s="6"/>
      <c r="I1399" s="6"/>
      <c r="J1399" s="6">
        <v>8</v>
      </c>
      <c r="K1399" s="6">
        <v>8</v>
      </c>
      <c r="L1399" s="6">
        <v>6</v>
      </c>
      <c r="M1399" s="6"/>
      <c r="N1399" s="6">
        <v>8</v>
      </c>
      <c r="O1399" s="6"/>
      <c r="P1399" s="6">
        <v>8</v>
      </c>
      <c r="Q1399" s="6">
        <v>8</v>
      </c>
      <c r="R1399" s="6"/>
      <c r="S1399" s="35">
        <f>SUM(F1399:R1399)</f>
        <v>62</v>
      </c>
      <c r="T1399" s="35">
        <f>COUNT(F1399:R1399)</f>
        <v>8</v>
      </c>
      <c r="U1399" s="36">
        <f>IF(T1399&gt;=2,ROUND((IF(T1399=2,0.55,IF(T1399&lt;=4,0.7,IF(T1399&lt;=6,0.8,IF(T1399&lt;=9,0.9,1))))*(S1399/T1399)+(1-(IF(T1399=2,0.55,IF(T1399&lt;=4,0.7,IF(T1399&lt;=6,0.8,IF(T1399&lt;=9,0.9,1))))))*$Y$1),1),"")</f>
        <v>7.8</v>
      </c>
      <c r="V1399" s="37">
        <v>7.6</v>
      </c>
      <c r="W1399" s="38"/>
    </row>
    <row r="1400" ht="24" customHeight="1" spans="1:23" s="39" customFormat="1" x14ac:dyDescent="0.25">
      <c r="A1400" s="31">
        <v>1740</v>
      </c>
      <c r="B1400" s="32" t="s">
        <v>1499</v>
      </c>
      <c r="C1400" s="33" t="s">
        <v>29</v>
      </c>
      <c r="D1400" s="34">
        <v>2021</v>
      </c>
      <c r="E1400" s="34" t="s">
        <v>30</v>
      </c>
      <c r="F1400" s="6">
        <v>8</v>
      </c>
      <c r="G1400" s="6"/>
      <c r="H1400" s="6">
        <v>9</v>
      </c>
      <c r="I1400" s="6"/>
      <c r="J1400" s="6"/>
      <c r="K1400" s="6"/>
      <c r="L1400" s="6">
        <v>9</v>
      </c>
      <c r="M1400" s="6"/>
      <c r="N1400" s="6"/>
      <c r="O1400" s="6"/>
      <c r="P1400" s="6"/>
      <c r="Q1400" s="6"/>
      <c r="R1400" s="6"/>
      <c r="S1400" s="35">
        <f>SUM(F1400:R1400)</f>
        <v>26</v>
      </c>
      <c r="T1400" s="35">
        <f>COUNT(F1400:R1400)</f>
        <v>3</v>
      </c>
      <c r="U1400" s="36">
        <f>IF(T1400&gt;=2,ROUND((IF(T1400=2,0.55,IF(T1400&lt;=4,0.7,IF(T1400&lt;=6,0.8,IF(T1400&lt;=9,0.9,1))))*(S1400/T1400)+(1-(IF(T1400=2,0.55,IF(T1400&lt;=4,0.7,IF(T1400&lt;=6,0.8,IF(T1400&lt;=9,0.9,1))))))*$Y$1),1),"")</f>
        <v>8.5</v>
      </c>
      <c r="V1400" s="37">
        <v>7.1</v>
      </c>
      <c r="W1400" s="38"/>
    </row>
    <row r="1401" ht="24" customHeight="1" spans="1:23" x14ac:dyDescent="0.25">
      <c r="A1401" s="31">
        <v>1386</v>
      </c>
      <c r="B1401" s="32" t="s">
        <v>1500</v>
      </c>
      <c r="C1401" s="33" t="s">
        <v>24</v>
      </c>
      <c r="D1401" s="34">
        <v>2020</v>
      </c>
      <c r="E1401" s="34" t="s">
        <v>1501</v>
      </c>
      <c r="F1401" s="6"/>
      <c r="G1401" s="6"/>
      <c r="H1401" s="6"/>
      <c r="I1401" s="6"/>
      <c r="J1401" s="6"/>
      <c r="K1401" s="6"/>
      <c r="L1401" s="6"/>
      <c r="M1401" s="6"/>
      <c r="N1401" s="6"/>
      <c r="O1401" s="6">
        <v>8</v>
      </c>
      <c r="P1401" s="6"/>
      <c r="Q1401" s="6"/>
      <c r="R1401" s="6"/>
      <c r="S1401" s="35">
        <f>SUM(F1401:R1401)</f>
        <v>8</v>
      </c>
      <c r="T1401" s="35">
        <f>COUNT(F1401:R1401)</f>
        <v>1</v>
      </c>
      <c r="U1401" s="36">
        <f>IF(T1401&gt;=2,ROUND((IF(T1401=2,0.55,IF(T1401&lt;=4,0.7,IF(T1401&lt;=6,0.8,IF(T1401&lt;=9,0.9,1))))*(S1401/T1401)+(1-(IF(T1401=2,0.55,IF(T1401&lt;=4,0.7,IF(T1401&lt;=6,0.8,IF(T1401&lt;=9,0.9,1))))))*$Y$1),1),"")</f>
      </c>
      <c r="V1401" s="37">
        <v>6.4</v>
      </c>
      <c r="W1401" s="38"/>
    </row>
    <row r="1402" ht="24" customHeight="1" spans="1:23" x14ac:dyDescent="0.25">
      <c r="A1402" s="47">
        <v>1515</v>
      </c>
      <c r="B1402" s="32" t="s">
        <v>1502</v>
      </c>
      <c r="C1402" s="48" t="s">
        <v>24</v>
      </c>
      <c r="D1402" s="49">
        <v>2001</v>
      </c>
      <c r="E1402" s="49" t="s">
        <v>25</v>
      </c>
      <c r="F1402" s="6">
        <v>8</v>
      </c>
      <c r="G1402" s="6">
        <v>8</v>
      </c>
      <c r="H1402" s="6">
        <v>8</v>
      </c>
      <c r="I1402" s="6">
        <v>8</v>
      </c>
      <c r="J1402" s="6">
        <v>8</v>
      </c>
      <c r="K1402" s="6"/>
      <c r="L1402" s="6"/>
      <c r="M1402" s="6">
        <v>7</v>
      </c>
      <c r="N1402" s="6">
        <v>7</v>
      </c>
      <c r="O1402" s="6">
        <v>7</v>
      </c>
      <c r="P1402" s="6">
        <v>9</v>
      </c>
      <c r="Q1402" s="6"/>
      <c r="R1402" s="6"/>
      <c r="S1402" s="50">
        <f>SUM(F1402:R1402)</f>
        <v>70</v>
      </c>
      <c r="T1402" s="50">
        <f>COUNT(F1402:R1402)</f>
        <v>9</v>
      </c>
      <c r="U1402" s="36">
        <f>IF(T1402&gt;=2,ROUND((IF(T1402=2,0.55,IF(T1402&lt;=4,0.7,IF(T1402&lt;=6,0.8,IF(T1402&lt;=9,0.9,1))))*(S1402/T1402)+(1-(IF(T1402=2,0.55,IF(T1402&lt;=4,0.7,IF(T1402&lt;=6,0.8,IF(T1402&lt;=9,0.9,1))))))*$Y$1),1),"")</f>
        <v>7.8</v>
      </c>
      <c r="V1402" s="37">
        <v>7.4</v>
      </c>
      <c r="W1402" s="38" t="s">
        <v>44</v>
      </c>
    </row>
    <row r="1403" ht="24" customHeight="1" spans="1:23" x14ac:dyDescent="0.25">
      <c r="A1403" s="31">
        <v>1852</v>
      </c>
      <c r="B1403" s="32" t="s">
        <v>1503</v>
      </c>
      <c r="C1403" s="33" t="s">
        <v>24</v>
      </c>
      <c r="D1403" s="34">
        <v>2022</v>
      </c>
      <c r="E1403" s="34" t="s">
        <v>25</v>
      </c>
      <c r="F1403" s="6"/>
      <c r="G1403" s="6">
        <v>6</v>
      </c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35">
        <f>SUM(F1403:R1403)</f>
        <v>6</v>
      </c>
      <c r="T1403" s="35">
        <f>COUNT(F1403:R1403)</f>
        <v>1</v>
      </c>
      <c r="U1403" s="36">
        <f>IF(T1403&gt;=2,ROUND((IF(T1403=2,0.55,IF(T1403&lt;=4,0.7,IF(T1403&lt;=6,0.8,IF(T1403&lt;=9,0.9,1))))*(S1403/T1403)+(1-(IF(T1403=2,0.55,IF(T1403&lt;=4,0.7,IF(T1403&lt;=6,0.8,IF(T1403&lt;=9,0.9,1))))))*$Y$1),1),"")</f>
      </c>
      <c r="V1403" s="37">
        <v>6.9</v>
      </c>
      <c r="W1403" s="38"/>
    </row>
    <row r="1404" ht="24" customHeight="1" spans="1:23" x14ac:dyDescent="0.25">
      <c r="A1404" s="31">
        <v>689</v>
      </c>
      <c r="B1404" s="32" t="s">
        <v>1504</v>
      </c>
      <c r="C1404" s="33" t="s">
        <v>24</v>
      </c>
      <c r="D1404" s="34">
        <v>2017</v>
      </c>
      <c r="E1404" s="34" t="s">
        <v>1505</v>
      </c>
      <c r="F1404" s="6"/>
      <c r="G1404" s="6"/>
      <c r="H1404" s="6"/>
      <c r="I1404" s="6"/>
      <c r="J1404" s="6">
        <v>8</v>
      </c>
      <c r="K1404" s="6">
        <v>10</v>
      </c>
      <c r="L1404" s="6">
        <v>8</v>
      </c>
      <c r="M1404" s="6">
        <v>8</v>
      </c>
      <c r="N1404" s="6">
        <v>8</v>
      </c>
      <c r="O1404" s="6"/>
      <c r="P1404" s="6"/>
      <c r="Q1404" s="6">
        <v>10</v>
      </c>
      <c r="R1404" s="6"/>
      <c r="S1404" s="35">
        <f>SUM(F1404:R1404)</f>
        <v>52</v>
      </c>
      <c r="T1404" s="35">
        <f>COUNT(F1404:R1404)</f>
        <v>6</v>
      </c>
      <c r="U1404" s="36">
        <f>IF(T1404&gt;=2,ROUND((IF(T1404=2,0.55,IF(T1404&lt;=4,0.7,IF(T1404&lt;=6,0.8,IF(T1404&lt;=9,0.9,1))))*(S1404/T1404)+(1-(IF(T1404=2,0.55,IF(T1404&lt;=4,0.7,IF(T1404&lt;=6,0.8,IF(T1404&lt;=9,0.9,1))))))*$Y$1),1),"")</f>
        <v>8.6</v>
      </c>
      <c r="V1404" s="37">
        <v>7.6</v>
      </c>
      <c r="W1404" s="38"/>
    </row>
    <row r="1405" ht="24" customHeight="1" spans="1:23" x14ac:dyDescent="0.25">
      <c r="A1405" s="47">
        <v>54</v>
      </c>
      <c r="B1405" s="32" t="s">
        <v>1506</v>
      </c>
      <c r="C1405" s="48" t="s">
        <v>24</v>
      </c>
      <c r="D1405" s="49">
        <v>2019</v>
      </c>
      <c r="E1405" s="49" t="s">
        <v>27</v>
      </c>
      <c r="F1405" s="6">
        <v>8</v>
      </c>
      <c r="G1405" s="6">
        <v>10</v>
      </c>
      <c r="H1405" s="6">
        <v>8</v>
      </c>
      <c r="I1405" s="6">
        <v>10</v>
      </c>
      <c r="J1405" s="6">
        <v>10</v>
      </c>
      <c r="K1405" s="6">
        <v>10</v>
      </c>
      <c r="L1405" s="6">
        <v>8</v>
      </c>
      <c r="M1405" s="6">
        <v>10</v>
      </c>
      <c r="N1405" s="6">
        <v>10</v>
      </c>
      <c r="O1405" s="6">
        <v>10</v>
      </c>
      <c r="P1405" s="6">
        <v>8</v>
      </c>
      <c r="Q1405" s="6">
        <v>10</v>
      </c>
      <c r="R1405" s="6">
        <v>6</v>
      </c>
      <c r="S1405" s="50">
        <f>SUM(F1405:R1405)</f>
        <v>118</v>
      </c>
      <c r="T1405" s="50">
        <f>COUNT(F1405:R1405)</f>
        <v>13</v>
      </c>
      <c r="U1405" s="36">
        <f>IF(T1405&gt;=2,ROUND((IF(T1405=2,0.55,IF(T1405&lt;=4,0.7,IF(T1405&lt;=6,0.8,IF(T1405&lt;=9,0.9,1))))*(S1405/T1405)+(1-(IF(T1405=2,0.55,IF(T1405&lt;=4,0.7,IF(T1405&lt;=6,0.8,IF(T1405&lt;=9,0.9,1))))))*$Y$1),1),"")</f>
        <v>9.1</v>
      </c>
      <c r="V1405" s="37">
        <v>7.9</v>
      </c>
      <c r="W1405" s="38" t="s">
        <v>44</v>
      </c>
    </row>
    <row r="1406" ht="24" customHeight="1" spans="1:23" s="39" customFormat="1" x14ac:dyDescent="0.25">
      <c r="A1406" s="31">
        <v>103</v>
      </c>
      <c r="B1406" s="32" t="s">
        <v>1507</v>
      </c>
      <c r="C1406" s="33" t="s">
        <v>24</v>
      </c>
      <c r="D1406" s="34">
        <v>1985</v>
      </c>
      <c r="E1406" s="34" t="s">
        <v>179</v>
      </c>
      <c r="F1406" s="6">
        <v>8</v>
      </c>
      <c r="G1406" s="6"/>
      <c r="H1406" s="6">
        <v>8</v>
      </c>
      <c r="I1406" s="6"/>
      <c r="J1406" s="6">
        <v>10</v>
      </c>
      <c r="K1406" s="6">
        <v>10</v>
      </c>
      <c r="L1406" s="6">
        <v>10</v>
      </c>
      <c r="M1406" s="6"/>
      <c r="N1406" s="6"/>
      <c r="O1406" s="6"/>
      <c r="P1406" s="6">
        <v>8</v>
      </c>
      <c r="Q1406" s="6">
        <v>10</v>
      </c>
      <c r="R1406" s="6"/>
      <c r="S1406" s="35">
        <f>SUM(F1406:R1406)</f>
        <v>64</v>
      </c>
      <c r="T1406" s="35">
        <f>COUNT(F1406:R1406)</f>
        <v>7</v>
      </c>
      <c r="U1406" s="36">
        <f>IF(T1406&gt;=2,ROUND((IF(T1406=2,0.55,IF(T1406&lt;=4,0.7,IF(T1406&lt;=6,0.8,IF(T1406&lt;=9,0.9,1))))*(S1406/T1406)+(1-(IF(T1406=2,0.55,IF(T1406&lt;=4,0.7,IF(T1406&lt;=6,0.8,IF(T1406&lt;=9,0.9,1))))))*$Y$1),1),"")</f>
        <v>9</v>
      </c>
      <c r="V1406" s="37">
        <v>7.2</v>
      </c>
      <c r="W1406" s="38"/>
    </row>
    <row r="1407" ht="47.25" customHeight="1" spans="1:23" x14ac:dyDescent="0.25">
      <c r="A1407" s="31">
        <v>53</v>
      </c>
      <c r="B1407" s="32" t="s">
        <v>1508</v>
      </c>
      <c r="C1407" s="33" t="s">
        <v>24</v>
      </c>
      <c r="D1407" s="34">
        <v>1995</v>
      </c>
      <c r="E1407" s="34" t="s">
        <v>30</v>
      </c>
      <c r="F1407" s="6"/>
      <c r="G1407" s="6"/>
      <c r="H1407" s="6"/>
      <c r="I1407" s="6"/>
      <c r="J1407" s="6"/>
      <c r="K1407" s="6">
        <v>8</v>
      </c>
      <c r="L1407" s="6">
        <v>8</v>
      </c>
      <c r="M1407" s="6">
        <v>10</v>
      </c>
      <c r="N1407" s="6">
        <v>10</v>
      </c>
      <c r="O1407" s="6"/>
      <c r="P1407" s="6"/>
      <c r="Q1407" s="6">
        <v>8</v>
      </c>
      <c r="R1407" s="6"/>
      <c r="S1407" s="35">
        <f>SUM(F1407:R1407)</f>
        <v>44</v>
      </c>
      <c r="T1407" s="35">
        <f>COUNT(F1407:R1407)</f>
        <v>5</v>
      </c>
      <c r="U1407" s="36">
        <f>IF(T1407&gt;=2,ROUND((IF(T1407=2,0.55,IF(T1407&lt;=4,0.7,IF(T1407&lt;=6,0.8,IF(T1407&lt;=9,0.9,1))))*(S1407/T1407)+(1-(IF(T1407=2,0.55,IF(T1407&lt;=4,0.7,IF(T1407&lt;=6,0.8,IF(T1407&lt;=9,0.9,1))))))*$Y$1),1),"")</f>
        <v>8.7</v>
      </c>
      <c r="V1407" s="37">
        <v>6.8</v>
      </c>
      <c r="W1407" s="38"/>
    </row>
    <row r="1408" ht="24" customHeight="1" spans="1:23" x14ac:dyDescent="0.25">
      <c r="A1408" s="31">
        <v>773</v>
      </c>
      <c r="B1408" s="32" t="s">
        <v>1509</v>
      </c>
      <c r="C1408" s="33" t="s">
        <v>24</v>
      </c>
      <c r="D1408" s="34">
        <v>2020</v>
      </c>
      <c r="E1408" s="34" t="s">
        <v>30</v>
      </c>
      <c r="F1408" s="6"/>
      <c r="G1408" s="6"/>
      <c r="H1408" s="6"/>
      <c r="I1408" s="6"/>
      <c r="J1408" s="6">
        <v>6</v>
      </c>
      <c r="K1408" s="6"/>
      <c r="L1408" s="6"/>
      <c r="M1408" s="6"/>
      <c r="N1408" s="6"/>
      <c r="O1408" s="6"/>
      <c r="P1408" s="6"/>
      <c r="Q1408" s="6"/>
      <c r="R1408" s="6"/>
      <c r="S1408" s="35">
        <f>SUM(F1408:R1408)</f>
        <v>6</v>
      </c>
      <c r="T1408" s="35">
        <f>COUNT(F1408:R1408)</f>
        <v>1</v>
      </c>
      <c r="U1408" s="36">
        <f>IF(T1408&gt;=2,ROUND((IF(T1408=2,0.55,IF(T1408&lt;=4,0.7,IF(T1408&lt;=6,0.8,IF(T1408&lt;=9,0.9,1))))*(S1408/T1408)+(1-(IF(T1408=2,0.55,IF(T1408&lt;=4,0.7,IF(T1408&lt;=6,0.8,IF(T1408&lt;=9,0.9,1))))))*$Y$1),1),"")</f>
      </c>
      <c r="V1408" s="37">
        <v>6.7</v>
      </c>
      <c r="W1408" s="38"/>
    </row>
    <row r="1409" ht="24" customHeight="1" spans="1:23" x14ac:dyDescent="0.25">
      <c r="A1409" s="31">
        <v>1747</v>
      </c>
      <c r="B1409" s="32" t="s">
        <v>1510</v>
      </c>
      <c r="C1409" s="33" t="s">
        <v>260</v>
      </c>
      <c r="D1409" s="34">
        <v>2023</v>
      </c>
      <c r="E1409" s="34" t="s">
        <v>30</v>
      </c>
      <c r="F1409" s="6">
        <v>7</v>
      </c>
      <c r="G1409" s="6"/>
      <c r="H1409" s="6">
        <v>8</v>
      </c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35">
        <f>SUM(F1409:R1409)</f>
        <v>15</v>
      </c>
      <c r="T1409" s="35">
        <f>COUNT(F1409:R1409)</f>
        <v>2</v>
      </c>
      <c r="U1409" s="36">
        <f>IF(T1409&gt;=2,ROUND((IF(T1409=2,0.55,IF(T1409&lt;=4,0.7,IF(T1409&lt;=6,0.8,IF(T1409&lt;=9,0.9,1))))*(S1409/T1409)+(1-(IF(T1409=2,0.55,IF(T1409&lt;=4,0.7,IF(T1409&lt;=6,0.8,IF(T1409&lt;=9,0.9,1))))))*$Y$1),1),"")</f>
        <v>7.8</v>
      </c>
      <c r="V1409" s="37">
        <v>6.9</v>
      </c>
      <c r="W1409" s="38"/>
    </row>
    <row r="1410" ht="24" customHeight="1" spans="1:23" s="39" customFormat="1" x14ac:dyDescent="0.25">
      <c r="A1410" s="31">
        <v>530</v>
      </c>
      <c r="B1410" s="32" t="s">
        <v>1511</v>
      </c>
      <c r="C1410" s="33" t="s">
        <v>24</v>
      </c>
      <c r="D1410" s="34">
        <v>1971</v>
      </c>
      <c r="E1410" s="34" t="s">
        <v>92</v>
      </c>
      <c r="F1410" s="6"/>
      <c r="G1410" s="6"/>
      <c r="H1410" s="6"/>
      <c r="I1410" s="6"/>
      <c r="J1410" s="6"/>
      <c r="K1410" s="6"/>
      <c r="L1410" s="6"/>
      <c r="M1410" s="6">
        <v>6</v>
      </c>
      <c r="N1410" s="6">
        <v>6</v>
      </c>
      <c r="O1410" s="6"/>
      <c r="P1410" s="6"/>
      <c r="Q1410" s="6"/>
      <c r="R1410" s="6"/>
      <c r="S1410" s="35">
        <f>SUM(F1410:R1410)</f>
        <v>12</v>
      </c>
      <c r="T1410" s="35">
        <f>COUNT(F1410:R1410)</f>
        <v>2</v>
      </c>
      <c r="U1410" s="36">
        <f>IF(T1410&gt;=2,ROUND((IF(T1410=2,0.55,IF(T1410&lt;=4,0.7,IF(T1410&lt;=6,0.8,IF(T1410&lt;=9,0.9,1))))*(S1410/T1410)+(1-(IF(T1410=2,0.55,IF(T1410&lt;=4,0.7,IF(T1410&lt;=6,0.8,IF(T1410&lt;=9,0.9,1))))))*$Y$1),1),"")</f>
        <v>6.9</v>
      </c>
      <c r="V1410" s="37">
        <v>7.6</v>
      </c>
      <c r="W1410" s="38"/>
    </row>
    <row r="1411" ht="24" customHeight="1" spans="1:23" x14ac:dyDescent="0.25">
      <c r="A1411" s="47">
        <v>428</v>
      </c>
      <c r="B1411" s="32" t="s">
        <v>1512</v>
      </c>
      <c r="C1411" s="48" t="s">
        <v>24</v>
      </c>
      <c r="D1411" s="49">
        <v>2003</v>
      </c>
      <c r="E1411" s="49" t="s">
        <v>118</v>
      </c>
      <c r="F1411" s="6">
        <v>8</v>
      </c>
      <c r="G1411" s="6">
        <v>8</v>
      </c>
      <c r="H1411" s="6">
        <v>8</v>
      </c>
      <c r="I1411" s="6">
        <v>6</v>
      </c>
      <c r="J1411" s="6">
        <v>8</v>
      </c>
      <c r="K1411" s="6">
        <v>8</v>
      </c>
      <c r="L1411" s="6">
        <v>8</v>
      </c>
      <c r="M1411" s="6">
        <v>8</v>
      </c>
      <c r="N1411" s="6">
        <v>8</v>
      </c>
      <c r="O1411" s="6"/>
      <c r="P1411" s="6">
        <v>8</v>
      </c>
      <c r="Q1411" s="6">
        <v>8</v>
      </c>
      <c r="R1411" s="6"/>
      <c r="S1411" s="50">
        <f>SUM(F1411:R1411)</f>
        <v>86</v>
      </c>
      <c r="T1411" s="50">
        <f>COUNT(F1411:R1411)</f>
        <v>11</v>
      </c>
      <c r="U1411" s="36">
        <f>IF(T1411&gt;=2,ROUND((IF(T1411=2,0.55,IF(T1411&lt;=4,0.7,IF(T1411&lt;=6,0.8,IF(T1411&lt;=9,0.9,1))))*(S1411/T1411)+(1-(IF(T1411=2,0.55,IF(T1411&lt;=4,0.7,IF(T1411&lt;=6,0.8,IF(T1411&lt;=9,0.9,1))))))*$Y$1),1),"")</f>
        <v>7.8</v>
      </c>
      <c r="V1411" s="37">
        <v>7.7</v>
      </c>
      <c r="W1411" s="38" t="s">
        <v>44</v>
      </c>
    </row>
    <row r="1412" ht="24" customHeight="1" spans="1:23" x14ac:dyDescent="0.25">
      <c r="A1412" s="31">
        <v>52</v>
      </c>
      <c r="B1412" s="32" t="s">
        <v>1513</v>
      </c>
      <c r="C1412" s="33" t="s">
        <v>24</v>
      </c>
      <c r="D1412" s="34">
        <v>2014</v>
      </c>
      <c r="E1412" s="34" t="s">
        <v>244</v>
      </c>
      <c r="F1412" s="6"/>
      <c r="G1412" s="6"/>
      <c r="H1412" s="6">
        <v>6</v>
      </c>
      <c r="I1412" s="6"/>
      <c r="J1412" s="6">
        <v>10</v>
      </c>
      <c r="K1412" s="6">
        <v>8</v>
      </c>
      <c r="L1412" s="6"/>
      <c r="M1412" s="6"/>
      <c r="N1412" s="6"/>
      <c r="O1412" s="6">
        <v>8</v>
      </c>
      <c r="P1412" s="6"/>
      <c r="Q1412" s="6">
        <v>8</v>
      </c>
      <c r="R1412" s="6"/>
      <c r="S1412" s="35">
        <f>SUM(F1412:R1412)</f>
        <v>40</v>
      </c>
      <c r="T1412" s="35">
        <f>COUNT(F1412:R1412)</f>
        <v>5</v>
      </c>
      <c r="U1412" s="36">
        <f>IF(T1412&gt;=2,ROUND((IF(T1412=2,0.55,IF(T1412&lt;=4,0.7,IF(T1412&lt;=6,0.8,IF(T1412&lt;=9,0.9,1))))*(S1412/T1412)+(1-(IF(T1412=2,0.55,IF(T1412&lt;=4,0.7,IF(T1412&lt;=6,0.8,IF(T1412&lt;=9,0.9,1))))))*$Y$1),1),"")</f>
        <v>8</v>
      </c>
      <c r="V1412" s="37">
        <v>7.1</v>
      </c>
      <c r="W1412" s="38"/>
    </row>
    <row r="1413" ht="24" customHeight="1" spans="1:23" x14ac:dyDescent="0.25">
      <c r="A1413" s="47">
        <v>51</v>
      </c>
      <c r="B1413" s="32" t="s">
        <v>1513</v>
      </c>
      <c r="C1413" s="48" t="s">
        <v>24</v>
      </c>
      <c r="D1413" s="49">
        <v>1998</v>
      </c>
      <c r="E1413" s="49" t="s">
        <v>30</v>
      </c>
      <c r="F1413" s="6">
        <v>8</v>
      </c>
      <c r="G1413" s="6">
        <v>8</v>
      </c>
      <c r="H1413" s="6">
        <v>8</v>
      </c>
      <c r="I1413" s="6">
        <v>10</v>
      </c>
      <c r="J1413" s="6">
        <v>8</v>
      </c>
      <c r="K1413" s="6">
        <v>10</v>
      </c>
      <c r="L1413" s="6">
        <v>8</v>
      </c>
      <c r="M1413" s="6">
        <v>10</v>
      </c>
      <c r="N1413" s="6">
        <v>10</v>
      </c>
      <c r="O1413" s="6"/>
      <c r="P1413" s="6">
        <v>8</v>
      </c>
      <c r="Q1413" s="6">
        <v>10</v>
      </c>
      <c r="R1413" s="6">
        <v>8</v>
      </c>
      <c r="S1413" s="50">
        <f>SUM(F1413:R1413)</f>
        <v>106</v>
      </c>
      <c r="T1413" s="50">
        <f>COUNT(F1413:R1413)</f>
        <v>12</v>
      </c>
      <c r="U1413" s="36">
        <f>IF(T1413&gt;=2,ROUND((IF(T1413=2,0.55,IF(T1413&lt;=4,0.7,IF(T1413&lt;=6,0.8,IF(T1413&lt;=9,0.9,1))))*(S1413/T1413)+(1-(IF(T1413=2,0.55,IF(T1413&lt;=4,0.7,IF(T1413&lt;=6,0.8,IF(T1413&lt;=9,0.9,1))))))*$Y$1),1),"")</f>
        <v>8.8</v>
      </c>
      <c r="V1413" s="37">
        <v>7.2</v>
      </c>
      <c r="W1413" s="38" t="s">
        <v>44</v>
      </c>
    </row>
    <row r="1414" ht="24" customHeight="1" spans="1:23" x14ac:dyDescent="0.25">
      <c r="A1414" s="31">
        <v>1976</v>
      </c>
      <c r="B1414" s="32" t="s">
        <v>1514</v>
      </c>
      <c r="C1414" s="33" t="s">
        <v>24</v>
      </c>
      <c r="D1414" s="34">
        <v>2002</v>
      </c>
      <c r="E1414" s="34" t="s">
        <v>30</v>
      </c>
      <c r="F1414" s="6"/>
      <c r="G1414" s="6"/>
      <c r="H1414" s="6"/>
      <c r="I1414" s="6"/>
      <c r="J1414" s="6"/>
      <c r="K1414" s="6"/>
      <c r="L1414" s="6"/>
      <c r="M1414" s="6"/>
      <c r="N1414" s="6"/>
      <c r="O1414" s="6">
        <v>8</v>
      </c>
      <c r="P1414" s="6"/>
      <c r="Q1414" s="6"/>
      <c r="R1414" s="6"/>
      <c r="S1414" s="35">
        <f>SUM(F1414:R1414)</f>
        <v>8</v>
      </c>
      <c r="T1414" s="35">
        <f>COUNT(F1414:R1414)</f>
        <v>1</v>
      </c>
      <c r="U1414" s="36">
        <f>IF(T1414&gt;=2,ROUND((IF(T1414=2,0.55,IF(T1414&lt;=4,0.7,IF(T1414&lt;=6,0.8,IF(T1414&lt;=9,0.9,1))))*(S1414/T1414)+(1-(IF(T1414=2,0.55,IF(T1414&lt;=4,0.7,IF(T1414&lt;=6,0.8,IF(T1414&lt;=9,0.9,1))))))*$Y$1),1),"")</f>
      </c>
      <c r="V1414" s="37">
        <v>5.4</v>
      </c>
      <c r="W1414" s="38"/>
    </row>
    <row r="1415" ht="24" customHeight="1" spans="1:23" x14ac:dyDescent="0.25">
      <c r="A1415" s="31">
        <v>2501</v>
      </c>
      <c r="B1415" s="32" t="s">
        <v>1515</v>
      </c>
      <c r="C1415" s="33" t="s">
        <v>24</v>
      </c>
      <c r="D1415" s="34">
        <v>2000</v>
      </c>
      <c r="E1415" s="34"/>
      <c r="F1415" s="6">
        <v>8</v>
      </c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35">
        <f>SUM(F1415:R1415)</f>
        <v>8</v>
      </c>
      <c r="T1415" s="35">
        <f>COUNT(F1415:R1415)</f>
        <v>1</v>
      </c>
      <c r="U1415" s="36">
        <f>IF(T1415&gt;=2,ROUND((IF(T1415=2,0.55,IF(T1415&lt;=4,0.7,IF(T1415&lt;=6,0.8,IF(T1415&lt;=9,0.9,1))))*(S1415/T1415)+(1-(IF(T1415=2,0.55,IF(T1415&lt;=4,0.7,IF(T1415&lt;=6,0.8,IF(T1415&lt;=9,0.9,1))))))*$Y$1),1),"")</f>
      </c>
      <c r="V1415" s="37">
        <v>7.3</v>
      </c>
      <c r="W1415" s="38"/>
    </row>
    <row r="1416" ht="24" customHeight="1" spans="1:23" x14ac:dyDescent="0.25">
      <c r="A1416" s="31">
        <v>1214</v>
      </c>
      <c r="B1416" s="32" t="s">
        <v>1516</v>
      </c>
      <c r="C1416" s="33" t="s">
        <v>24</v>
      </c>
      <c r="D1416" s="34">
        <v>2021</v>
      </c>
      <c r="E1416" s="34" t="s">
        <v>1517</v>
      </c>
      <c r="F1416" s="6"/>
      <c r="G1416" s="6"/>
      <c r="H1416" s="6"/>
      <c r="I1416" s="6"/>
      <c r="J1416" s="6"/>
      <c r="K1416" s="6">
        <v>8</v>
      </c>
      <c r="L1416" s="6"/>
      <c r="M1416" s="6"/>
      <c r="N1416" s="6"/>
      <c r="O1416" s="6"/>
      <c r="P1416" s="6">
        <v>10</v>
      </c>
      <c r="Q1416" s="6">
        <v>8</v>
      </c>
      <c r="R1416" s="6"/>
      <c r="S1416" s="35">
        <f>SUM(F1416:R1416)</f>
        <v>26</v>
      </c>
      <c r="T1416" s="35">
        <f>COUNT(F1416:R1416)</f>
        <v>3</v>
      </c>
      <c r="U1416" s="36">
        <f>IF(T1416&gt;=2,ROUND((IF(T1416=2,0.55,IF(T1416&lt;=4,0.7,IF(T1416&lt;=6,0.8,IF(T1416&lt;=9,0.9,1))))*(S1416/T1416)+(1-(IF(T1416=2,0.55,IF(T1416&lt;=4,0.7,IF(T1416&lt;=6,0.8,IF(T1416&lt;=9,0.9,1))))))*$Y$1),1),"")</f>
        <v>8.5</v>
      </c>
      <c r="V1416" s="37">
        <v>7.2</v>
      </c>
      <c r="W1416" s="38"/>
    </row>
    <row r="1417" ht="24" customHeight="1" spans="1:23" x14ac:dyDescent="0.25">
      <c r="A1417" s="31">
        <v>740</v>
      </c>
      <c r="B1417" s="32" t="s">
        <v>1518</v>
      </c>
      <c r="C1417" s="33" t="s">
        <v>29</v>
      </c>
      <c r="D1417" s="34">
        <v>2020</v>
      </c>
      <c r="E1417" s="34" t="s">
        <v>30</v>
      </c>
      <c r="F1417" s="6">
        <v>7</v>
      </c>
      <c r="G1417" s="6"/>
      <c r="H1417" s="6">
        <v>8</v>
      </c>
      <c r="I1417" s="6">
        <v>8</v>
      </c>
      <c r="J1417" s="6">
        <v>8</v>
      </c>
      <c r="K1417" s="6">
        <v>8</v>
      </c>
      <c r="L1417" s="6"/>
      <c r="M1417" s="6">
        <v>8</v>
      </c>
      <c r="N1417" s="6">
        <v>8</v>
      </c>
      <c r="O1417" s="6">
        <v>8</v>
      </c>
      <c r="P1417" s="6">
        <v>6</v>
      </c>
      <c r="Q1417" s="6">
        <v>8</v>
      </c>
      <c r="R1417" s="6"/>
      <c r="S1417" s="35">
        <f>SUM(F1417:R1417)</f>
        <v>77</v>
      </c>
      <c r="T1417" s="35">
        <f>COUNT(F1417:R1417)</f>
        <v>10</v>
      </c>
      <c r="U1417" s="36">
        <f>IF(T1417&gt;=2,ROUND((IF(T1417=2,0.55,IF(T1417&lt;=4,0.7,IF(T1417&lt;=6,0.8,IF(T1417&lt;=9,0.9,1))))*(S1417/T1417)+(1-(IF(T1417=2,0.55,IF(T1417&lt;=4,0.7,IF(T1417&lt;=6,0.8,IF(T1417&lt;=9,0.9,1))))))*$Y$1),1),"")</f>
        <v>7.7</v>
      </c>
      <c r="V1417" s="37">
        <v>6.8</v>
      </c>
      <c r="W1417" s="38"/>
    </row>
    <row r="1418" ht="24" customHeight="1" spans="1:23" x14ac:dyDescent="0.25">
      <c r="A1418" s="31">
        <v>1488</v>
      </c>
      <c r="B1418" s="32" t="s">
        <v>1519</v>
      </c>
      <c r="C1418" s="33" t="s">
        <v>24</v>
      </c>
      <c r="D1418" s="34">
        <v>2022</v>
      </c>
      <c r="E1418" s="34" t="s">
        <v>141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>
        <v>6</v>
      </c>
      <c r="P1418" s="6"/>
      <c r="Q1418" s="6"/>
      <c r="R1418" s="6"/>
      <c r="S1418" s="35">
        <f>SUM(F1418:R1418)</f>
        <v>6</v>
      </c>
      <c r="T1418" s="35">
        <f>COUNT(F1418:R1418)</f>
        <v>1</v>
      </c>
      <c r="U1418" s="36">
        <f>IF(T1418&gt;=2,ROUND((IF(T1418=2,0.55,IF(T1418&lt;=4,0.7,IF(T1418&lt;=6,0.8,IF(T1418&lt;=9,0.9,1))))*(S1418/T1418)+(1-(IF(T1418=2,0.55,IF(T1418&lt;=4,0.7,IF(T1418&lt;=6,0.8,IF(T1418&lt;=9,0.9,1))))))*$Y$1),1),"")</f>
      </c>
      <c r="V1418" s="37">
        <v>6.8</v>
      </c>
      <c r="W1418" s="38"/>
    </row>
    <row r="1419" ht="47.25" customHeight="1" spans="1:23" x14ac:dyDescent="0.25">
      <c r="A1419" s="31">
        <v>1961</v>
      </c>
      <c r="B1419" s="32" t="s">
        <v>1520</v>
      </c>
      <c r="C1419" s="33" t="s">
        <v>24</v>
      </c>
      <c r="D1419" s="34">
        <v>2024</v>
      </c>
      <c r="E1419" s="34" t="s">
        <v>25</v>
      </c>
      <c r="F1419" s="6">
        <v>8</v>
      </c>
      <c r="G1419" s="6">
        <v>6</v>
      </c>
      <c r="H1419" s="6">
        <v>8</v>
      </c>
      <c r="I1419" s="6"/>
      <c r="J1419" s="6">
        <v>6</v>
      </c>
      <c r="K1419" s="6">
        <v>8</v>
      </c>
      <c r="L1419" s="6">
        <v>7</v>
      </c>
      <c r="M1419" s="6"/>
      <c r="N1419" s="6">
        <v>6</v>
      </c>
      <c r="O1419" s="6">
        <v>8</v>
      </c>
      <c r="P1419" s="6">
        <v>8</v>
      </c>
      <c r="Q1419" s="6">
        <v>8</v>
      </c>
      <c r="R1419" s="6"/>
      <c r="S1419" s="35">
        <f>SUM(F1419:R1419)</f>
        <v>73</v>
      </c>
      <c r="T1419" s="35">
        <f>COUNT(F1419:R1419)</f>
        <v>10</v>
      </c>
      <c r="U1419" s="36">
        <f>IF(T1419&gt;=2,ROUND((IF(T1419=2,0.55,IF(T1419&lt;=4,0.7,IF(T1419&lt;=6,0.8,IF(T1419&lt;=9,0.9,1))))*(S1419/T1419)+(1-(IF(T1419=2,0.55,IF(T1419&lt;=4,0.7,IF(T1419&lt;=6,0.8,IF(T1419&lt;=9,0.9,1))))))*$Y$1),1),"")</f>
        <v>7.3</v>
      </c>
      <c r="V1419" s="37">
        <v>5.3</v>
      </c>
      <c r="W1419" s="38"/>
    </row>
    <row r="1420" ht="24" customHeight="1" spans="1:23" x14ac:dyDescent="0.25">
      <c r="A1420" s="40">
        <v>2129</v>
      </c>
      <c r="B1420" s="32" t="s">
        <v>1521</v>
      </c>
      <c r="C1420" s="33" t="s">
        <v>24</v>
      </c>
      <c r="D1420" s="34">
        <v>2002</v>
      </c>
      <c r="E1420" s="41"/>
      <c r="F1420" s="6"/>
      <c r="G1420" s="6">
        <v>7</v>
      </c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35">
        <f>SUM(F1420:R1420)</f>
        <v>7</v>
      </c>
      <c r="T1420" s="35">
        <f>COUNT(F1420:R1420)</f>
        <v>1</v>
      </c>
      <c r="U1420" s="36">
        <f>IF(T1420&gt;=2,ROUND((IF(T1420=2,0.55,IF(T1420&lt;=4,0.7,IF(T1420&lt;=6,0.8,IF(T1420&lt;=9,0.9,1))))*(S1420/T1420)+(1-(IF(T1420=2,0.55,IF(T1420&lt;=4,0.7,IF(T1420&lt;=6,0.8,IF(T1420&lt;=9,0.9,1))))))*$Y$1),1),"")</f>
      </c>
      <c r="V1420" s="37">
        <v>7.3</v>
      </c>
      <c r="W1420" s="38"/>
    </row>
    <row r="1421" ht="24" customHeight="1" spans="1:23" x14ac:dyDescent="0.25">
      <c r="A1421" s="31">
        <v>1536</v>
      </c>
      <c r="B1421" s="32" t="s">
        <v>1522</v>
      </c>
      <c r="C1421" s="33" t="s">
        <v>24</v>
      </c>
      <c r="D1421" s="34">
        <v>2023</v>
      </c>
      <c r="E1421" s="34" t="s">
        <v>30</v>
      </c>
      <c r="F1421" s="6"/>
      <c r="G1421" s="6"/>
      <c r="H1421" s="6">
        <v>6</v>
      </c>
      <c r="I1421" s="6"/>
      <c r="J1421" s="6"/>
      <c r="K1421" s="6"/>
      <c r="L1421" s="6">
        <v>4</v>
      </c>
      <c r="M1421" s="6"/>
      <c r="N1421" s="6"/>
      <c r="O1421" s="6">
        <v>6</v>
      </c>
      <c r="P1421" s="6"/>
      <c r="Q1421" s="6"/>
      <c r="R1421" s="6"/>
      <c r="S1421" s="35">
        <f>SUM(F1421:R1421)</f>
        <v>16</v>
      </c>
      <c r="T1421" s="35">
        <f>COUNT(F1421:R1421)</f>
        <v>3</v>
      </c>
      <c r="U1421" s="36">
        <f>IF(T1421&gt;=2,ROUND((IF(T1421=2,0.55,IF(T1421&lt;=4,0.7,IF(T1421&lt;=6,0.8,IF(T1421&lt;=9,0.9,1))))*(S1421/T1421)+(1-(IF(T1421=2,0.55,IF(T1421&lt;=4,0.7,IF(T1421&lt;=6,0.8,IF(T1421&lt;=9,0.9,1))))))*$Y$1),1),"")</f>
        <v>6.2</v>
      </c>
      <c r="V1421" s="37">
        <v>6.7</v>
      </c>
      <c r="W1421" s="38"/>
    </row>
    <row r="1422" ht="24" customHeight="1" spans="1:23" x14ac:dyDescent="0.25">
      <c r="A1422" s="40">
        <v>2261</v>
      </c>
      <c r="B1422" s="32" t="s">
        <v>1523</v>
      </c>
      <c r="C1422" s="33" t="s">
        <v>24</v>
      </c>
      <c r="D1422" s="34">
        <v>2010</v>
      </c>
      <c r="E1422" s="41"/>
      <c r="F1422" s="6"/>
      <c r="G1422" s="6">
        <v>7</v>
      </c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35">
        <f>SUM(F1422:R1422)</f>
        <v>7</v>
      </c>
      <c r="T1422" s="35">
        <f>COUNT(F1422:R1422)</f>
        <v>1</v>
      </c>
      <c r="U1422" s="36">
        <f>IF(T1422&gt;=2,ROUND((IF(T1422=2,0.55,IF(T1422&lt;=4,0.7,IF(T1422&lt;=6,0.8,IF(T1422&lt;=9,0.9,1))))*(S1422/T1422)+(1-(IF(T1422=2,0.55,IF(T1422&lt;=4,0.7,IF(T1422&lt;=6,0.8,IF(T1422&lt;=9,0.9,1))))))*$Y$1),1),"")</f>
      </c>
      <c r="V1422" s="37">
        <v>7.6</v>
      </c>
      <c r="W1422" s="38"/>
    </row>
    <row r="1423" ht="24" customHeight="1" spans="1:23" x14ac:dyDescent="0.25">
      <c r="A1423" s="31">
        <v>1477</v>
      </c>
      <c r="B1423" s="32" t="s">
        <v>1524</v>
      </c>
      <c r="C1423" s="33" t="s">
        <v>158</v>
      </c>
      <c r="D1423" s="34">
        <v>2022</v>
      </c>
      <c r="E1423" s="34" t="s">
        <v>30</v>
      </c>
      <c r="F1423" s="6"/>
      <c r="G1423" s="6"/>
      <c r="H1423" s="6"/>
      <c r="I1423" s="6"/>
      <c r="J1423" s="6"/>
      <c r="K1423" s="6"/>
      <c r="L1423" s="6"/>
      <c r="M1423" s="6"/>
      <c r="N1423" s="6">
        <v>8</v>
      </c>
      <c r="O1423" s="6"/>
      <c r="P1423" s="6"/>
      <c r="Q1423" s="6"/>
      <c r="R1423" s="6"/>
      <c r="S1423" s="35">
        <f>SUM(F1423:R1423)</f>
        <v>8</v>
      </c>
      <c r="T1423" s="35">
        <f>COUNT(F1423:R1423)</f>
        <v>1</v>
      </c>
      <c r="U1423" s="36">
        <f>IF(T1423&gt;=2,ROUND((IF(T1423=2,0.55,IF(T1423&lt;=4,0.7,IF(T1423&lt;=6,0.8,IF(T1423&lt;=9,0.9,1))))*(S1423/T1423)+(1-(IF(T1423=2,0.55,IF(T1423&lt;=4,0.7,IF(T1423&lt;=6,0.8,IF(T1423&lt;=9,0.9,1))))))*$Y$1),1),"")</f>
      </c>
      <c r="V1423" s="37">
        <v>6.9</v>
      </c>
      <c r="W1423" s="38"/>
    </row>
    <row r="1424" ht="24" customHeight="1" spans="1:23" s="39" customFormat="1" x14ac:dyDescent="0.25">
      <c r="A1424" s="31">
        <v>1155</v>
      </c>
      <c r="B1424" s="32" t="s">
        <v>1525</v>
      </c>
      <c r="C1424" s="33" t="s">
        <v>24</v>
      </c>
      <c r="D1424" s="34">
        <v>2011</v>
      </c>
      <c r="E1424" s="34" t="s">
        <v>30</v>
      </c>
      <c r="F1424" s="6">
        <v>8</v>
      </c>
      <c r="G1424" s="6">
        <v>8</v>
      </c>
      <c r="H1424" s="6">
        <v>8</v>
      </c>
      <c r="I1424" s="6"/>
      <c r="J1424" s="6">
        <v>10</v>
      </c>
      <c r="K1424" s="6"/>
      <c r="L1424" s="6">
        <v>8</v>
      </c>
      <c r="M1424" s="6"/>
      <c r="N1424" s="6"/>
      <c r="O1424" s="6"/>
      <c r="P1424" s="6">
        <v>8</v>
      </c>
      <c r="Q1424" s="6"/>
      <c r="R1424" s="6">
        <v>10</v>
      </c>
      <c r="S1424" s="35">
        <f>SUM(F1424:R1424)</f>
        <v>60</v>
      </c>
      <c r="T1424" s="35">
        <f>COUNT(F1424:R1424)</f>
        <v>7</v>
      </c>
      <c r="U1424" s="36">
        <f>IF(T1424&gt;=2,ROUND((IF(T1424=2,0.55,IF(T1424&lt;=4,0.7,IF(T1424&lt;=6,0.8,IF(T1424&lt;=9,0.9,1))))*(S1424/T1424)+(1-(IF(T1424=2,0.55,IF(T1424&lt;=4,0.7,IF(T1424&lt;=6,0.8,IF(T1424&lt;=9,0.9,1))))))*$Y$1),1),"")</f>
        <v>8.5</v>
      </c>
      <c r="V1424" s="37">
        <v>8</v>
      </c>
      <c r="W1424" s="38"/>
    </row>
    <row r="1425" ht="24" customHeight="1" spans="1:23" s="39" customFormat="1" x14ac:dyDescent="0.25">
      <c r="A1425" s="31">
        <v>2475</v>
      </c>
      <c r="B1425" s="32" t="s">
        <v>1526</v>
      </c>
      <c r="C1425" s="33" t="s">
        <v>24</v>
      </c>
      <c r="D1425" s="34">
        <v>2005</v>
      </c>
      <c r="E1425" s="41"/>
      <c r="F1425" s="6">
        <v>7</v>
      </c>
      <c r="G1425" s="6"/>
      <c r="H1425" s="6"/>
      <c r="I1425" s="6"/>
      <c r="J1425" s="6"/>
      <c r="K1425" s="6">
        <v>8</v>
      </c>
      <c r="L1425" s="6"/>
      <c r="M1425" s="6">
        <v>7</v>
      </c>
      <c r="N1425" s="6"/>
      <c r="O1425" s="6"/>
      <c r="P1425" s="6"/>
      <c r="Q1425" s="6">
        <v>8</v>
      </c>
      <c r="R1425" s="6"/>
      <c r="S1425" s="35">
        <f>SUM(F1425:R1425)</f>
        <v>30</v>
      </c>
      <c r="T1425" s="35">
        <f>COUNT(F1425:R1425)</f>
        <v>4</v>
      </c>
      <c r="U1425" s="36">
        <f>IF(T1425&gt;=2,ROUND((IF(T1425=2,0.55,IF(T1425&lt;=4,0.7,IF(T1425&lt;=6,0.8,IF(T1425&lt;=9,0.9,1))))*(S1425/T1425)+(1-(IF(T1425=2,0.55,IF(T1425&lt;=4,0.7,IF(T1425&lt;=6,0.8,IF(T1425&lt;=9,0.9,1))))))*$Y$1),1),"")</f>
        <v>7.7</v>
      </c>
      <c r="V1425" s="37">
        <v>6.5</v>
      </c>
      <c r="W1425" s="38"/>
    </row>
    <row r="1426" ht="24" customHeight="1" spans="1:23" x14ac:dyDescent="0.25">
      <c r="A1426" s="40">
        <v>2181</v>
      </c>
      <c r="B1426" s="32" t="s">
        <v>1527</v>
      </c>
      <c r="C1426" s="33" t="s">
        <v>24</v>
      </c>
      <c r="D1426" s="34">
        <v>2006</v>
      </c>
      <c r="E1426" s="41"/>
      <c r="F1426" s="6"/>
      <c r="G1426" s="6">
        <v>7</v>
      </c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35">
        <f>SUM(F1426:R1426)</f>
        <v>7</v>
      </c>
      <c r="T1426" s="35">
        <f>COUNT(F1426:R1426)</f>
        <v>1</v>
      </c>
      <c r="U1426" s="36">
        <f>IF(T1426&gt;=2,ROUND((IF(T1426=2,0.55,IF(T1426&lt;=4,0.7,IF(T1426&lt;=6,0.8,IF(T1426&lt;=9,0.9,1))))*(S1426/T1426)+(1-(IF(T1426=2,0.55,IF(T1426&lt;=4,0.7,IF(T1426&lt;=6,0.8,IF(T1426&lt;=9,0.9,1))))))*$Y$1),1),"")</f>
      </c>
      <c r="V1426" s="37">
        <v>7.2</v>
      </c>
      <c r="W1426" s="38"/>
    </row>
    <row r="1427" ht="24" customHeight="1" spans="1:23" x14ac:dyDescent="0.25">
      <c r="A1427" s="47">
        <v>1402</v>
      </c>
      <c r="B1427" s="32" t="s">
        <v>1528</v>
      </c>
      <c r="C1427" s="48" t="s">
        <v>24</v>
      </c>
      <c r="D1427" s="49">
        <v>1993</v>
      </c>
      <c r="E1427" s="49" t="s">
        <v>27</v>
      </c>
      <c r="F1427" s="6"/>
      <c r="G1427" s="6">
        <v>8</v>
      </c>
      <c r="H1427" s="6"/>
      <c r="I1427" s="6"/>
      <c r="J1427" s="6">
        <v>8</v>
      </c>
      <c r="K1427" s="6">
        <v>10</v>
      </c>
      <c r="L1427" s="6">
        <v>9</v>
      </c>
      <c r="M1427" s="6">
        <v>8</v>
      </c>
      <c r="N1427" s="6">
        <v>8</v>
      </c>
      <c r="O1427" s="6">
        <v>10</v>
      </c>
      <c r="P1427" s="6">
        <v>8</v>
      </c>
      <c r="Q1427" s="6">
        <v>10</v>
      </c>
      <c r="R1427" s="6">
        <v>10</v>
      </c>
      <c r="S1427" s="50">
        <f>SUM(F1427:R1427)</f>
        <v>89</v>
      </c>
      <c r="T1427" s="50">
        <f>COUNT(F1427:R1427)</f>
        <v>10</v>
      </c>
      <c r="U1427" s="36">
        <f>IF(T1427&gt;=2,ROUND((IF(T1427=2,0.55,IF(T1427&lt;=4,0.7,IF(T1427&lt;=6,0.8,IF(T1427&lt;=9,0.9,1))))*(S1427/T1427)+(1-(IF(T1427=2,0.55,IF(T1427&lt;=4,0.7,IF(T1427&lt;=6,0.8,IF(T1427&lt;=9,0.9,1))))))*$Y$1),1),"")</f>
        <v>8.9</v>
      </c>
      <c r="V1427" s="37">
        <v>8.1</v>
      </c>
      <c r="W1427" s="38" t="s">
        <v>44</v>
      </c>
    </row>
    <row r="1428" ht="24" customHeight="1" spans="1:23" x14ac:dyDescent="0.25">
      <c r="A1428" s="31">
        <v>1118</v>
      </c>
      <c r="B1428" s="32" t="s">
        <v>1529</v>
      </c>
      <c r="C1428" s="33" t="s">
        <v>24</v>
      </c>
      <c r="D1428" s="34">
        <v>2014</v>
      </c>
      <c r="E1428" s="34" t="s">
        <v>30</v>
      </c>
      <c r="F1428" s="6"/>
      <c r="G1428" s="6"/>
      <c r="H1428" s="6"/>
      <c r="I1428" s="6"/>
      <c r="J1428" s="6"/>
      <c r="K1428" s="6"/>
      <c r="L1428" s="6">
        <v>6</v>
      </c>
      <c r="M1428" s="6"/>
      <c r="N1428" s="6"/>
      <c r="O1428" s="6">
        <v>6</v>
      </c>
      <c r="P1428" s="6"/>
      <c r="Q1428" s="6"/>
      <c r="R1428" s="6"/>
      <c r="S1428" s="35">
        <f>SUM(F1428:R1428)</f>
        <v>12</v>
      </c>
      <c r="T1428" s="35">
        <f>COUNT(F1428:R1428)</f>
        <v>2</v>
      </c>
      <c r="U1428" s="36">
        <f>IF(T1428&gt;=2,ROUND((IF(T1428=2,0.55,IF(T1428&lt;=4,0.7,IF(T1428&lt;=6,0.8,IF(T1428&lt;=9,0.9,1))))*(S1428/T1428)+(1-(IF(T1428=2,0.55,IF(T1428&lt;=4,0.7,IF(T1428&lt;=6,0.8,IF(T1428&lt;=9,0.9,1))))))*$Y$1),1),"")</f>
        <v>6.9</v>
      </c>
      <c r="V1428" s="37">
        <v>6.3</v>
      </c>
      <c r="W1428" s="38"/>
    </row>
    <row r="1429" ht="24" customHeight="1" spans="1:23" x14ac:dyDescent="0.25">
      <c r="A1429" s="40">
        <v>2154</v>
      </c>
      <c r="B1429" s="32" t="s">
        <v>1530</v>
      </c>
      <c r="C1429" s="33" t="s">
        <v>24</v>
      </c>
      <c r="D1429" s="34">
        <v>2005</v>
      </c>
      <c r="E1429" s="41"/>
      <c r="F1429" s="6"/>
      <c r="G1429" s="6">
        <v>7</v>
      </c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35">
        <f>SUM(F1429:R1429)</f>
        <v>7</v>
      </c>
      <c r="T1429" s="35">
        <f>COUNT(F1429:R1429)</f>
        <v>1</v>
      </c>
      <c r="U1429" s="36">
        <f>IF(T1429&gt;=2,ROUND((IF(T1429=2,0.55,IF(T1429&lt;=4,0.7,IF(T1429&lt;=6,0.8,IF(T1429&lt;=9,0.9,1))))*(S1429/T1429)+(1-(IF(T1429=2,0.55,IF(T1429&lt;=4,0.7,IF(T1429&lt;=6,0.8,IF(T1429&lt;=9,0.9,1))))))*$Y$1),1),"")</f>
      </c>
      <c r="V1429" s="37">
        <v>6.3</v>
      </c>
      <c r="W1429" s="38"/>
    </row>
    <row r="1430" ht="24" customHeight="1" spans="1:23" x14ac:dyDescent="0.25">
      <c r="A1430" s="31">
        <v>925</v>
      </c>
      <c r="B1430" s="32" t="s">
        <v>1531</v>
      </c>
      <c r="C1430" s="33" t="s">
        <v>29</v>
      </c>
      <c r="D1430" s="34">
        <v>2020</v>
      </c>
      <c r="E1430" s="34" t="s">
        <v>33</v>
      </c>
      <c r="F1430" s="6"/>
      <c r="G1430" s="6"/>
      <c r="H1430" s="6"/>
      <c r="I1430" s="6"/>
      <c r="J1430" s="6"/>
      <c r="K1430" s="6"/>
      <c r="L1430" s="6">
        <v>8</v>
      </c>
      <c r="M1430" s="6"/>
      <c r="N1430" s="6"/>
      <c r="O1430" s="6"/>
      <c r="P1430" s="6"/>
      <c r="Q1430" s="6"/>
      <c r="R1430" s="6"/>
      <c r="S1430" s="35">
        <f>SUM(F1430:R1430)</f>
        <v>8</v>
      </c>
      <c r="T1430" s="35">
        <f>COUNT(F1430:R1430)</f>
        <v>1</v>
      </c>
      <c r="U1430" s="36">
        <f>IF(T1430&gt;=2,ROUND((IF(T1430=2,0.55,IF(T1430&lt;=4,0.7,IF(T1430&lt;=6,0.8,IF(T1430&lt;=9,0.9,1))))*(S1430/T1430)+(1-(IF(T1430=2,0.55,IF(T1430&lt;=4,0.7,IF(T1430&lt;=6,0.8,IF(T1430&lt;=9,0.9,1))))))*$Y$1),1),"")</f>
      </c>
      <c r="V1430" s="37">
        <v>7.7</v>
      </c>
      <c r="W1430" s="38"/>
    </row>
    <row r="1431" ht="24" customHeight="1" spans="1:23" x14ac:dyDescent="0.25">
      <c r="A1431" s="31">
        <v>1343</v>
      </c>
      <c r="B1431" s="32" t="s">
        <v>1532</v>
      </c>
      <c r="C1431" s="33" t="s">
        <v>29</v>
      </c>
      <c r="D1431" s="34">
        <v>2022</v>
      </c>
      <c r="E1431" s="34" t="s">
        <v>27</v>
      </c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>
        <v>10</v>
      </c>
      <c r="S1431" s="35">
        <f>SUM(F1431:R1431)</f>
        <v>10</v>
      </c>
      <c r="T1431" s="35">
        <f>COUNT(F1431:R1431)</f>
        <v>1</v>
      </c>
      <c r="U1431" s="36">
        <f>IF(T1431&gt;=2,ROUND((IF(T1431=2,0.55,IF(T1431&lt;=4,0.7,IF(T1431&lt;=6,0.8,IF(T1431&lt;=9,0.9,1))))*(S1431/T1431)+(1-(IF(T1431=2,0.55,IF(T1431&lt;=4,0.7,IF(T1431&lt;=6,0.8,IF(T1431&lt;=9,0.9,1))))))*$Y$1),1),"")</f>
      </c>
      <c r="V1431" s="37">
        <v>8.2</v>
      </c>
      <c r="W1431" s="38"/>
    </row>
    <row r="1432" ht="24" customHeight="1" spans="1:23" x14ac:dyDescent="0.25">
      <c r="A1432" s="31">
        <v>306</v>
      </c>
      <c r="B1432" s="32" t="s">
        <v>1533</v>
      </c>
      <c r="C1432" s="33" t="s">
        <v>24</v>
      </c>
      <c r="D1432" s="34">
        <v>2003</v>
      </c>
      <c r="E1432" s="34" t="s">
        <v>30</v>
      </c>
      <c r="F1432" s="6"/>
      <c r="G1432" s="6"/>
      <c r="H1432" s="6"/>
      <c r="I1432" s="6"/>
      <c r="J1432" s="6"/>
      <c r="K1432" s="6">
        <v>6</v>
      </c>
      <c r="L1432" s="6">
        <v>6</v>
      </c>
      <c r="M1432" s="6"/>
      <c r="N1432" s="6"/>
      <c r="O1432" s="6"/>
      <c r="P1432" s="6"/>
      <c r="Q1432" s="6">
        <v>6</v>
      </c>
      <c r="R1432" s="6"/>
      <c r="S1432" s="35">
        <f>SUM(F1432:R1432)</f>
        <v>18</v>
      </c>
      <c r="T1432" s="35">
        <f>COUNT(F1432:R1432)</f>
        <v>3</v>
      </c>
      <c r="U1432" s="36">
        <f>IF(T1432&gt;=2,ROUND((IF(T1432=2,0.55,IF(T1432&lt;=4,0.7,IF(T1432&lt;=6,0.8,IF(T1432&lt;=9,0.9,1))))*(S1432/T1432)+(1-(IF(T1432=2,0.55,IF(T1432&lt;=4,0.7,IF(T1432&lt;=6,0.8,IF(T1432&lt;=9,0.9,1))))))*$Y$1),1),"")</f>
        <v>6.6</v>
      </c>
      <c r="V1432" s="37">
        <v>5.4</v>
      </c>
      <c r="W1432" s="38"/>
    </row>
    <row r="1433" ht="24" customHeight="1" spans="1:23" x14ac:dyDescent="0.25">
      <c r="A1433" s="31">
        <v>929</v>
      </c>
      <c r="B1433" s="32" t="s">
        <v>1534</v>
      </c>
      <c r="C1433" s="33" t="s">
        <v>114</v>
      </c>
      <c r="D1433" s="34">
        <v>2009</v>
      </c>
      <c r="E1433" s="34" t="s">
        <v>27</v>
      </c>
      <c r="F1433" s="6"/>
      <c r="G1433" s="6"/>
      <c r="H1433" s="6"/>
      <c r="I1433" s="6"/>
      <c r="J1433" s="6"/>
      <c r="K1433" s="6">
        <v>8</v>
      </c>
      <c r="L1433" s="6"/>
      <c r="M1433" s="6"/>
      <c r="N1433" s="6"/>
      <c r="O1433" s="6"/>
      <c r="P1433" s="6"/>
      <c r="Q1433" s="6">
        <v>8</v>
      </c>
      <c r="R1433" s="6"/>
      <c r="S1433" s="35">
        <f>SUM(F1433:R1433)</f>
        <v>16</v>
      </c>
      <c r="T1433" s="35">
        <f>COUNT(F1433:R1433)</f>
        <v>2</v>
      </c>
      <c r="U1433" s="36">
        <f>IF(T1433&gt;=2,ROUND((IF(T1433=2,0.55,IF(T1433&lt;=4,0.7,IF(T1433&lt;=6,0.8,IF(T1433&lt;=9,0.9,1))))*(S1433/T1433)+(1-(IF(T1433=2,0.55,IF(T1433&lt;=4,0.7,IF(T1433&lt;=6,0.8,IF(T1433&lt;=9,0.9,1))))))*$Y$1),1),"")</f>
        <v>8</v>
      </c>
      <c r="V1433" s="37">
        <v>6.6</v>
      </c>
      <c r="W1433" s="38"/>
    </row>
    <row r="1434" ht="24" customHeight="1" spans="1:23" x14ac:dyDescent="0.25">
      <c r="A1434" s="31">
        <v>1538</v>
      </c>
      <c r="B1434" s="32" t="s">
        <v>1535</v>
      </c>
      <c r="C1434" s="33" t="s">
        <v>24</v>
      </c>
      <c r="D1434" s="34">
        <v>2022</v>
      </c>
      <c r="E1434" s="34" t="s">
        <v>30</v>
      </c>
      <c r="F1434" s="6"/>
      <c r="G1434" s="6"/>
      <c r="H1434" s="6"/>
      <c r="I1434" s="6"/>
      <c r="J1434" s="6"/>
      <c r="K1434" s="6"/>
      <c r="L1434" s="6"/>
      <c r="M1434" s="6"/>
      <c r="N1434" s="6"/>
      <c r="O1434" s="6">
        <v>7</v>
      </c>
      <c r="P1434" s="6"/>
      <c r="Q1434" s="6"/>
      <c r="R1434" s="6"/>
      <c r="S1434" s="35">
        <f>SUM(F1434:R1434)</f>
        <v>7</v>
      </c>
      <c r="T1434" s="35">
        <f>COUNT(F1434:R1434)</f>
        <v>1</v>
      </c>
      <c r="U1434" s="36">
        <f>IF(T1434&gt;=2,ROUND((IF(T1434=2,0.55,IF(T1434&lt;=4,0.7,IF(T1434&lt;=6,0.8,IF(T1434&lt;=9,0.9,1))))*(S1434/T1434)+(1-(IF(T1434=2,0.55,IF(T1434&lt;=4,0.7,IF(T1434&lt;=6,0.8,IF(T1434&lt;=9,0.9,1))))))*$Y$1),1),"")</f>
      </c>
      <c r="V1434" s="37">
        <v>6</v>
      </c>
      <c r="W1434" s="38"/>
    </row>
    <row r="1435" ht="24" customHeight="1" spans="1:23" x14ac:dyDescent="0.25">
      <c r="A1435" s="31">
        <v>1304</v>
      </c>
      <c r="B1435" s="32" t="s">
        <v>1536</v>
      </c>
      <c r="C1435" s="33" t="s">
        <v>24</v>
      </c>
      <c r="D1435" s="34">
        <v>2020</v>
      </c>
      <c r="E1435" s="34" t="s">
        <v>30</v>
      </c>
      <c r="F1435" s="6"/>
      <c r="G1435" s="6"/>
      <c r="H1435" s="6"/>
      <c r="I1435" s="6"/>
      <c r="J1435" s="6"/>
      <c r="K1435" s="6"/>
      <c r="L1435" s="6"/>
      <c r="M1435" s="6"/>
      <c r="N1435" s="6"/>
      <c r="O1435" s="6">
        <v>6</v>
      </c>
      <c r="P1435" s="6"/>
      <c r="Q1435" s="6"/>
      <c r="R1435" s="6"/>
      <c r="S1435" s="35">
        <f>SUM(F1435:R1435)</f>
        <v>6</v>
      </c>
      <c r="T1435" s="35">
        <f>COUNT(F1435:R1435)</f>
        <v>1</v>
      </c>
      <c r="U1435" s="36">
        <f>IF(T1435&gt;=2,ROUND((IF(T1435=2,0.55,IF(T1435&lt;=4,0.7,IF(T1435&lt;=6,0.8,IF(T1435&lt;=9,0.9,1))))*(S1435/T1435)+(1-(IF(T1435=2,0.55,IF(T1435&lt;=4,0.7,IF(T1435&lt;=6,0.8,IF(T1435&lt;=9,0.9,1))))))*$Y$1),1),"")</f>
      </c>
      <c r="V1435" s="37">
        <v>5</v>
      </c>
      <c r="W1435" s="38"/>
    </row>
    <row r="1436" ht="24" customHeight="1" spans="1:23" x14ac:dyDescent="0.25">
      <c r="A1436" s="31">
        <v>1364</v>
      </c>
      <c r="B1436" s="32" t="s">
        <v>1537</v>
      </c>
      <c r="C1436" s="33" t="s">
        <v>114</v>
      </c>
      <c r="D1436" s="34">
        <v>2022</v>
      </c>
      <c r="E1436" s="34" t="s">
        <v>1501</v>
      </c>
      <c r="F1436" s="6"/>
      <c r="G1436" s="6">
        <v>8</v>
      </c>
      <c r="H1436" s="6">
        <v>10</v>
      </c>
      <c r="I1436" s="6">
        <v>10</v>
      </c>
      <c r="J1436" s="6"/>
      <c r="K1436" s="6"/>
      <c r="L1436" s="6">
        <v>10</v>
      </c>
      <c r="M1436" s="6">
        <v>8</v>
      </c>
      <c r="N1436" s="6">
        <v>10</v>
      </c>
      <c r="O1436" s="6">
        <v>10</v>
      </c>
      <c r="P1436" s="6">
        <v>8</v>
      </c>
      <c r="Q1436" s="6"/>
      <c r="R1436" s="6"/>
      <c r="S1436" s="35">
        <f>SUM(F1436:R1436)</f>
        <v>74</v>
      </c>
      <c r="T1436" s="35">
        <f>COUNT(F1436:R1436)</f>
        <v>8</v>
      </c>
      <c r="U1436" s="36">
        <f>IF(T1436&gt;=2,ROUND((IF(T1436=2,0.55,IF(T1436&lt;=4,0.7,IF(T1436&lt;=6,0.8,IF(T1436&lt;=9,0.9,1))))*(S1436/T1436)+(1-(IF(T1436=2,0.55,IF(T1436&lt;=4,0.7,IF(T1436&lt;=6,0.8,IF(T1436&lt;=9,0.9,1))))))*$Y$1),1),"")</f>
        <v>9.1</v>
      </c>
      <c r="V1436" s="37">
        <v>7.3</v>
      </c>
      <c r="W1436" s="38"/>
    </row>
    <row r="1437" ht="24" customHeight="1" spans="1:23" x14ac:dyDescent="0.25">
      <c r="A1437" s="31">
        <v>2486</v>
      </c>
      <c r="B1437" s="32" t="s">
        <v>1538</v>
      </c>
      <c r="C1437" s="33" t="s">
        <v>24</v>
      </c>
      <c r="D1437" s="34">
        <v>2014</v>
      </c>
      <c r="E1437" s="41"/>
      <c r="F1437" s="6">
        <v>8</v>
      </c>
      <c r="G1437" s="6"/>
      <c r="H1437" s="6"/>
      <c r="I1437" s="6"/>
      <c r="J1437" s="6">
        <v>8</v>
      </c>
      <c r="K1437" s="6"/>
      <c r="L1437" s="6"/>
      <c r="M1437" s="6"/>
      <c r="N1437" s="6"/>
      <c r="O1437" s="6"/>
      <c r="P1437" s="6"/>
      <c r="Q1437" s="6"/>
      <c r="R1437" s="6"/>
      <c r="S1437" s="35">
        <f>SUM(F1437:R1437)</f>
        <v>16</v>
      </c>
      <c r="T1437" s="35">
        <f>COUNT(F1437:R1437)</f>
        <v>2</v>
      </c>
      <c r="U1437" s="36">
        <f>IF(T1437&gt;=2,ROUND((IF(T1437=2,0.55,IF(T1437&lt;=4,0.7,IF(T1437&lt;=6,0.8,IF(T1437&lt;=9,0.9,1))))*(S1437/T1437)+(1-(IF(T1437=2,0.55,IF(T1437&lt;=4,0.7,IF(T1437&lt;=6,0.8,IF(T1437&lt;=9,0.9,1))))))*$Y$1),1),"")</f>
        <v>8</v>
      </c>
      <c r="V1437" s="37">
        <v>6.5</v>
      </c>
      <c r="W1437" s="38"/>
    </row>
    <row r="1438" ht="24" customHeight="1" spans="1:23" x14ac:dyDescent="0.25">
      <c r="A1438" s="40">
        <v>2123</v>
      </c>
      <c r="B1438" s="32" t="s">
        <v>1539</v>
      </c>
      <c r="C1438" s="33" t="s">
        <v>24</v>
      </c>
      <c r="D1438" s="34">
        <v>2001</v>
      </c>
      <c r="E1438" s="41"/>
      <c r="F1438" s="6"/>
      <c r="G1438" s="6">
        <v>7</v>
      </c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35">
        <f>SUM(F1438:R1438)</f>
        <v>7</v>
      </c>
      <c r="T1438" s="35">
        <f>COUNT(F1438:R1438)</f>
        <v>1</v>
      </c>
      <c r="U1438" s="36">
        <f>IF(T1438&gt;=2,ROUND((IF(T1438=2,0.55,IF(T1438&lt;=4,0.7,IF(T1438&lt;=6,0.8,IF(T1438&lt;=9,0.9,1))))*(S1438/T1438)+(1-(IF(T1438=2,0.55,IF(T1438&lt;=4,0.7,IF(T1438&lt;=6,0.8,IF(T1438&lt;=9,0.9,1))))))*$Y$1),1),"")</f>
      </c>
      <c r="V1438" s="37">
        <v>7.4</v>
      </c>
      <c r="W1438" s="38"/>
    </row>
    <row r="1439" ht="24" customHeight="1" spans="1:23" x14ac:dyDescent="0.25">
      <c r="A1439" s="47">
        <v>693</v>
      </c>
      <c r="B1439" s="32" t="s">
        <v>1540</v>
      </c>
      <c r="C1439" s="48" t="s">
        <v>24</v>
      </c>
      <c r="D1439" s="49">
        <v>2017</v>
      </c>
      <c r="E1439" s="49" t="s">
        <v>1541</v>
      </c>
      <c r="F1439" s="6">
        <v>8</v>
      </c>
      <c r="G1439" s="6">
        <v>7</v>
      </c>
      <c r="H1439" s="6">
        <v>8</v>
      </c>
      <c r="I1439" s="6">
        <v>8</v>
      </c>
      <c r="J1439" s="6">
        <v>8</v>
      </c>
      <c r="K1439" s="6">
        <v>10</v>
      </c>
      <c r="L1439" s="6">
        <v>8</v>
      </c>
      <c r="M1439" s="6">
        <v>8</v>
      </c>
      <c r="N1439" s="6">
        <v>8</v>
      </c>
      <c r="O1439" s="6">
        <v>10</v>
      </c>
      <c r="P1439" s="6">
        <v>8</v>
      </c>
      <c r="Q1439" s="6">
        <v>10</v>
      </c>
      <c r="R1439" s="6"/>
      <c r="S1439" s="50">
        <f>SUM(F1439:R1439)</f>
        <v>101</v>
      </c>
      <c r="T1439" s="50">
        <f>COUNT(F1439:R1439)</f>
        <v>12</v>
      </c>
      <c r="U1439" s="36">
        <f>IF(T1439&gt;=2,ROUND((IF(T1439=2,0.55,IF(T1439&lt;=4,0.7,IF(T1439&lt;=6,0.8,IF(T1439&lt;=9,0.9,1))))*(S1439/T1439)+(1-(IF(T1439=2,0.55,IF(T1439&lt;=4,0.7,IF(T1439&lt;=6,0.8,IF(T1439&lt;=9,0.9,1))))))*$Y$1),1),"")</f>
        <v>8.4</v>
      </c>
      <c r="V1439" s="37">
        <v>6.7</v>
      </c>
      <c r="W1439" s="38" t="s">
        <v>44</v>
      </c>
    </row>
    <row r="1440" ht="47.25" customHeight="1" spans="1:23" x14ac:dyDescent="0.25">
      <c r="A1440" s="31">
        <v>661</v>
      </c>
      <c r="B1440" s="32" t="s">
        <v>1542</v>
      </c>
      <c r="C1440" s="33" t="s">
        <v>24</v>
      </c>
      <c r="D1440" s="34">
        <v>2007</v>
      </c>
      <c r="E1440" s="34" t="s">
        <v>30</v>
      </c>
      <c r="F1440" s="6"/>
      <c r="G1440" s="6"/>
      <c r="H1440" s="6"/>
      <c r="I1440" s="6"/>
      <c r="J1440" s="6"/>
      <c r="K1440" s="6"/>
      <c r="L1440" s="6">
        <v>8</v>
      </c>
      <c r="M1440" s="6"/>
      <c r="N1440" s="6"/>
      <c r="O1440" s="6"/>
      <c r="P1440" s="6"/>
      <c r="Q1440" s="6"/>
      <c r="R1440" s="6"/>
      <c r="S1440" s="35">
        <f>SUM(F1440:R1440)</f>
        <v>8</v>
      </c>
      <c r="T1440" s="35">
        <f>COUNT(F1440:R1440)</f>
        <v>1</v>
      </c>
      <c r="U1440" s="36">
        <f>IF(T1440&gt;=2,ROUND((IF(T1440=2,0.55,IF(T1440&lt;=4,0.7,IF(T1440&lt;=6,0.8,IF(T1440&lt;=9,0.9,1))))*(S1440/T1440)+(1-(IF(T1440=2,0.55,IF(T1440&lt;=4,0.7,IF(T1440&lt;=6,0.8,IF(T1440&lt;=9,0.9,1))))))*$Y$1),1),"")</f>
      </c>
      <c r="V1440" s="37">
        <v>6.8</v>
      </c>
      <c r="W1440" s="38"/>
    </row>
    <row r="1441" ht="24" customHeight="1" spans="1:23" x14ac:dyDescent="0.25">
      <c r="A1441" s="31">
        <v>1713</v>
      </c>
      <c r="B1441" s="32" t="s">
        <v>1543</v>
      </c>
      <c r="C1441" s="33" t="s">
        <v>29</v>
      </c>
      <c r="D1441" s="34">
        <v>2018</v>
      </c>
      <c r="E1441" s="34" t="s">
        <v>30</v>
      </c>
      <c r="F1441" s="6"/>
      <c r="G1441" s="6"/>
      <c r="H1441" s="6">
        <v>8</v>
      </c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35">
        <f>SUM(F1441:R1441)</f>
        <v>8</v>
      </c>
      <c r="T1441" s="35">
        <f>COUNT(F1441:R1441)</f>
        <v>1</v>
      </c>
      <c r="U1441" s="36">
        <f>IF(T1441&gt;=2,ROUND((IF(T1441=2,0.55,IF(T1441&lt;=4,0.7,IF(T1441&lt;=6,0.8,IF(T1441&lt;=9,0.9,1))))*(S1441/T1441)+(1-(IF(T1441=2,0.55,IF(T1441&lt;=4,0.7,IF(T1441&lt;=6,0.8,IF(T1441&lt;=9,0.9,1))))))*$Y$1),1),"")</f>
      </c>
      <c r="V1441" s="37">
        <v>7.1</v>
      </c>
      <c r="W1441" s="38"/>
    </row>
    <row r="1442" ht="24" customHeight="1" spans="1:23" x14ac:dyDescent="0.25">
      <c r="A1442" s="31">
        <v>841</v>
      </c>
      <c r="B1442" s="32" t="s">
        <v>1544</v>
      </c>
      <c r="C1442" s="33" t="s">
        <v>24</v>
      </c>
      <c r="D1442" s="34">
        <v>2019</v>
      </c>
      <c r="E1442" s="34" t="s">
        <v>30</v>
      </c>
      <c r="F1442" s="6"/>
      <c r="G1442" s="6"/>
      <c r="H1442" s="6"/>
      <c r="I1442" s="6"/>
      <c r="J1442" s="6"/>
      <c r="K1442" s="6"/>
      <c r="L1442" s="6">
        <v>8</v>
      </c>
      <c r="M1442" s="6"/>
      <c r="N1442" s="6"/>
      <c r="O1442" s="6"/>
      <c r="P1442" s="6"/>
      <c r="Q1442" s="6"/>
      <c r="R1442" s="6"/>
      <c r="S1442" s="35">
        <f>SUM(F1442:R1442)</f>
        <v>8</v>
      </c>
      <c r="T1442" s="35">
        <f>COUNT(F1442:R1442)</f>
        <v>1</v>
      </c>
      <c r="U1442" s="36">
        <f>IF(T1442&gt;=2,ROUND((IF(T1442=2,0.55,IF(T1442&lt;=4,0.7,IF(T1442&lt;=6,0.8,IF(T1442&lt;=9,0.9,1))))*(S1442/T1442)+(1-(IF(T1442=2,0.55,IF(T1442&lt;=4,0.7,IF(T1442&lt;=6,0.8,IF(T1442&lt;=9,0.9,1))))))*$Y$1),1),"")</f>
      </c>
      <c r="V1442" s="37">
        <v>6.7</v>
      </c>
      <c r="W1442" s="38"/>
    </row>
    <row r="1443" ht="24" customHeight="1" spans="1:23" x14ac:dyDescent="0.25">
      <c r="A1443" s="31">
        <v>1665</v>
      </c>
      <c r="B1443" s="32" t="s">
        <v>1545</v>
      </c>
      <c r="C1443" s="33" t="s">
        <v>158</v>
      </c>
      <c r="D1443" s="34">
        <v>2022</v>
      </c>
      <c r="E1443" s="34" t="s">
        <v>30</v>
      </c>
      <c r="F1443" s="6"/>
      <c r="G1443" s="6"/>
      <c r="H1443" s="6"/>
      <c r="I1443" s="6">
        <v>10</v>
      </c>
      <c r="J1443" s="6">
        <v>9</v>
      </c>
      <c r="K1443" s="6">
        <v>10</v>
      </c>
      <c r="L1443" s="6"/>
      <c r="M1443" s="6"/>
      <c r="N1443" s="6">
        <v>10</v>
      </c>
      <c r="O1443" s="6">
        <v>10</v>
      </c>
      <c r="P1443" s="6">
        <v>10</v>
      </c>
      <c r="Q1443" s="6">
        <v>10</v>
      </c>
      <c r="R1443" s="6"/>
      <c r="S1443" s="35">
        <f>SUM(F1443:R1443)</f>
        <v>69</v>
      </c>
      <c r="T1443" s="35">
        <f>COUNT(F1443:R1443)</f>
        <v>7</v>
      </c>
      <c r="U1443" s="36">
        <f>IF(T1443&gt;=2,ROUND((IF(T1443=2,0.55,IF(T1443&lt;=4,0.7,IF(T1443&lt;=6,0.8,IF(T1443&lt;=9,0.9,1))))*(S1443/T1443)+(1-(IF(T1443=2,0.55,IF(T1443&lt;=4,0.7,IF(T1443&lt;=6,0.8,IF(T1443&lt;=9,0.9,1))))))*$Y$1),1),"")</f>
        <v>9.7</v>
      </c>
      <c r="V1443" s="37">
        <v>7.7</v>
      </c>
      <c r="W1443" s="38"/>
    </row>
    <row r="1444" ht="24" customHeight="1" spans="1:23" x14ac:dyDescent="0.25">
      <c r="A1444" s="31">
        <v>313</v>
      </c>
      <c r="B1444" s="32" t="s">
        <v>1546</v>
      </c>
      <c r="C1444" s="33" t="s">
        <v>24</v>
      </c>
      <c r="D1444" s="34">
        <v>2016</v>
      </c>
      <c r="E1444" s="34" t="s">
        <v>416</v>
      </c>
      <c r="F1444" s="6">
        <v>8</v>
      </c>
      <c r="G1444" s="6"/>
      <c r="H1444" s="6"/>
      <c r="I1444" s="6"/>
      <c r="J1444" s="6"/>
      <c r="K1444" s="6">
        <v>10</v>
      </c>
      <c r="L1444" s="6">
        <v>8</v>
      </c>
      <c r="M1444" s="6"/>
      <c r="N1444" s="6"/>
      <c r="O1444" s="6"/>
      <c r="P1444" s="6"/>
      <c r="Q1444" s="6">
        <v>10</v>
      </c>
      <c r="R1444" s="6"/>
      <c r="S1444" s="35">
        <f>SUM(F1444:R1444)</f>
        <v>36</v>
      </c>
      <c r="T1444" s="35">
        <f>COUNT(F1444:R1444)</f>
        <v>4</v>
      </c>
      <c r="U1444" s="36">
        <f>IF(T1444&gt;=2,ROUND((IF(T1444=2,0.55,IF(T1444&lt;=4,0.7,IF(T1444&lt;=6,0.8,IF(T1444&lt;=9,0.9,1))))*(S1444/T1444)+(1-(IF(T1444=2,0.55,IF(T1444&lt;=4,0.7,IF(T1444&lt;=6,0.8,IF(T1444&lt;=9,0.9,1))))))*$Y$1),1),"")</f>
        <v>8.7</v>
      </c>
      <c r="V1444" s="37">
        <v>6.7</v>
      </c>
      <c r="W1444" s="38"/>
    </row>
    <row r="1445" ht="47.25" customHeight="1" spans="1:23" x14ac:dyDescent="0.25">
      <c r="A1445" s="31">
        <v>1930</v>
      </c>
      <c r="B1445" s="32" t="s">
        <v>1547</v>
      </c>
      <c r="C1445" s="33" t="s">
        <v>24</v>
      </c>
      <c r="D1445" s="34">
        <v>2018</v>
      </c>
      <c r="E1445" s="34" t="s">
        <v>25</v>
      </c>
      <c r="F1445" s="6"/>
      <c r="G1445" s="6">
        <v>8</v>
      </c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35">
        <f>SUM(F1445:R1445)</f>
        <v>8</v>
      </c>
      <c r="T1445" s="35">
        <f>COUNT(F1445:R1445)</f>
        <v>1</v>
      </c>
      <c r="U1445" s="36">
        <f>IF(T1445&gt;=2,ROUND((IF(T1445=2,0.55,IF(T1445&lt;=4,0.7,IF(T1445&lt;=6,0.8,IF(T1445&lt;=9,0.9,1))))*(S1445/T1445)+(1-(IF(T1445=2,0.55,IF(T1445&lt;=4,0.7,IF(T1445&lt;=6,0.8,IF(T1445&lt;=9,0.9,1))))))*$Y$1),1),"")</f>
      </c>
      <c r="V1445" s="37">
        <v>8.2</v>
      </c>
      <c r="W1445" s="38"/>
    </row>
    <row r="1446" ht="24" customHeight="1" spans="1:23" x14ac:dyDescent="0.25">
      <c r="A1446" s="40">
        <v>2266</v>
      </c>
      <c r="B1446" s="32" t="s">
        <v>1548</v>
      </c>
      <c r="C1446" s="33" t="s">
        <v>24</v>
      </c>
      <c r="D1446" s="34">
        <v>2011</v>
      </c>
      <c r="E1446" s="41"/>
      <c r="F1446" s="6"/>
      <c r="G1446" s="6">
        <v>7</v>
      </c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35">
        <f>SUM(F1446:R1446)</f>
        <v>7</v>
      </c>
      <c r="T1446" s="35">
        <f>COUNT(F1446:R1446)</f>
        <v>1</v>
      </c>
      <c r="U1446" s="36">
        <f>IF(T1446&gt;=2,ROUND((IF(T1446=2,0.55,IF(T1446&lt;=4,0.7,IF(T1446&lt;=6,0.8,IF(T1446&lt;=9,0.9,1))))*(S1446/T1446)+(1-(IF(T1446=2,0.55,IF(T1446&lt;=4,0.7,IF(T1446&lt;=6,0.8,IF(T1446&lt;=9,0.9,1))))))*$Y$1),1),"")</f>
      </c>
      <c r="V1446" s="37">
        <v>5.6</v>
      </c>
      <c r="W1446" s="38"/>
    </row>
    <row r="1447" ht="24" customHeight="1" spans="1:23" x14ac:dyDescent="0.25">
      <c r="A1447" s="31">
        <v>768</v>
      </c>
      <c r="B1447" s="32" t="s">
        <v>1549</v>
      </c>
      <c r="C1447" s="33" t="s">
        <v>24</v>
      </c>
      <c r="D1447" s="34">
        <v>2007</v>
      </c>
      <c r="E1447" s="34" t="s">
        <v>52</v>
      </c>
      <c r="F1447" s="6"/>
      <c r="G1447" s="6"/>
      <c r="H1447" s="6"/>
      <c r="I1447" s="6"/>
      <c r="J1447" s="6"/>
      <c r="K1447" s="6">
        <v>6</v>
      </c>
      <c r="L1447" s="6"/>
      <c r="M1447" s="6"/>
      <c r="N1447" s="6"/>
      <c r="O1447" s="6"/>
      <c r="P1447" s="6"/>
      <c r="Q1447" s="6">
        <v>6</v>
      </c>
      <c r="R1447" s="6"/>
      <c r="S1447" s="35">
        <f>SUM(F1447:R1447)</f>
        <v>12</v>
      </c>
      <c r="T1447" s="35">
        <f>COUNT(F1447:R1447)</f>
        <v>2</v>
      </c>
      <c r="U1447" s="36">
        <f>IF(T1447&gt;=2,ROUND((IF(T1447=2,0.55,IF(T1447&lt;=4,0.7,IF(T1447&lt;=6,0.8,IF(T1447&lt;=9,0.9,1))))*(S1447/T1447)+(1-(IF(T1447=2,0.55,IF(T1447&lt;=4,0.7,IF(T1447&lt;=6,0.8,IF(T1447&lt;=9,0.9,1))))))*$Y$1),1),"")</f>
        <v>6.9</v>
      </c>
      <c r="V1447" s="37">
        <v>5.9</v>
      </c>
      <c r="W1447" s="38"/>
    </row>
    <row r="1448" ht="24" customHeight="1" spans="1:23" x14ac:dyDescent="0.25">
      <c r="A1448" s="31">
        <v>1598</v>
      </c>
      <c r="B1448" s="32" t="s">
        <v>1550</v>
      </c>
      <c r="C1448" s="33" t="s">
        <v>24</v>
      </c>
      <c r="D1448" s="34">
        <v>2022</v>
      </c>
      <c r="E1448" s="34" t="s">
        <v>81</v>
      </c>
      <c r="F1448" s="6">
        <v>7</v>
      </c>
      <c r="G1448" s="6"/>
      <c r="H1448" s="6"/>
      <c r="I1448" s="6"/>
      <c r="J1448" s="6"/>
      <c r="K1448" s="6"/>
      <c r="L1448" s="6">
        <v>8</v>
      </c>
      <c r="M1448" s="6"/>
      <c r="N1448" s="6"/>
      <c r="O1448" s="6"/>
      <c r="P1448" s="6"/>
      <c r="Q1448" s="6"/>
      <c r="R1448" s="6"/>
      <c r="S1448" s="35">
        <f>SUM(F1448:R1448)</f>
        <v>15</v>
      </c>
      <c r="T1448" s="35">
        <f>COUNT(F1448:R1448)</f>
        <v>2</v>
      </c>
      <c r="U1448" s="36">
        <f>IF(T1448&gt;=2,ROUND((IF(T1448=2,0.55,IF(T1448&lt;=4,0.7,IF(T1448&lt;=6,0.8,IF(T1448&lt;=9,0.9,1))))*(S1448/T1448)+(1-(IF(T1448=2,0.55,IF(T1448&lt;=4,0.7,IF(T1448&lt;=6,0.8,IF(T1448&lt;=9,0.9,1))))))*$Y$1),1),"")</f>
        <v>7.8</v>
      </c>
      <c r="V1448" s="37">
        <v>7.3</v>
      </c>
      <c r="W1448" s="38"/>
    </row>
    <row r="1449" ht="24" customHeight="1" spans="1:23" x14ac:dyDescent="0.25">
      <c r="A1449" s="31">
        <v>403</v>
      </c>
      <c r="B1449" s="32" t="s">
        <v>1551</v>
      </c>
      <c r="C1449" s="33" t="s">
        <v>24</v>
      </c>
      <c r="D1449" s="34">
        <v>2013</v>
      </c>
      <c r="E1449" s="34" t="s">
        <v>30</v>
      </c>
      <c r="F1449" s="6">
        <v>6</v>
      </c>
      <c r="G1449" s="6">
        <v>8</v>
      </c>
      <c r="H1449" s="6"/>
      <c r="I1449" s="6"/>
      <c r="J1449" s="6">
        <v>8</v>
      </c>
      <c r="K1449" s="6"/>
      <c r="L1449" s="6">
        <v>8</v>
      </c>
      <c r="M1449" s="6"/>
      <c r="N1449" s="6"/>
      <c r="O1449" s="6"/>
      <c r="P1449" s="6">
        <v>8</v>
      </c>
      <c r="Q1449" s="6"/>
      <c r="R1449" s="6"/>
      <c r="S1449" s="35">
        <f>SUM(F1449:R1449)</f>
        <v>38</v>
      </c>
      <c r="T1449" s="35">
        <f>COUNT(F1449:R1449)</f>
        <v>5</v>
      </c>
      <c r="U1449" s="36">
        <f>IF(T1449&gt;=2,ROUND((IF(T1449=2,0.55,IF(T1449&lt;=4,0.7,IF(T1449&lt;=6,0.8,IF(T1449&lt;=9,0.9,1))))*(S1449/T1449)+(1-(IF(T1449=2,0.55,IF(T1449&lt;=4,0.7,IF(T1449&lt;=6,0.8,IF(T1449&lt;=9,0.9,1))))))*$Y$1),1),"")</f>
        <v>7.7</v>
      </c>
      <c r="V1449" s="37">
        <v>5.9</v>
      </c>
      <c r="W1449" s="38"/>
    </row>
    <row r="1450" ht="24" customHeight="1" spans="1:23" x14ac:dyDescent="0.25">
      <c r="A1450" s="31">
        <v>805</v>
      </c>
      <c r="B1450" s="32" t="s">
        <v>1552</v>
      </c>
      <c r="C1450" s="33" t="s">
        <v>24</v>
      </c>
      <c r="D1450" s="34">
        <v>2014</v>
      </c>
      <c r="E1450" s="34" t="s">
        <v>30</v>
      </c>
      <c r="F1450" s="6"/>
      <c r="G1450" s="6"/>
      <c r="H1450" s="6"/>
      <c r="I1450" s="6"/>
      <c r="J1450" s="6"/>
      <c r="K1450" s="6"/>
      <c r="L1450" s="6">
        <v>6</v>
      </c>
      <c r="M1450" s="6"/>
      <c r="N1450" s="6"/>
      <c r="O1450" s="6"/>
      <c r="P1450" s="6"/>
      <c r="Q1450" s="6"/>
      <c r="R1450" s="6"/>
      <c r="S1450" s="35">
        <f>SUM(F1450:R1450)</f>
        <v>6</v>
      </c>
      <c r="T1450" s="35">
        <f>COUNT(F1450:R1450)</f>
        <v>1</v>
      </c>
      <c r="U1450" s="36">
        <f>IF(T1450&gt;=2,ROUND((IF(T1450=2,0.55,IF(T1450&lt;=4,0.7,IF(T1450&lt;=6,0.8,IF(T1450&lt;=9,0.9,1))))*(S1450/T1450)+(1-(IF(T1450=2,0.55,IF(T1450&lt;=4,0.7,IF(T1450&lt;=6,0.8,IF(T1450&lt;=9,0.9,1))))))*$Y$1),1),"")</f>
      </c>
      <c r="V1450" s="37">
        <v>7.3</v>
      </c>
      <c r="W1450" s="38"/>
    </row>
    <row r="1451" ht="24" customHeight="1" spans="1:23" x14ac:dyDescent="0.25">
      <c r="A1451" s="31">
        <v>330</v>
      </c>
      <c r="B1451" s="32" t="s">
        <v>1553</v>
      </c>
      <c r="C1451" s="33" t="s">
        <v>24</v>
      </c>
      <c r="D1451" s="34">
        <v>2015</v>
      </c>
      <c r="E1451" s="34" t="s">
        <v>60</v>
      </c>
      <c r="F1451" s="6"/>
      <c r="G1451" s="6">
        <v>8</v>
      </c>
      <c r="H1451" s="6"/>
      <c r="I1451" s="6"/>
      <c r="J1451" s="6"/>
      <c r="K1451" s="6">
        <v>8</v>
      </c>
      <c r="L1451" s="6">
        <v>10</v>
      </c>
      <c r="M1451" s="6"/>
      <c r="N1451" s="6"/>
      <c r="O1451" s="6"/>
      <c r="P1451" s="6"/>
      <c r="Q1451" s="6">
        <v>8</v>
      </c>
      <c r="R1451" s="6">
        <v>10</v>
      </c>
      <c r="S1451" s="35">
        <f>SUM(F1451:R1451)</f>
        <v>44</v>
      </c>
      <c r="T1451" s="35">
        <f>COUNT(F1451:R1451)</f>
        <v>5</v>
      </c>
      <c r="U1451" s="36">
        <f>IF(T1451&gt;=2,ROUND((IF(T1451=2,0.55,IF(T1451&lt;=4,0.7,IF(T1451&lt;=6,0.8,IF(T1451&lt;=9,0.9,1))))*(S1451/T1451)+(1-(IF(T1451=2,0.55,IF(T1451&lt;=4,0.7,IF(T1451&lt;=6,0.8,IF(T1451&lt;=9,0.9,1))))))*$Y$1),1),"")</f>
        <v>8.7</v>
      </c>
      <c r="V1451" s="37">
        <v>6.4</v>
      </c>
      <c r="W1451" s="38"/>
    </row>
    <row r="1452" ht="24" customHeight="1" spans="1:23" x14ac:dyDescent="0.25">
      <c r="A1452" s="31">
        <v>1016</v>
      </c>
      <c r="B1452" s="32" t="s">
        <v>1554</v>
      </c>
      <c r="C1452" s="33" t="s">
        <v>24</v>
      </c>
      <c r="D1452" s="34">
        <v>2019</v>
      </c>
      <c r="E1452" s="34" t="s">
        <v>27</v>
      </c>
      <c r="F1452" s="6"/>
      <c r="G1452" s="6"/>
      <c r="H1452" s="6"/>
      <c r="I1452" s="6"/>
      <c r="J1452" s="6">
        <v>6</v>
      </c>
      <c r="K1452" s="6"/>
      <c r="L1452" s="6"/>
      <c r="M1452" s="6"/>
      <c r="N1452" s="6"/>
      <c r="O1452" s="6"/>
      <c r="P1452" s="6"/>
      <c r="Q1452" s="6"/>
      <c r="R1452" s="6"/>
      <c r="S1452" s="35">
        <f>SUM(F1452:R1452)</f>
        <v>6</v>
      </c>
      <c r="T1452" s="35">
        <f>COUNT(F1452:R1452)</f>
        <v>1</v>
      </c>
      <c r="U1452" s="36">
        <f>IF(T1452&gt;=2,ROUND((IF(T1452=2,0.55,IF(T1452&lt;=4,0.7,IF(T1452&lt;=6,0.8,IF(T1452&lt;=9,0.9,1))))*(S1452/T1452)+(1-(IF(T1452=2,0.55,IF(T1452&lt;=4,0.7,IF(T1452&lt;=6,0.8,IF(T1452&lt;=9,0.9,1))))))*$Y$1),1),"")</f>
      </c>
      <c r="V1452" s="37">
        <v>7.1</v>
      </c>
      <c r="W1452" s="38"/>
    </row>
    <row r="1453" ht="24" customHeight="1" spans="1:23" x14ac:dyDescent="0.25">
      <c r="A1453" s="31">
        <v>415</v>
      </c>
      <c r="B1453" s="32" t="s">
        <v>1555</v>
      </c>
      <c r="C1453" s="33" t="s">
        <v>24</v>
      </c>
      <c r="D1453" s="34">
        <v>1961</v>
      </c>
      <c r="E1453" s="34" t="s">
        <v>27</v>
      </c>
      <c r="F1453" s="6"/>
      <c r="G1453" s="6"/>
      <c r="H1453" s="6"/>
      <c r="I1453" s="6"/>
      <c r="J1453" s="6"/>
      <c r="K1453" s="6">
        <v>10</v>
      </c>
      <c r="L1453" s="6"/>
      <c r="M1453" s="6"/>
      <c r="N1453" s="6">
        <v>8</v>
      </c>
      <c r="O1453" s="6"/>
      <c r="P1453" s="6"/>
      <c r="Q1453" s="6">
        <v>10</v>
      </c>
      <c r="R1453" s="6"/>
      <c r="S1453" s="35">
        <f>SUM(F1453:R1453)</f>
        <v>28</v>
      </c>
      <c r="T1453" s="35">
        <f>COUNT(F1453:R1453)</f>
        <v>3</v>
      </c>
      <c r="U1453" s="36">
        <f>IF(T1453&gt;=2,ROUND((IF(T1453=2,0.55,IF(T1453&lt;=4,0.7,IF(T1453&lt;=6,0.8,IF(T1453&lt;=9,0.9,1))))*(S1453/T1453)+(1-(IF(T1453=2,0.55,IF(T1453&lt;=4,0.7,IF(T1453&lt;=6,0.8,IF(T1453&lt;=9,0.9,1))))))*$Y$1),1),"")</f>
        <v>9</v>
      </c>
      <c r="V1453" s="37">
        <v>7.2</v>
      </c>
      <c r="W1453" s="38"/>
    </row>
    <row r="1454" ht="24" customHeight="1" spans="1:23" x14ac:dyDescent="0.25">
      <c r="A1454" s="31">
        <v>981</v>
      </c>
      <c r="B1454" s="32" t="s">
        <v>1556</v>
      </c>
      <c r="C1454" s="33" t="s">
        <v>24</v>
      </c>
      <c r="D1454" s="34">
        <v>2019</v>
      </c>
      <c r="E1454" s="34" t="s">
        <v>30</v>
      </c>
      <c r="F1454" s="6"/>
      <c r="G1454" s="6"/>
      <c r="H1454" s="6"/>
      <c r="I1454" s="6"/>
      <c r="J1454" s="6">
        <v>8</v>
      </c>
      <c r="K1454" s="6"/>
      <c r="L1454" s="6"/>
      <c r="M1454" s="6"/>
      <c r="N1454" s="6"/>
      <c r="O1454" s="6"/>
      <c r="P1454" s="6"/>
      <c r="Q1454" s="6"/>
      <c r="R1454" s="6"/>
      <c r="S1454" s="35">
        <f>SUM(F1454:R1454)</f>
        <v>8</v>
      </c>
      <c r="T1454" s="35">
        <f>COUNT(F1454:R1454)</f>
        <v>1</v>
      </c>
      <c r="U1454" s="36">
        <f>IF(T1454&gt;=2,ROUND((IF(T1454=2,0.55,IF(T1454&lt;=4,0.7,IF(T1454&lt;=6,0.8,IF(T1454&lt;=9,0.9,1))))*(S1454/T1454)+(1-(IF(T1454=2,0.55,IF(T1454&lt;=4,0.7,IF(T1454&lt;=6,0.8,IF(T1454&lt;=9,0.9,1))))))*$Y$1),1),"")</f>
      </c>
      <c r="V1454" s="37">
        <v>7.3</v>
      </c>
      <c r="W1454" s="38"/>
    </row>
    <row r="1455" ht="24" customHeight="1" spans="1:23" x14ac:dyDescent="0.25">
      <c r="A1455" s="31">
        <v>304</v>
      </c>
      <c r="B1455" s="67" t="s">
        <v>1557</v>
      </c>
      <c r="C1455" s="33" t="s">
        <v>29</v>
      </c>
      <c r="D1455" s="34">
        <v>2016</v>
      </c>
      <c r="E1455" s="34" t="s">
        <v>30</v>
      </c>
      <c r="F1455" s="6"/>
      <c r="G1455" s="6"/>
      <c r="H1455" s="6"/>
      <c r="I1455" s="6"/>
      <c r="J1455" s="6"/>
      <c r="K1455" s="6">
        <v>6</v>
      </c>
      <c r="L1455" s="6">
        <v>8</v>
      </c>
      <c r="M1455" s="6"/>
      <c r="N1455" s="6">
        <v>8</v>
      </c>
      <c r="O1455" s="6"/>
      <c r="P1455" s="6"/>
      <c r="Q1455" s="6">
        <v>6</v>
      </c>
      <c r="R1455" s="6"/>
      <c r="S1455" s="35">
        <f>SUM(F1455:R1455)</f>
        <v>28</v>
      </c>
      <c r="T1455" s="35">
        <f>COUNT(F1455:R1455)</f>
        <v>4</v>
      </c>
      <c r="U1455" s="36">
        <f>IF(T1455&gt;=2,ROUND((IF(T1455=2,0.55,IF(T1455&lt;=4,0.7,IF(T1455&lt;=6,0.8,IF(T1455&lt;=9,0.9,1))))*(S1455/T1455)+(1-(IF(T1455=2,0.55,IF(T1455&lt;=4,0.7,IF(T1455&lt;=6,0.8,IF(T1455&lt;=9,0.9,1))))))*$Y$1),1),"")</f>
        <v>7.3</v>
      </c>
      <c r="V1455" s="37">
        <v>8.3</v>
      </c>
      <c r="W1455" s="38"/>
    </row>
    <row r="1456" ht="24" customHeight="1" spans="1:23" x14ac:dyDescent="0.25">
      <c r="A1456" s="31">
        <v>1274</v>
      </c>
      <c r="B1456" s="32" t="s">
        <v>1558</v>
      </c>
      <c r="C1456" s="33" t="s">
        <v>24</v>
      </c>
      <c r="D1456" s="34">
        <v>2021</v>
      </c>
      <c r="E1456" s="34" t="s">
        <v>30</v>
      </c>
      <c r="F1456" s="6"/>
      <c r="G1456" s="6"/>
      <c r="H1456" s="6"/>
      <c r="I1456" s="6"/>
      <c r="J1456" s="6"/>
      <c r="K1456" s="6">
        <v>8</v>
      </c>
      <c r="L1456" s="6"/>
      <c r="M1456" s="6">
        <v>8</v>
      </c>
      <c r="N1456" s="6">
        <v>8</v>
      </c>
      <c r="O1456" s="6"/>
      <c r="P1456" s="6"/>
      <c r="Q1456" s="6">
        <v>8</v>
      </c>
      <c r="R1456" s="6"/>
      <c r="S1456" s="35">
        <f>SUM(F1456:R1456)</f>
        <v>32</v>
      </c>
      <c r="T1456" s="35">
        <f>COUNT(F1456:R1456)</f>
        <v>4</v>
      </c>
      <c r="U1456" s="36">
        <f>IF(T1456&gt;=2,ROUND((IF(T1456=2,0.55,IF(T1456&lt;=4,0.7,IF(T1456&lt;=6,0.8,IF(T1456&lt;=9,0.9,1))))*(S1456/T1456)+(1-(IF(T1456=2,0.55,IF(T1456&lt;=4,0.7,IF(T1456&lt;=6,0.8,IF(T1456&lt;=9,0.9,1))))))*$Y$1),1),"")</f>
        <v>8</v>
      </c>
      <c r="V1456" s="37">
        <v>6.3</v>
      </c>
      <c r="W1456" s="38"/>
    </row>
    <row r="1457" ht="24" customHeight="1" spans="1:23" x14ac:dyDescent="0.25">
      <c r="A1457" s="31">
        <v>1662</v>
      </c>
      <c r="B1457" s="32" t="s">
        <v>1559</v>
      </c>
      <c r="C1457" s="33" t="s">
        <v>24</v>
      </c>
      <c r="D1457" s="34">
        <v>2023</v>
      </c>
      <c r="E1457" s="34" t="s">
        <v>30</v>
      </c>
      <c r="F1457" s="6"/>
      <c r="G1457" s="6"/>
      <c r="H1457" s="6"/>
      <c r="I1457" s="6"/>
      <c r="J1457" s="6"/>
      <c r="K1457" s="6"/>
      <c r="L1457" s="6"/>
      <c r="M1457" s="6"/>
      <c r="N1457" s="6"/>
      <c r="O1457" s="6">
        <v>8</v>
      </c>
      <c r="P1457" s="6"/>
      <c r="Q1457" s="6"/>
      <c r="R1457" s="6"/>
      <c r="S1457" s="35">
        <f>SUM(F1457:R1457)</f>
        <v>8</v>
      </c>
      <c r="T1457" s="35">
        <f>COUNT(F1457:R1457)</f>
        <v>1</v>
      </c>
      <c r="U1457" s="36">
        <f>IF(T1457&gt;=2,ROUND((IF(T1457=2,0.55,IF(T1457&lt;=4,0.7,IF(T1457&lt;=6,0.8,IF(T1457&lt;=9,0.9,1))))*(S1457/T1457)+(1-(IF(T1457=2,0.55,IF(T1457&lt;=4,0.7,IF(T1457&lt;=6,0.8,IF(T1457&lt;=9,0.9,1))))))*$Y$1),1),"")</f>
      </c>
      <c r="V1457" s="37">
        <v>5.9</v>
      </c>
      <c r="W1457" s="38"/>
    </row>
    <row r="1458" ht="24" customHeight="1" spans="1:23" x14ac:dyDescent="0.25">
      <c r="A1458" s="42">
        <v>1330</v>
      </c>
      <c r="B1458" s="32" t="s">
        <v>1560</v>
      </c>
      <c r="C1458" s="43" t="s">
        <v>24</v>
      </c>
      <c r="D1458" s="44">
        <v>2014</v>
      </c>
      <c r="E1458" s="44" t="s">
        <v>30</v>
      </c>
      <c r="F1458" s="6">
        <v>7</v>
      </c>
      <c r="G1458" s="6"/>
      <c r="H1458" s="6">
        <v>7</v>
      </c>
      <c r="I1458" s="6">
        <v>8</v>
      </c>
      <c r="J1458" s="6">
        <v>7</v>
      </c>
      <c r="K1458" s="6">
        <v>8</v>
      </c>
      <c r="L1458" s="6">
        <v>9</v>
      </c>
      <c r="M1458" s="6">
        <v>6</v>
      </c>
      <c r="N1458" s="6">
        <v>6</v>
      </c>
      <c r="O1458" s="6">
        <v>7</v>
      </c>
      <c r="P1458" s="6"/>
      <c r="Q1458" s="6">
        <v>8</v>
      </c>
      <c r="R1458" s="6">
        <v>6</v>
      </c>
      <c r="S1458" s="45">
        <f>SUM(F1458:R1458)</f>
        <v>79</v>
      </c>
      <c r="T1458" s="45">
        <f>COUNT(F1458:R1458)</f>
        <v>11</v>
      </c>
      <c r="U1458" s="36">
        <f>IF(T1458&gt;=2,ROUND((IF(T1458=2,0.55,IF(T1458&lt;=4,0.7,IF(T1458&lt;=6,0.8,IF(T1458&lt;=9,0.9,1))))*(S1458/T1458)+(1-(IF(T1458=2,0.55,IF(T1458&lt;=4,0.7,IF(T1458&lt;=6,0.8,IF(T1458&lt;=9,0.9,1))))))*$Y$1),1),"")</f>
        <v>7.2</v>
      </c>
      <c r="V1458" s="37">
        <v>6</v>
      </c>
      <c r="W1458" s="38" t="s">
        <v>44</v>
      </c>
    </row>
    <row r="1459" ht="24" customHeight="1" spans="1:23" x14ac:dyDescent="0.25">
      <c r="A1459" s="31">
        <v>568</v>
      </c>
      <c r="B1459" s="32" t="s">
        <v>1561</v>
      </c>
      <c r="C1459" s="33" t="s">
        <v>24</v>
      </c>
      <c r="D1459" s="34">
        <v>2019</v>
      </c>
      <c r="E1459" s="34" t="s">
        <v>30</v>
      </c>
      <c r="F1459" s="6"/>
      <c r="G1459" s="6"/>
      <c r="H1459" s="6"/>
      <c r="I1459" s="6"/>
      <c r="J1459" s="6"/>
      <c r="K1459" s="6">
        <v>8</v>
      </c>
      <c r="L1459" s="6"/>
      <c r="M1459" s="6">
        <v>8</v>
      </c>
      <c r="N1459" s="6">
        <v>8</v>
      </c>
      <c r="O1459" s="6"/>
      <c r="P1459" s="6"/>
      <c r="Q1459" s="6">
        <v>8</v>
      </c>
      <c r="R1459" s="6"/>
      <c r="S1459" s="35">
        <f>SUM(F1459:R1459)</f>
        <v>32</v>
      </c>
      <c r="T1459" s="35">
        <f>COUNT(F1459:R1459)</f>
        <v>4</v>
      </c>
      <c r="U1459" s="36">
        <f>IF(T1459&gt;=2,ROUND((IF(T1459=2,0.55,IF(T1459&lt;=4,0.7,IF(T1459&lt;=6,0.8,IF(T1459&lt;=9,0.9,1))))*(S1459/T1459)+(1-(IF(T1459=2,0.55,IF(T1459&lt;=4,0.7,IF(T1459&lt;=6,0.8,IF(T1459&lt;=9,0.9,1))))))*$Y$1),1),"")</f>
        <v>8</v>
      </c>
      <c r="V1459" s="37">
        <v>6.5</v>
      </c>
      <c r="W1459" s="38"/>
    </row>
    <row r="1460" ht="24" customHeight="1" spans="1:23" x14ac:dyDescent="0.25">
      <c r="A1460" s="31">
        <v>424</v>
      </c>
      <c r="B1460" s="32" t="s">
        <v>1562</v>
      </c>
      <c r="C1460" s="33" t="s">
        <v>24</v>
      </c>
      <c r="D1460" s="34">
        <v>1990</v>
      </c>
      <c r="E1460" s="34" t="s">
        <v>106</v>
      </c>
      <c r="F1460" s="6"/>
      <c r="G1460" s="6"/>
      <c r="H1460" s="6"/>
      <c r="I1460" s="6">
        <v>8</v>
      </c>
      <c r="J1460" s="6"/>
      <c r="K1460" s="6">
        <v>6</v>
      </c>
      <c r="L1460" s="6"/>
      <c r="M1460" s="6">
        <v>10</v>
      </c>
      <c r="N1460" s="6"/>
      <c r="O1460" s="6"/>
      <c r="P1460" s="6">
        <v>8</v>
      </c>
      <c r="Q1460" s="6">
        <v>6</v>
      </c>
      <c r="R1460" s="6"/>
      <c r="S1460" s="35">
        <f>SUM(F1460:R1460)</f>
        <v>38</v>
      </c>
      <c r="T1460" s="35">
        <f>COUNT(F1460:R1460)</f>
        <v>5</v>
      </c>
      <c r="U1460" s="36">
        <f>IF(T1460&gt;=2,ROUND((IF(T1460=2,0.55,IF(T1460&lt;=4,0.7,IF(T1460&lt;=6,0.8,IF(T1460&lt;=9,0.9,1))))*(S1460/T1460)+(1-(IF(T1460=2,0.55,IF(T1460&lt;=4,0.7,IF(T1460&lt;=6,0.8,IF(T1460&lt;=9,0.9,1))))))*$Y$1),1),"")</f>
        <v>7.7</v>
      </c>
      <c r="V1460" s="37">
        <v>7.8</v>
      </c>
      <c r="W1460" s="38"/>
    </row>
    <row r="1461" ht="24" customHeight="1" spans="1:23" x14ac:dyDescent="0.25">
      <c r="A1461" s="31">
        <v>496</v>
      </c>
      <c r="B1461" s="32" t="s">
        <v>1563</v>
      </c>
      <c r="C1461" s="33" t="s">
        <v>24</v>
      </c>
      <c r="D1461" s="34">
        <v>2009</v>
      </c>
      <c r="E1461" s="34" t="s">
        <v>43</v>
      </c>
      <c r="F1461" s="6">
        <v>8</v>
      </c>
      <c r="G1461" s="6">
        <v>8</v>
      </c>
      <c r="H1461" s="6"/>
      <c r="I1461" s="6">
        <v>8</v>
      </c>
      <c r="J1461" s="6">
        <v>8</v>
      </c>
      <c r="K1461" s="6">
        <v>8</v>
      </c>
      <c r="L1461" s="6">
        <v>8</v>
      </c>
      <c r="M1461" s="6"/>
      <c r="N1461" s="6"/>
      <c r="O1461" s="6">
        <v>8</v>
      </c>
      <c r="P1461" s="6">
        <v>8</v>
      </c>
      <c r="Q1461" s="6">
        <v>8</v>
      </c>
      <c r="R1461" s="6"/>
      <c r="S1461" s="35">
        <f>SUM(F1461:R1461)</f>
        <v>72</v>
      </c>
      <c r="T1461" s="35">
        <f>COUNT(F1461:R1461)</f>
        <v>9</v>
      </c>
      <c r="U1461" s="36">
        <f>IF(T1461&gt;=2,ROUND((IF(T1461=2,0.55,IF(T1461&lt;=4,0.7,IF(T1461&lt;=6,0.8,IF(T1461&lt;=9,0.9,1))))*(S1461/T1461)+(1-(IF(T1461=2,0.55,IF(T1461&lt;=4,0.7,IF(T1461&lt;=6,0.8,IF(T1461&lt;=9,0.9,1))))))*$Y$1),1),"")</f>
        <v>8</v>
      </c>
      <c r="V1461" s="37">
        <v>7.2</v>
      </c>
      <c r="W1461" s="38"/>
    </row>
    <row r="1462" ht="24" customHeight="1" spans="1:23" x14ac:dyDescent="0.25">
      <c r="A1462" s="31">
        <v>206</v>
      </c>
      <c r="B1462" s="32" t="s">
        <v>1564</v>
      </c>
      <c r="C1462" s="33" t="s">
        <v>24</v>
      </c>
      <c r="D1462" s="34">
        <v>2002</v>
      </c>
      <c r="E1462" s="34" t="s">
        <v>179</v>
      </c>
      <c r="F1462" s="6">
        <v>8</v>
      </c>
      <c r="G1462" s="6">
        <v>9</v>
      </c>
      <c r="H1462" s="6"/>
      <c r="I1462" s="6"/>
      <c r="J1462" s="6"/>
      <c r="K1462" s="6">
        <v>8</v>
      </c>
      <c r="L1462" s="6">
        <v>6</v>
      </c>
      <c r="M1462" s="6"/>
      <c r="N1462" s="6">
        <v>6</v>
      </c>
      <c r="O1462" s="6">
        <v>8</v>
      </c>
      <c r="P1462" s="6">
        <v>10</v>
      </c>
      <c r="Q1462" s="6">
        <v>8</v>
      </c>
      <c r="R1462" s="6"/>
      <c r="S1462" s="35">
        <f>SUM(F1462:R1462)</f>
        <v>63</v>
      </c>
      <c r="T1462" s="35">
        <f>COUNT(F1462:R1462)</f>
        <v>8</v>
      </c>
      <c r="U1462" s="36">
        <f>IF(T1462&gt;=2,ROUND((IF(T1462=2,0.55,IF(T1462&lt;=4,0.7,IF(T1462&lt;=6,0.8,IF(T1462&lt;=9,0.9,1))))*(S1462/T1462)+(1-(IF(T1462=2,0.55,IF(T1462&lt;=4,0.7,IF(T1462&lt;=6,0.8,IF(T1462&lt;=9,0.9,1))))))*$Y$1),1),"")</f>
        <v>7.9</v>
      </c>
      <c r="V1462" s="37">
        <v>8.3</v>
      </c>
      <c r="W1462" s="38"/>
    </row>
    <row r="1463" ht="24" customHeight="1" spans="1:23" x14ac:dyDescent="0.25">
      <c r="A1463" s="31">
        <v>1939</v>
      </c>
      <c r="B1463" s="32" t="s">
        <v>1565</v>
      </c>
      <c r="C1463" s="33" t="s">
        <v>29</v>
      </c>
      <c r="D1463" s="34">
        <v>2024</v>
      </c>
      <c r="E1463" s="34" t="s">
        <v>30</v>
      </c>
      <c r="F1463" s="6"/>
      <c r="G1463" s="6"/>
      <c r="H1463" s="6"/>
      <c r="I1463" s="6"/>
      <c r="J1463" s="6"/>
      <c r="K1463" s="6"/>
      <c r="L1463" s="6"/>
      <c r="M1463" s="6">
        <v>7</v>
      </c>
      <c r="N1463" s="6"/>
      <c r="O1463" s="6"/>
      <c r="P1463" s="6"/>
      <c r="Q1463" s="6"/>
      <c r="R1463" s="6"/>
      <c r="S1463" s="35">
        <f>SUM(F1463:R1463)</f>
        <v>7</v>
      </c>
      <c r="T1463" s="35">
        <f>COUNT(F1463:R1463)</f>
        <v>1</v>
      </c>
      <c r="U1463" s="36">
        <f>IF(T1463&gt;=2,ROUND((IF(T1463=2,0.55,IF(T1463&lt;=4,0.7,IF(T1463&lt;=6,0.8,IF(T1463&lt;=9,0.9,1))))*(S1463/T1463)+(1-(IF(T1463=2,0.55,IF(T1463&lt;=4,0.7,IF(T1463&lt;=6,0.8,IF(T1463&lt;=9,0.9,1))))))*$Y$1),1),"")</f>
      </c>
      <c r="V1463" s="37">
        <v>6.4</v>
      </c>
      <c r="W1463" s="38"/>
    </row>
    <row r="1464" ht="24" customHeight="1" spans="1:23" x14ac:dyDescent="0.25">
      <c r="A1464" s="31">
        <v>495</v>
      </c>
      <c r="B1464" s="32" t="s">
        <v>1566</v>
      </c>
      <c r="C1464" s="33" t="s">
        <v>24</v>
      </c>
      <c r="D1464" s="34">
        <v>1982</v>
      </c>
      <c r="E1464" s="34" t="s">
        <v>27</v>
      </c>
      <c r="F1464" s="6">
        <v>10</v>
      </c>
      <c r="G1464" s="6">
        <v>8</v>
      </c>
      <c r="H1464" s="6">
        <v>10</v>
      </c>
      <c r="I1464" s="6">
        <v>10</v>
      </c>
      <c r="J1464" s="6">
        <v>10</v>
      </c>
      <c r="K1464" s="6">
        <v>10</v>
      </c>
      <c r="L1464" s="6">
        <v>8</v>
      </c>
      <c r="M1464" s="6">
        <v>8</v>
      </c>
      <c r="N1464" s="6">
        <v>8</v>
      </c>
      <c r="O1464" s="6"/>
      <c r="P1464" s="6">
        <v>8</v>
      </c>
      <c r="Q1464" s="6">
        <v>10</v>
      </c>
      <c r="R1464" s="6">
        <v>10</v>
      </c>
      <c r="S1464" s="35">
        <f>SUM(F1464:R1464)</f>
        <v>110</v>
      </c>
      <c r="T1464" s="35">
        <f>COUNT(F1464:R1464)</f>
        <v>12</v>
      </c>
      <c r="U1464" s="36">
        <f>IF(T1464&gt;=2,ROUND((IF(T1464=2,0.55,IF(T1464&lt;=4,0.7,IF(T1464&lt;=6,0.8,IF(T1464&lt;=9,0.9,1))))*(S1464/T1464)+(1-(IF(T1464=2,0.55,IF(T1464&lt;=4,0.7,IF(T1464&lt;=6,0.8,IF(T1464&lt;=9,0.9,1))))))*$Y$1),1),"")</f>
        <v>9.2</v>
      </c>
      <c r="V1464" s="37">
        <v>7.9</v>
      </c>
      <c r="W1464" s="38"/>
    </row>
    <row r="1465" ht="24" customHeight="1" spans="1:23" x14ac:dyDescent="0.25">
      <c r="A1465" s="31">
        <v>1078</v>
      </c>
      <c r="B1465" s="32" t="s">
        <v>1567</v>
      </c>
      <c r="C1465" s="33" t="s">
        <v>29</v>
      </c>
      <c r="D1465" s="34">
        <v>2021</v>
      </c>
      <c r="E1465" s="34" t="s">
        <v>1034</v>
      </c>
      <c r="F1465" s="6"/>
      <c r="G1465" s="6"/>
      <c r="H1465" s="6"/>
      <c r="I1465" s="6"/>
      <c r="J1465" s="6"/>
      <c r="K1465" s="6"/>
      <c r="L1465" s="6">
        <v>8</v>
      </c>
      <c r="M1465" s="6"/>
      <c r="N1465" s="6"/>
      <c r="O1465" s="6"/>
      <c r="P1465" s="6"/>
      <c r="Q1465" s="6"/>
      <c r="R1465" s="6"/>
      <c r="S1465" s="35">
        <f>SUM(F1465:R1465)</f>
        <v>8</v>
      </c>
      <c r="T1465" s="35">
        <f>COUNT(F1465:R1465)</f>
        <v>1</v>
      </c>
      <c r="U1465" s="36">
        <f>IF(T1465&gt;=2,ROUND((IF(T1465=2,0.55,IF(T1465&lt;=4,0.7,IF(T1465&lt;=6,0.8,IF(T1465&lt;=9,0.9,1))))*(S1465/T1465)+(1-(IF(T1465=2,0.55,IF(T1465&lt;=4,0.7,IF(T1465&lt;=6,0.8,IF(T1465&lt;=9,0.9,1))))))*$Y$1),1),"")</f>
      </c>
      <c r="V1465" s="37">
        <v>7.6</v>
      </c>
      <c r="W1465" s="38"/>
    </row>
    <row r="1466" ht="24" customHeight="1" spans="1:23" x14ac:dyDescent="0.25">
      <c r="A1466" s="40">
        <v>2122</v>
      </c>
      <c r="B1466" s="32" t="s">
        <v>1568</v>
      </c>
      <c r="C1466" s="33" t="s">
        <v>24</v>
      </c>
      <c r="D1466" s="34">
        <v>2001</v>
      </c>
      <c r="E1466" s="41"/>
      <c r="F1466" s="6"/>
      <c r="G1466" s="6">
        <v>7</v>
      </c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35">
        <f>SUM(F1466:R1466)</f>
        <v>7</v>
      </c>
      <c r="T1466" s="35">
        <f>COUNT(F1466:R1466)</f>
        <v>1</v>
      </c>
      <c r="U1466" s="36">
        <f>IF(T1466&gt;=2,ROUND((IF(T1466=2,0.55,IF(T1466&lt;=4,0.7,IF(T1466&lt;=6,0.8,IF(T1466&lt;=9,0.9,1))))*(S1466/T1466)+(1-(IF(T1466=2,0.55,IF(T1466&lt;=4,0.7,IF(T1466&lt;=6,0.8,IF(T1466&lt;=9,0.9,1))))))*$Y$1),1),"")</f>
      </c>
      <c r="V1466" s="37">
        <v>7.7</v>
      </c>
      <c r="W1466" s="38"/>
    </row>
    <row r="1467" ht="47.25" customHeight="1" spans="1:23" x14ac:dyDescent="0.25">
      <c r="A1467" s="47">
        <v>1839</v>
      </c>
      <c r="B1467" s="32" t="s">
        <v>1569</v>
      </c>
      <c r="C1467" s="48" t="s">
        <v>24</v>
      </c>
      <c r="D1467" s="49">
        <v>2024</v>
      </c>
      <c r="E1467" s="49" t="s">
        <v>141</v>
      </c>
      <c r="F1467" s="6">
        <v>8</v>
      </c>
      <c r="G1467" s="6">
        <v>7</v>
      </c>
      <c r="H1467" s="6">
        <v>9</v>
      </c>
      <c r="I1467" s="6"/>
      <c r="J1467" s="6"/>
      <c r="K1467" s="6">
        <v>8</v>
      </c>
      <c r="L1467" s="6">
        <v>7</v>
      </c>
      <c r="M1467" s="6">
        <v>9</v>
      </c>
      <c r="N1467" s="6">
        <v>9</v>
      </c>
      <c r="O1467" s="6">
        <v>9</v>
      </c>
      <c r="P1467" s="6">
        <v>8</v>
      </c>
      <c r="Q1467" s="6">
        <v>8</v>
      </c>
      <c r="R1467" s="6"/>
      <c r="S1467" s="50">
        <f>SUM(F1467:R1467)</f>
        <v>82</v>
      </c>
      <c r="T1467" s="50">
        <f>COUNT(F1467:R1467)</f>
        <v>10</v>
      </c>
      <c r="U1467" s="36">
        <f>IF(T1467&gt;=2,ROUND((IF(T1467=2,0.55,IF(T1467&lt;=4,0.7,IF(T1467&lt;=6,0.8,IF(T1467&lt;=9,0.9,1))))*(S1467/T1467)+(1-(IF(T1467=2,0.55,IF(T1467&lt;=4,0.7,IF(T1467&lt;=6,0.8,IF(T1467&lt;=9,0.9,1))))))*$Y$1),1),"")</f>
        <v>8.2</v>
      </c>
      <c r="V1467" s="37">
        <v>6.3</v>
      </c>
      <c r="W1467" s="38" t="s">
        <v>44</v>
      </c>
    </row>
    <row r="1468" ht="24" customHeight="1" spans="1:23" x14ac:dyDescent="0.25">
      <c r="A1468" s="47">
        <v>202</v>
      </c>
      <c r="B1468" s="32" t="s">
        <v>1570</v>
      </c>
      <c r="C1468" s="48" t="s">
        <v>24</v>
      </c>
      <c r="D1468" s="49">
        <v>2008</v>
      </c>
      <c r="E1468" s="34" t="s">
        <v>92</v>
      </c>
      <c r="F1468" s="6">
        <v>9</v>
      </c>
      <c r="G1468" s="6">
        <v>9</v>
      </c>
      <c r="H1468" s="6">
        <v>8</v>
      </c>
      <c r="I1468" s="6">
        <v>8</v>
      </c>
      <c r="J1468" s="6">
        <v>9</v>
      </c>
      <c r="K1468" s="6">
        <v>8</v>
      </c>
      <c r="L1468" s="6">
        <v>8</v>
      </c>
      <c r="M1468" s="6">
        <v>8</v>
      </c>
      <c r="N1468" s="6">
        <v>8</v>
      </c>
      <c r="O1468" s="6">
        <v>8</v>
      </c>
      <c r="P1468" s="6">
        <v>10</v>
      </c>
      <c r="Q1468" s="6">
        <v>8</v>
      </c>
      <c r="R1468" s="6"/>
      <c r="S1468" s="50">
        <f>SUM(F1468:R1468)</f>
        <v>101</v>
      </c>
      <c r="T1468" s="50">
        <f>COUNT(F1468:R1468)</f>
        <v>12</v>
      </c>
      <c r="U1468" s="36">
        <f>IF(T1468&gt;=2,ROUND((IF(T1468=2,0.55,IF(T1468&lt;=4,0.7,IF(T1468&lt;=6,0.8,IF(T1468&lt;=9,0.9,1))))*(S1468/T1468)+(1-(IF(T1468=2,0.55,IF(T1468&lt;=4,0.7,IF(T1468&lt;=6,0.8,IF(T1468&lt;=9,0.9,1))))))*$Y$1),1),"")</f>
        <v>8.4</v>
      </c>
      <c r="V1468" s="37">
        <v>7.5</v>
      </c>
      <c r="W1468" s="38" t="s">
        <v>44</v>
      </c>
    </row>
    <row r="1469" ht="24" customHeight="1" spans="1:23" x14ac:dyDescent="0.25">
      <c r="A1469" s="31">
        <v>49</v>
      </c>
      <c r="B1469" s="32" t="s">
        <v>1571</v>
      </c>
      <c r="C1469" s="33" t="s">
        <v>24</v>
      </c>
      <c r="D1469" s="34">
        <v>2017</v>
      </c>
      <c r="E1469" s="34" t="s">
        <v>92</v>
      </c>
      <c r="F1469" s="6"/>
      <c r="G1469" s="6">
        <v>10</v>
      </c>
      <c r="H1469" s="6"/>
      <c r="I1469" s="6"/>
      <c r="J1469" s="6">
        <v>10</v>
      </c>
      <c r="K1469" s="6">
        <v>8</v>
      </c>
      <c r="L1469" s="6">
        <v>8</v>
      </c>
      <c r="M1469" s="6"/>
      <c r="N1469" s="6">
        <v>8</v>
      </c>
      <c r="O1469" s="6">
        <v>8</v>
      </c>
      <c r="P1469" s="6">
        <v>10</v>
      </c>
      <c r="Q1469" s="6">
        <v>8</v>
      </c>
      <c r="R1469" s="6">
        <v>6</v>
      </c>
      <c r="S1469" s="35">
        <f>SUM(F1469:R1469)</f>
        <v>76</v>
      </c>
      <c r="T1469" s="35">
        <f>COUNT(F1469:R1469)</f>
        <v>9</v>
      </c>
      <c r="U1469" s="36">
        <f>IF(T1469&gt;=2,ROUND((IF(T1469=2,0.55,IF(T1469&lt;=4,0.7,IF(T1469&lt;=6,0.8,IF(T1469&lt;=9,0.9,1))))*(S1469/T1469)+(1-(IF(T1469=2,0.55,IF(T1469&lt;=4,0.7,IF(T1469&lt;=6,0.8,IF(T1469&lt;=9,0.9,1))))))*$Y$1),1),"")</f>
        <v>8.4</v>
      </c>
      <c r="V1469" s="37">
        <v>7.8</v>
      </c>
      <c r="W1469" s="38"/>
    </row>
    <row r="1470" ht="47.25" customHeight="1" spans="1:23" x14ac:dyDescent="0.25">
      <c r="A1470" s="31">
        <v>1271</v>
      </c>
      <c r="B1470" s="32" t="s">
        <v>1572</v>
      </c>
      <c r="C1470" s="33" t="s">
        <v>24</v>
      </c>
      <c r="D1470" s="34">
        <v>2021</v>
      </c>
      <c r="E1470" s="34" t="s">
        <v>30</v>
      </c>
      <c r="F1470" s="6"/>
      <c r="G1470" s="6">
        <v>8</v>
      </c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35">
        <f>SUM(F1470:R1470)</f>
        <v>8</v>
      </c>
      <c r="T1470" s="35">
        <f>COUNT(F1470:R1470)</f>
        <v>1</v>
      </c>
      <c r="U1470" s="36">
        <f>IF(T1470&gt;=2,ROUND((IF(T1470=2,0.55,IF(T1470&lt;=4,0.7,IF(T1470&lt;=6,0.8,IF(T1470&lt;=9,0.9,1))))*(S1470/T1470)+(1-(IF(T1470=2,0.55,IF(T1470&lt;=4,0.7,IF(T1470&lt;=6,0.8,IF(T1470&lt;=9,0.9,1))))))*$Y$1),1),"")</f>
      </c>
      <c r="V1470" s="37">
        <v>8</v>
      </c>
      <c r="W1470" s="38"/>
    </row>
    <row r="1471" ht="24" customHeight="1" spans="1:23" x14ac:dyDescent="0.25">
      <c r="A1471" s="31">
        <v>1743</v>
      </c>
      <c r="B1471" s="32" t="s">
        <v>1573</v>
      </c>
      <c r="C1471" s="33" t="s">
        <v>24</v>
      </c>
      <c r="D1471" s="34">
        <v>2018</v>
      </c>
      <c r="E1471" s="34" t="s">
        <v>30</v>
      </c>
      <c r="F1471" s="6"/>
      <c r="G1471" s="6"/>
      <c r="H1471" s="6"/>
      <c r="I1471" s="6"/>
      <c r="J1471" s="6"/>
      <c r="K1471" s="6"/>
      <c r="L1471" s="6"/>
      <c r="M1471" s="6"/>
      <c r="N1471" s="6"/>
      <c r="O1471" s="6">
        <v>7</v>
      </c>
      <c r="P1471" s="6"/>
      <c r="Q1471" s="6"/>
      <c r="R1471" s="6"/>
      <c r="S1471" s="35">
        <f>SUM(F1471:R1471)</f>
        <v>7</v>
      </c>
      <c r="T1471" s="35">
        <f>COUNT(F1471:R1471)</f>
        <v>1</v>
      </c>
      <c r="U1471" s="36">
        <f>IF(T1471&gt;=2,ROUND((IF(T1471=2,0.55,IF(T1471&lt;=4,0.7,IF(T1471&lt;=6,0.8,IF(T1471&lt;=9,0.9,1))))*(S1471/T1471)+(1-(IF(T1471=2,0.55,IF(T1471&lt;=4,0.7,IF(T1471&lt;=6,0.8,IF(T1471&lt;=9,0.9,1))))))*$Y$1),1),"")</f>
      </c>
      <c r="V1471" s="37">
        <v>6.5</v>
      </c>
      <c r="W1471" s="38"/>
    </row>
    <row r="1472" ht="24" customHeight="1" spans="1:23" x14ac:dyDescent="0.25">
      <c r="A1472" s="31">
        <v>1404</v>
      </c>
      <c r="B1472" s="32" t="s">
        <v>1574</v>
      </c>
      <c r="C1472" s="33" t="s">
        <v>24</v>
      </c>
      <c r="D1472" s="34">
        <v>2022</v>
      </c>
      <c r="E1472" s="34" t="s">
        <v>141</v>
      </c>
      <c r="F1472" s="6"/>
      <c r="G1472" s="6"/>
      <c r="H1472" s="6"/>
      <c r="I1472" s="6"/>
      <c r="J1472" s="6"/>
      <c r="K1472" s="6"/>
      <c r="L1472" s="6"/>
      <c r="M1472" s="6"/>
      <c r="N1472" s="6"/>
      <c r="O1472" s="6">
        <v>6</v>
      </c>
      <c r="P1472" s="6"/>
      <c r="Q1472" s="6"/>
      <c r="R1472" s="6"/>
      <c r="S1472" s="35">
        <f>SUM(F1472:R1472)</f>
        <v>6</v>
      </c>
      <c r="T1472" s="35">
        <f>COUNT(F1472:R1472)</f>
        <v>1</v>
      </c>
      <c r="U1472" s="36">
        <f>IF(T1472&gt;=2,ROUND((IF(T1472=2,0.55,IF(T1472&lt;=4,0.7,IF(T1472&lt;=6,0.8,IF(T1472&lt;=9,0.9,1))))*(S1472/T1472)+(1-(IF(T1472=2,0.55,IF(T1472&lt;=4,0.7,IF(T1472&lt;=6,0.8,IF(T1472&lt;=9,0.9,1))))))*$Y$1),1),"")</f>
      </c>
      <c r="V1472" s="37">
        <v>6.1</v>
      </c>
      <c r="W1472" s="38"/>
    </row>
    <row r="1473" ht="24" customHeight="1" spans="1:23" x14ac:dyDescent="0.25">
      <c r="A1473" s="40">
        <v>2111</v>
      </c>
      <c r="B1473" s="32" t="s">
        <v>1575</v>
      </c>
      <c r="C1473" s="33" t="s">
        <v>24</v>
      </c>
      <c r="D1473" s="34">
        <v>2000</v>
      </c>
      <c r="E1473" s="41"/>
      <c r="F1473" s="6"/>
      <c r="G1473" s="6">
        <v>6</v>
      </c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35">
        <f>SUM(F1473:R1473)</f>
        <v>6</v>
      </c>
      <c r="T1473" s="35">
        <f>COUNT(F1473:R1473)</f>
        <v>1</v>
      </c>
      <c r="U1473" s="36">
        <f>IF(T1473&gt;=2,ROUND((IF(T1473=2,0.55,IF(T1473&lt;=4,0.7,IF(T1473&lt;=6,0.8,IF(T1473&lt;=9,0.9,1))))*(S1473/T1473)+(1-(IF(T1473=2,0.55,IF(T1473&lt;=4,0.7,IF(T1473&lt;=6,0.8,IF(T1473&lt;=9,0.9,1))))))*$Y$1),1),"")</f>
      </c>
      <c r="V1473" s="37">
        <v>7.8</v>
      </c>
      <c r="W1473" s="38"/>
    </row>
    <row r="1474" ht="24" customHeight="1" spans="1:23" x14ac:dyDescent="0.25">
      <c r="A1474" s="31">
        <v>265</v>
      </c>
      <c r="B1474" s="32" t="s">
        <v>1576</v>
      </c>
      <c r="C1474" s="33" t="s">
        <v>24</v>
      </c>
      <c r="D1474" s="34">
        <v>2018</v>
      </c>
      <c r="E1474" s="34" t="s">
        <v>1577</v>
      </c>
      <c r="F1474" s="6"/>
      <c r="G1474" s="6"/>
      <c r="H1474" s="6"/>
      <c r="I1474" s="6"/>
      <c r="J1474" s="6"/>
      <c r="K1474" s="6">
        <v>8</v>
      </c>
      <c r="L1474" s="6"/>
      <c r="M1474" s="6"/>
      <c r="N1474" s="6"/>
      <c r="O1474" s="6"/>
      <c r="P1474" s="6"/>
      <c r="Q1474" s="6">
        <v>8</v>
      </c>
      <c r="R1474" s="6"/>
      <c r="S1474" s="35">
        <f>SUM(F1474:R1474)</f>
        <v>16</v>
      </c>
      <c r="T1474" s="35">
        <f>COUNT(F1474:R1474)</f>
        <v>2</v>
      </c>
      <c r="U1474" s="36">
        <f>IF(T1474&gt;=2,ROUND((IF(T1474=2,0.55,IF(T1474&lt;=4,0.7,IF(T1474&lt;=6,0.8,IF(T1474&lt;=9,0.9,1))))*(S1474/T1474)+(1-(IF(T1474=2,0.55,IF(T1474&lt;=4,0.7,IF(T1474&lt;=6,0.8,IF(T1474&lt;=9,0.9,1))))))*$Y$1),1),"")</f>
        <v>8</v>
      </c>
      <c r="V1474" s="37">
        <v>6.3</v>
      </c>
      <c r="W1474" s="38"/>
    </row>
    <row r="1475" ht="24" customHeight="1" spans="1:23" x14ac:dyDescent="0.25">
      <c r="A1475" s="47">
        <v>997</v>
      </c>
      <c r="B1475" s="32" t="s">
        <v>1578</v>
      </c>
      <c r="C1475" s="48" t="s">
        <v>24</v>
      </c>
      <c r="D1475" s="49">
        <v>2020</v>
      </c>
      <c r="E1475" s="49" t="s">
        <v>92</v>
      </c>
      <c r="F1475" s="6">
        <v>8</v>
      </c>
      <c r="G1475" s="6">
        <v>8</v>
      </c>
      <c r="H1475" s="6">
        <v>8</v>
      </c>
      <c r="I1475" s="6">
        <v>8</v>
      </c>
      <c r="J1475" s="6">
        <v>8</v>
      </c>
      <c r="K1475" s="6">
        <v>10</v>
      </c>
      <c r="L1475" s="6">
        <v>8</v>
      </c>
      <c r="M1475" s="6">
        <v>8</v>
      </c>
      <c r="N1475" s="6">
        <v>8</v>
      </c>
      <c r="O1475" s="6"/>
      <c r="P1475" s="6">
        <v>10</v>
      </c>
      <c r="Q1475" s="6">
        <v>10</v>
      </c>
      <c r="R1475" s="6">
        <v>10</v>
      </c>
      <c r="S1475" s="50">
        <f>SUM(F1475:R1475)</f>
        <v>104</v>
      </c>
      <c r="T1475" s="50">
        <f>COUNT(F1475:R1475)</f>
        <v>12</v>
      </c>
      <c r="U1475" s="36">
        <f>IF(T1475&gt;=2,ROUND((IF(T1475=2,0.55,IF(T1475&lt;=4,0.7,IF(T1475&lt;=6,0.8,IF(T1475&lt;=9,0.9,1))))*(S1475/T1475)+(1-(IF(T1475=2,0.55,IF(T1475&lt;=4,0.7,IF(T1475&lt;=6,0.8,IF(T1475&lt;=9,0.9,1))))))*$Y$1),1),"")</f>
        <v>8.7</v>
      </c>
      <c r="V1475" s="37">
        <v>7.7</v>
      </c>
      <c r="W1475" s="38" t="s">
        <v>44</v>
      </c>
    </row>
    <row r="1476" ht="24" customHeight="1" spans="1:23" x14ac:dyDescent="0.25">
      <c r="A1476" s="31">
        <v>1594</v>
      </c>
      <c r="B1476" s="32" t="s">
        <v>1579</v>
      </c>
      <c r="C1476" s="33" t="s">
        <v>24</v>
      </c>
      <c r="D1476" s="34">
        <v>2019</v>
      </c>
      <c r="E1476" s="34" t="s">
        <v>27</v>
      </c>
      <c r="F1476" s="6"/>
      <c r="G1476" s="6"/>
      <c r="H1476" s="6"/>
      <c r="I1476" s="6"/>
      <c r="J1476" s="6"/>
      <c r="K1476" s="6"/>
      <c r="L1476" s="6"/>
      <c r="M1476" s="6"/>
      <c r="N1476" s="6"/>
      <c r="O1476" s="6">
        <v>8</v>
      </c>
      <c r="P1476" s="6"/>
      <c r="Q1476" s="6"/>
      <c r="R1476" s="6"/>
      <c r="S1476" s="35">
        <f>SUM(F1476:R1476)</f>
        <v>8</v>
      </c>
      <c r="T1476" s="35">
        <f>COUNT(F1476:R1476)</f>
        <v>1</v>
      </c>
      <c r="U1476" s="36">
        <f>IF(T1476&gt;=2,ROUND((IF(T1476=2,0.55,IF(T1476&lt;=4,0.7,IF(T1476&lt;=6,0.8,IF(T1476&lt;=9,0.9,1))))*(S1476/T1476)+(1-(IF(T1476=2,0.55,IF(T1476&lt;=4,0.7,IF(T1476&lt;=6,0.8,IF(T1476&lt;=9,0.9,1))))))*$Y$1),1),"")</f>
      </c>
      <c r="V1476" s="37">
        <v>7.2</v>
      </c>
      <c r="W1476" s="38"/>
    </row>
    <row r="1477" ht="24" customHeight="1" spans="1:23" x14ac:dyDescent="0.25">
      <c r="A1477" s="31">
        <v>1268</v>
      </c>
      <c r="B1477" s="32" t="s">
        <v>1580</v>
      </c>
      <c r="C1477" s="33" t="s">
        <v>24</v>
      </c>
      <c r="D1477" s="34">
        <v>2021</v>
      </c>
      <c r="E1477" s="34" t="s">
        <v>48</v>
      </c>
      <c r="F1477" s="6"/>
      <c r="G1477" s="6">
        <v>8</v>
      </c>
      <c r="H1477" s="6"/>
      <c r="I1477" s="6"/>
      <c r="J1477" s="6">
        <v>9</v>
      </c>
      <c r="K1477" s="6">
        <v>8</v>
      </c>
      <c r="L1477" s="6"/>
      <c r="M1477" s="6"/>
      <c r="N1477" s="6"/>
      <c r="O1477" s="6"/>
      <c r="P1477" s="6"/>
      <c r="Q1477" s="6">
        <v>8</v>
      </c>
      <c r="R1477" s="6"/>
      <c r="S1477" s="35">
        <f>SUM(F1477:R1477)</f>
        <v>33</v>
      </c>
      <c r="T1477" s="35">
        <f>COUNT(F1477:R1477)</f>
        <v>4</v>
      </c>
      <c r="U1477" s="36">
        <f>IF(T1477&gt;=2,ROUND((IF(T1477=2,0.55,IF(T1477&lt;=4,0.7,IF(T1477&lt;=6,0.8,IF(T1477&lt;=9,0.9,1))))*(S1477/T1477)+(1-(IF(T1477=2,0.55,IF(T1477&lt;=4,0.7,IF(T1477&lt;=6,0.8,IF(T1477&lt;=9,0.9,1))))))*$Y$1),1),"")</f>
        <v>8.2</v>
      </c>
      <c r="V1477" s="37">
        <v>7.5</v>
      </c>
      <c r="W1477" s="38"/>
    </row>
    <row r="1478" ht="24" customHeight="1" spans="1:23" s="39" customFormat="1" x14ac:dyDescent="0.25">
      <c r="A1478" s="31">
        <v>889</v>
      </c>
      <c r="B1478" s="32" t="s">
        <v>1581</v>
      </c>
      <c r="C1478" s="33" t="s">
        <v>24</v>
      </c>
      <c r="D1478" s="34">
        <v>2011</v>
      </c>
      <c r="E1478" s="34" t="s">
        <v>27</v>
      </c>
      <c r="F1478" s="6">
        <v>6</v>
      </c>
      <c r="G1478" s="6">
        <v>8</v>
      </c>
      <c r="H1478" s="6"/>
      <c r="I1478" s="6"/>
      <c r="J1478" s="6">
        <v>8</v>
      </c>
      <c r="K1478" s="6"/>
      <c r="L1478" s="6"/>
      <c r="M1478" s="6"/>
      <c r="N1478" s="6"/>
      <c r="O1478" s="6"/>
      <c r="P1478" s="6">
        <v>6</v>
      </c>
      <c r="Q1478" s="6"/>
      <c r="R1478" s="6"/>
      <c r="S1478" s="35">
        <f>SUM(F1478:R1478)</f>
        <v>28</v>
      </c>
      <c r="T1478" s="35">
        <f>COUNT(F1478:R1478)</f>
        <v>4</v>
      </c>
      <c r="U1478" s="36">
        <f>IF(T1478&gt;=2,ROUND((IF(T1478=2,0.55,IF(T1478&lt;=4,0.7,IF(T1478&lt;=6,0.8,IF(T1478&lt;=9,0.9,1))))*(S1478/T1478)+(1-(IF(T1478=2,0.55,IF(T1478&lt;=4,0.7,IF(T1478&lt;=6,0.8,IF(T1478&lt;=9,0.9,1))))))*$Y$1),1),"")</f>
        <v>7.3</v>
      </c>
      <c r="V1478" s="37">
        <v>7.8</v>
      </c>
      <c r="W1478" s="38"/>
    </row>
    <row r="1479" ht="24" customHeight="1" spans="1:23" x14ac:dyDescent="0.25">
      <c r="A1479" s="40">
        <v>2128</v>
      </c>
      <c r="B1479" s="32" t="s">
        <v>1582</v>
      </c>
      <c r="C1479" s="33" t="s">
        <v>24</v>
      </c>
      <c r="D1479" s="34">
        <v>2002</v>
      </c>
      <c r="E1479" s="41"/>
      <c r="F1479" s="6"/>
      <c r="G1479" s="6">
        <v>7</v>
      </c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35">
        <f>SUM(F1479:R1479)</f>
        <v>7</v>
      </c>
      <c r="T1479" s="35">
        <f>COUNT(F1479:R1479)</f>
        <v>1</v>
      </c>
      <c r="U1479" s="36">
        <f>IF(T1479&gt;=2,ROUND((IF(T1479=2,0.55,IF(T1479&lt;=4,0.7,IF(T1479&lt;=6,0.8,IF(T1479&lt;=9,0.9,1))))*(S1479/T1479)+(1-(IF(T1479=2,0.55,IF(T1479&lt;=4,0.7,IF(T1479&lt;=6,0.8,IF(T1479&lt;=9,0.9,1))))))*$Y$1),1),"")</f>
      </c>
      <c r="V1479" s="37">
        <v>6.7</v>
      </c>
      <c r="W1479" s="38"/>
    </row>
    <row r="1480" ht="24" customHeight="1" spans="1:23" x14ac:dyDescent="0.25">
      <c r="A1480" s="40">
        <v>2172</v>
      </c>
      <c r="B1480" s="32" t="s">
        <v>1583</v>
      </c>
      <c r="C1480" s="33" t="s">
        <v>24</v>
      </c>
      <c r="D1480" s="34">
        <v>2006</v>
      </c>
      <c r="E1480" s="41"/>
      <c r="F1480" s="6"/>
      <c r="G1480" s="6">
        <v>7</v>
      </c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35">
        <f>SUM(F1480:R1480)</f>
        <v>7</v>
      </c>
      <c r="T1480" s="35">
        <f>COUNT(F1480:R1480)</f>
        <v>1</v>
      </c>
      <c r="U1480" s="36">
        <f>IF(T1480&gt;=2,ROUND((IF(T1480=2,0.55,IF(T1480&lt;=4,0.7,IF(T1480&lt;=6,0.8,IF(T1480&lt;=9,0.9,1))))*(S1480/T1480)+(1-(IF(T1480=2,0.55,IF(T1480&lt;=4,0.7,IF(T1480&lt;=6,0.8,IF(T1480&lt;=9,0.9,1))))))*$Y$1),1),"")</f>
      </c>
      <c r="V1480" s="37">
        <v>6.6</v>
      </c>
      <c r="W1480" s="38"/>
    </row>
    <row r="1481" ht="24" customHeight="1" spans="1:23" x14ac:dyDescent="0.25">
      <c r="A1481" s="31">
        <v>1809</v>
      </c>
      <c r="B1481" s="32" t="s">
        <v>1584</v>
      </c>
      <c r="C1481" s="33" t="s">
        <v>29</v>
      </c>
      <c r="D1481" s="34">
        <v>2023</v>
      </c>
      <c r="E1481" s="34" t="s">
        <v>30</v>
      </c>
      <c r="F1481" s="6"/>
      <c r="G1481" s="6"/>
      <c r="H1481" s="6"/>
      <c r="I1481" s="6"/>
      <c r="J1481" s="6"/>
      <c r="K1481" s="6"/>
      <c r="L1481" s="6"/>
      <c r="M1481" s="6">
        <v>8</v>
      </c>
      <c r="N1481" s="6"/>
      <c r="O1481" s="6"/>
      <c r="P1481" s="6"/>
      <c r="Q1481" s="6"/>
      <c r="R1481" s="6"/>
      <c r="S1481" s="35">
        <f>SUM(F1481:R1481)</f>
        <v>8</v>
      </c>
      <c r="T1481" s="35">
        <f>COUNT(F1481:R1481)</f>
        <v>1</v>
      </c>
      <c r="U1481" s="36">
        <f>IF(T1481&gt;=2,ROUND((IF(T1481=2,0.55,IF(T1481&lt;=4,0.7,IF(T1481&lt;=6,0.8,IF(T1481&lt;=9,0.9,1))))*(S1481/T1481)+(1-(IF(T1481=2,0.55,IF(T1481&lt;=4,0.7,IF(T1481&lt;=6,0.8,IF(T1481&lt;=9,0.9,1))))))*$Y$1),1),"")</f>
      </c>
      <c r="V1481" s="37">
        <v>7.5</v>
      </c>
      <c r="W1481" s="38"/>
    </row>
    <row r="1482" ht="24" customHeight="1" spans="1:23" x14ac:dyDescent="0.25">
      <c r="A1482" s="31">
        <v>1983</v>
      </c>
      <c r="B1482" s="32" t="s">
        <v>1585</v>
      </c>
      <c r="C1482" s="33" t="s">
        <v>24</v>
      </c>
      <c r="D1482" s="34">
        <v>1964</v>
      </c>
      <c r="E1482" s="34" t="s">
        <v>25</v>
      </c>
      <c r="F1482" s="6"/>
      <c r="G1482" s="6">
        <v>7</v>
      </c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35">
        <f>SUM(F1482:R1482)</f>
        <v>7</v>
      </c>
      <c r="T1482" s="35">
        <f>COUNT(F1482:R1482)</f>
        <v>1</v>
      </c>
      <c r="U1482" s="36">
        <f>IF(T1482&gt;=2,ROUND((IF(T1482=2,0.55,IF(T1482&lt;=4,0.7,IF(T1482&lt;=6,0.8,IF(T1482&lt;=9,0.9,1))))*(S1482/T1482)+(1-(IF(T1482=2,0.55,IF(T1482&lt;=4,0.7,IF(T1482&lt;=6,0.8,IF(T1482&lt;=9,0.9,1))))))*$Y$1),1),"")</f>
      </c>
      <c r="V1482" s="37">
        <v>8.3</v>
      </c>
      <c r="W1482" s="38"/>
    </row>
    <row r="1483" ht="24" customHeight="1" spans="1:23" x14ac:dyDescent="0.25">
      <c r="A1483" s="31">
        <v>1667</v>
      </c>
      <c r="B1483" s="32" t="s">
        <v>1586</v>
      </c>
      <c r="C1483" s="33" t="s">
        <v>29</v>
      </c>
      <c r="D1483" s="34">
        <v>2021</v>
      </c>
      <c r="E1483" s="34" t="s">
        <v>81</v>
      </c>
      <c r="F1483" s="6"/>
      <c r="G1483" s="6"/>
      <c r="H1483" s="6"/>
      <c r="I1483" s="6"/>
      <c r="J1483" s="6"/>
      <c r="K1483" s="6"/>
      <c r="L1483" s="6">
        <v>7</v>
      </c>
      <c r="M1483" s="6"/>
      <c r="N1483" s="6"/>
      <c r="O1483" s="6"/>
      <c r="P1483" s="6"/>
      <c r="Q1483" s="6"/>
      <c r="R1483" s="6"/>
      <c r="S1483" s="35">
        <f>SUM(F1483:R1483)</f>
        <v>7</v>
      </c>
      <c r="T1483" s="35">
        <f>COUNT(F1483:R1483)</f>
        <v>1</v>
      </c>
      <c r="U1483" s="36">
        <f>IF(T1483&gt;=2,ROUND((IF(T1483=2,0.55,IF(T1483&lt;=4,0.7,IF(T1483&lt;=6,0.8,IF(T1483&lt;=9,0.9,1))))*(S1483/T1483)+(1-(IF(T1483=2,0.55,IF(T1483&lt;=4,0.7,IF(T1483&lt;=6,0.8,IF(T1483&lt;=9,0.9,1))))))*$Y$1),1),"")</f>
      </c>
      <c r="V1483" s="37">
        <v>7.6</v>
      </c>
      <c r="W1483" s="38"/>
    </row>
    <row r="1484" ht="24" customHeight="1" spans="1:23" x14ac:dyDescent="0.25">
      <c r="A1484" s="31">
        <v>1073</v>
      </c>
      <c r="B1484" s="32" t="s">
        <v>1587</v>
      </c>
      <c r="C1484" s="33" t="s">
        <v>29</v>
      </c>
      <c r="D1484" s="34">
        <v>2019</v>
      </c>
      <c r="E1484" s="34" t="s">
        <v>1034</v>
      </c>
      <c r="F1484" s="6"/>
      <c r="G1484" s="6"/>
      <c r="H1484" s="6"/>
      <c r="I1484" s="6"/>
      <c r="J1484" s="6"/>
      <c r="K1484" s="6"/>
      <c r="L1484" s="6">
        <v>8</v>
      </c>
      <c r="M1484" s="6"/>
      <c r="N1484" s="6"/>
      <c r="O1484" s="6"/>
      <c r="P1484" s="6"/>
      <c r="Q1484" s="6"/>
      <c r="R1484" s="6"/>
      <c r="S1484" s="35">
        <f>SUM(F1484:R1484)</f>
        <v>8</v>
      </c>
      <c r="T1484" s="35">
        <f>COUNT(F1484:R1484)</f>
        <v>1</v>
      </c>
      <c r="U1484" s="36">
        <f>IF(T1484&gt;=2,ROUND((IF(T1484=2,0.55,IF(T1484&lt;=4,0.7,IF(T1484&lt;=6,0.8,IF(T1484&lt;=9,0.9,1))))*(S1484/T1484)+(1-(IF(T1484=2,0.55,IF(T1484&lt;=4,0.7,IF(T1484&lt;=6,0.8,IF(T1484&lt;=9,0.9,1))))))*$Y$1),1),"")</f>
      </c>
      <c r="V1484" s="37">
        <v>7.4</v>
      </c>
      <c r="W1484" s="38"/>
    </row>
    <row r="1485" ht="47.25" customHeight="1" spans="1:23" x14ac:dyDescent="0.25">
      <c r="A1485" s="31">
        <v>949</v>
      </c>
      <c r="B1485" s="32" t="s">
        <v>1588</v>
      </c>
      <c r="C1485" s="33" t="s">
        <v>114</v>
      </c>
      <c r="D1485" s="34">
        <v>2019</v>
      </c>
      <c r="E1485" s="34" t="s">
        <v>30</v>
      </c>
      <c r="F1485" s="6"/>
      <c r="G1485" s="6">
        <v>7</v>
      </c>
      <c r="H1485" s="6"/>
      <c r="I1485" s="6"/>
      <c r="J1485" s="6"/>
      <c r="K1485" s="6"/>
      <c r="L1485" s="6">
        <v>6</v>
      </c>
      <c r="M1485" s="6"/>
      <c r="N1485" s="6">
        <v>8</v>
      </c>
      <c r="O1485" s="6"/>
      <c r="P1485" s="6"/>
      <c r="Q1485" s="6"/>
      <c r="R1485" s="6"/>
      <c r="S1485" s="35">
        <f>SUM(F1485:R1485)</f>
        <v>21</v>
      </c>
      <c r="T1485" s="35">
        <f>COUNT(F1485:R1485)</f>
        <v>3</v>
      </c>
      <c r="U1485" s="36">
        <f>IF(T1485&gt;=2,ROUND((IF(T1485=2,0.55,IF(T1485&lt;=4,0.7,IF(T1485&lt;=6,0.8,IF(T1485&lt;=9,0.9,1))))*(S1485/T1485)+(1-(IF(T1485=2,0.55,IF(T1485&lt;=4,0.7,IF(T1485&lt;=6,0.8,IF(T1485&lt;=9,0.9,1))))))*$Y$1),1),"")</f>
        <v>7.3</v>
      </c>
      <c r="V1485" s="37">
        <v>7.4</v>
      </c>
      <c r="W1485" s="38"/>
    </row>
    <row r="1486" ht="24" customHeight="1" spans="1:23" x14ac:dyDescent="0.25">
      <c r="A1486" s="31">
        <v>48</v>
      </c>
      <c r="B1486" s="32" t="s">
        <v>1588</v>
      </c>
      <c r="C1486" s="33" t="s">
        <v>29</v>
      </c>
      <c r="D1486" s="34">
        <v>2010</v>
      </c>
      <c r="E1486" s="34" t="s">
        <v>30</v>
      </c>
      <c r="F1486" s="6"/>
      <c r="G1486" s="6"/>
      <c r="H1486" s="6">
        <v>10</v>
      </c>
      <c r="I1486" s="6"/>
      <c r="J1486" s="6">
        <v>10</v>
      </c>
      <c r="K1486" s="6">
        <v>8</v>
      </c>
      <c r="L1486" s="6">
        <v>10</v>
      </c>
      <c r="M1486" s="6">
        <v>9</v>
      </c>
      <c r="N1486" s="6">
        <v>8</v>
      </c>
      <c r="O1486" s="6">
        <v>8</v>
      </c>
      <c r="P1486" s="6"/>
      <c r="Q1486" s="6">
        <v>8</v>
      </c>
      <c r="R1486" s="6"/>
      <c r="S1486" s="35">
        <f>SUM(F1486:R1486)</f>
        <v>71</v>
      </c>
      <c r="T1486" s="35">
        <f>COUNT(F1486:R1486)</f>
        <v>8</v>
      </c>
      <c r="U1486" s="36">
        <f>IF(T1486&gt;=2,ROUND((IF(T1486=2,0.55,IF(T1486&lt;=4,0.7,IF(T1486&lt;=6,0.8,IF(T1486&lt;=9,0.9,1))))*(S1486/T1486)+(1-(IF(T1486=2,0.55,IF(T1486&lt;=4,0.7,IF(T1486&lt;=6,0.8,IF(T1486&lt;=9,0.9,1))))))*$Y$1),1),"")</f>
        <v>8.8</v>
      </c>
      <c r="V1486" s="37">
        <v>8.7</v>
      </c>
      <c r="W1486" s="38"/>
    </row>
    <row r="1487" ht="24" customHeight="1" spans="1:23" x14ac:dyDescent="0.25">
      <c r="A1487" s="31">
        <v>416</v>
      </c>
      <c r="B1487" s="32" t="s">
        <v>1589</v>
      </c>
      <c r="C1487" s="33" t="s">
        <v>24</v>
      </c>
      <c r="D1487" s="34">
        <v>1965</v>
      </c>
      <c r="E1487" s="34" t="s">
        <v>92</v>
      </c>
      <c r="F1487" s="6"/>
      <c r="G1487" s="6">
        <v>8</v>
      </c>
      <c r="H1487" s="6">
        <v>10</v>
      </c>
      <c r="I1487" s="6"/>
      <c r="J1487" s="6"/>
      <c r="K1487" s="6">
        <v>10</v>
      </c>
      <c r="L1487" s="6">
        <v>8</v>
      </c>
      <c r="M1487" s="6">
        <v>8</v>
      </c>
      <c r="N1487" s="6">
        <v>8</v>
      </c>
      <c r="O1487" s="6"/>
      <c r="P1487" s="6">
        <v>8</v>
      </c>
      <c r="Q1487" s="6">
        <v>10</v>
      </c>
      <c r="R1487" s="6"/>
      <c r="S1487" s="35">
        <f>SUM(F1487:R1487)</f>
        <v>70</v>
      </c>
      <c r="T1487" s="35">
        <f>COUNT(F1487:R1487)</f>
        <v>8</v>
      </c>
      <c r="U1487" s="36">
        <f>IF(T1487&gt;=2,ROUND((IF(T1487=2,0.55,IF(T1487&lt;=4,0.7,IF(T1487&lt;=6,0.8,IF(T1487&lt;=9,0.9,1))))*(S1487/T1487)+(1-(IF(T1487=2,0.55,IF(T1487&lt;=4,0.7,IF(T1487&lt;=6,0.8,IF(T1487&lt;=9,0.9,1))))))*$Y$1),1),"")</f>
        <v>8.7</v>
      </c>
      <c r="V1487" s="37">
        <v>7.9</v>
      </c>
      <c r="W1487" s="38"/>
    </row>
    <row r="1488" ht="24" customHeight="1" spans="1:23" x14ac:dyDescent="0.25">
      <c r="A1488" s="31">
        <v>1071</v>
      </c>
      <c r="B1488" s="32" t="s">
        <v>1590</v>
      </c>
      <c r="C1488" s="33" t="s">
        <v>24</v>
      </c>
      <c r="D1488" s="34">
        <v>2021</v>
      </c>
      <c r="E1488" s="34" t="s">
        <v>69</v>
      </c>
      <c r="F1488" s="6"/>
      <c r="G1488" s="6"/>
      <c r="H1488" s="6"/>
      <c r="I1488" s="6"/>
      <c r="J1488" s="6"/>
      <c r="K1488" s="6"/>
      <c r="L1488" s="6">
        <v>8</v>
      </c>
      <c r="M1488" s="6"/>
      <c r="N1488" s="6"/>
      <c r="O1488" s="6"/>
      <c r="P1488" s="6"/>
      <c r="Q1488" s="6"/>
      <c r="R1488" s="6">
        <v>10</v>
      </c>
      <c r="S1488" s="35">
        <f>SUM(F1488:R1488)</f>
        <v>18</v>
      </c>
      <c r="T1488" s="35">
        <f>COUNT(F1488:R1488)</f>
        <v>2</v>
      </c>
      <c r="U1488" s="36">
        <f>IF(T1488&gt;=2,ROUND((IF(T1488=2,0.55,IF(T1488&lt;=4,0.7,IF(T1488&lt;=6,0.8,IF(T1488&lt;=9,0.9,1))))*(S1488/T1488)+(1-(IF(T1488=2,0.55,IF(T1488&lt;=4,0.7,IF(T1488&lt;=6,0.8,IF(T1488&lt;=9,0.9,1))))))*$Y$1),1),"")</f>
        <v>8.6</v>
      </c>
      <c r="V1488" s="37">
        <v>7.2</v>
      </c>
      <c r="W1488" s="38"/>
    </row>
    <row r="1489" ht="24" customHeight="1" spans="1:23" x14ac:dyDescent="0.25">
      <c r="A1489" s="31">
        <v>47</v>
      </c>
      <c r="B1489" s="32" t="s">
        <v>1591</v>
      </c>
      <c r="C1489" s="33" t="s">
        <v>24</v>
      </c>
      <c r="D1489" s="34">
        <v>2019</v>
      </c>
      <c r="E1489" s="34" t="s">
        <v>52</v>
      </c>
      <c r="F1489" s="6">
        <v>8</v>
      </c>
      <c r="G1489" s="6">
        <v>8</v>
      </c>
      <c r="H1489" s="6"/>
      <c r="I1489" s="6">
        <v>8</v>
      </c>
      <c r="J1489" s="6">
        <v>8</v>
      </c>
      <c r="K1489" s="6">
        <v>8</v>
      </c>
      <c r="L1489" s="6">
        <v>6</v>
      </c>
      <c r="M1489" s="6"/>
      <c r="N1489" s="6">
        <v>8</v>
      </c>
      <c r="O1489" s="6">
        <v>10</v>
      </c>
      <c r="P1489" s="6">
        <v>6</v>
      </c>
      <c r="Q1489" s="6">
        <v>8</v>
      </c>
      <c r="R1489" s="6"/>
      <c r="S1489" s="35">
        <f>SUM(F1489:R1489)</f>
        <v>78</v>
      </c>
      <c r="T1489" s="35">
        <f>COUNT(F1489:R1489)</f>
        <v>10</v>
      </c>
      <c r="U1489" s="36">
        <f>IF(T1489&gt;=2,ROUND((IF(T1489=2,0.55,IF(T1489&lt;=4,0.7,IF(T1489&lt;=6,0.8,IF(T1489&lt;=9,0.9,1))))*(S1489/T1489)+(1-(IF(T1489=2,0.55,IF(T1489&lt;=4,0.7,IF(T1489&lt;=6,0.8,IF(T1489&lt;=9,0.9,1))))))*$Y$1),1),"")</f>
        <v>7.8</v>
      </c>
      <c r="V1489" s="37">
        <v>7.5</v>
      </c>
      <c r="W1489" s="38"/>
    </row>
    <row r="1490" ht="24" customHeight="1" spans="1:23" x14ac:dyDescent="0.25">
      <c r="A1490" s="31">
        <v>1287</v>
      </c>
      <c r="B1490" s="32" t="s">
        <v>1592</v>
      </c>
      <c r="C1490" s="33" t="s">
        <v>24</v>
      </c>
      <c r="D1490" s="34">
        <v>2001</v>
      </c>
      <c r="E1490" s="34" t="s">
        <v>27</v>
      </c>
      <c r="F1490" s="6"/>
      <c r="G1490" s="6">
        <v>7</v>
      </c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35">
        <f>SUM(F1490:R1490)</f>
        <v>7</v>
      </c>
      <c r="T1490" s="35">
        <f>COUNT(F1490:R1490)</f>
        <v>1</v>
      </c>
      <c r="U1490" s="36">
        <f>IF(T1490&gt;=2,ROUND((IF(T1490=2,0.55,IF(T1490&lt;=4,0.7,IF(T1490&lt;=6,0.8,IF(T1490&lt;=9,0.9,1))))*(S1490/T1490)+(1-(IF(T1490=2,0.55,IF(T1490&lt;=4,0.7,IF(T1490&lt;=6,0.8,IF(T1490&lt;=9,0.9,1))))))*$Y$1),1),"")</f>
      </c>
      <c r="V1490" s="37">
        <v>8</v>
      </c>
      <c r="W1490" s="38"/>
    </row>
    <row r="1491" ht="24" customHeight="1" spans="1:23" x14ac:dyDescent="0.25">
      <c r="A1491" s="31">
        <v>494</v>
      </c>
      <c r="B1491" s="32" t="s">
        <v>1593</v>
      </c>
      <c r="C1491" s="33" t="s">
        <v>24</v>
      </c>
      <c r="D1491" s="34">
        <v>1997</v>
      </c>
      <c r="E1491" s="34" t="s">
        <v>92</v>
      </c>
      <c r="F1491" s="6"/>
      <c r="G1491" s="6">
        <v>8</v>
      </c>
      <c r="H1491" s="6"/>
      <c r="I1491" s="6"/>
      <c r="J1491" s="6"/>
      <c r="K1491" s="6"/>
      <c r="L1491" s="6"/>
      <c r="M1491" s="6"/>
      <c r="N1491" s="6"/>
      <c r="O1491" s="6"/>
      <c r="P1491" s="6">
        <v>8</v>
      </c>
      <c r="Q1491" s="6"/>
      <c r="R1491" s="6"/>
      <c r="S1491" s="35">
        <f>SUM(F1491:R1491)</f>
        <v>16</v>
      </c>
      <c r="T1491" s="35">
        <f>COUNT(F1491:R1491)</f>
        <v>2</v>
      </c>
      <c r="U1491" s="36">
        <f>IF(T1491&gt;=2,ROUND((IF(T1491=2,0.55,IF(T1491&lt;=4,0.7,IF(T1491&lt;=6,0.8,IF(T1491&lt;=9,0.9,1))))*(S1491/T1491)+(1-(IF(T1491=2,0.55,IF(T1491&lt;=4,0.7,IF(T1491&lt;=6,0.8,IF(T1491&lt;=9,0.9,1))))))*$Y$1),1),"")</f>
        <v>8</v>
      </c>
      <c r="V1491" s="37">
        <v>7.7</v>
      </c>
      <c r="W1491" s="38"/>
    </row>
    <row r="1492" ht="24" customHeight="1" spans="1:23" x14ac:dyDescent="0.25">
      <c r="A1492" s="31">
        <v>328</v>
      </c>
      <c r="B1492" s="32" t="s">
        <v>1594</v>
      </c>
      <c r="C1492" s="33" t="s">
        <v>24</v>
      </c>
      <c r="D1492" s="34">
        <v>1994</v>
      </c>
      <c r="E1492" s="34" t="s">
        <v>92</v>
      </c>
      <c r="F1492" s="6"/>
      <c r="G1492" s="6"/>
      <c r="H1492" s="6"/>
      <c r="I1492" s="6"/>
      <c r="J1492" s="6"/>
      <c r="K1492" s="6">
        <v>6</v>
      </c>
      <c r="L1492" s="6"/>
      <c r="M1492" s="6">
        <v>10</v>
      </c>
      <c r="N1492" s="6">
        <v>10</v>
      </c>
      <c r="O1492" s="6"/>
      <c r="P1492" s="6"/>
      <c r="Q1492" s="6">
        <v>6</v>
      </c>
      <c r="R1492" s="6"/>
      <c r="S1492" s="35">
        <f>SUM(F1492:R1492)</f>
        <v>32</v>
      </c>
      <c r="T1492" s="35">
        <f>COUNT(F1492:R1492)</f>
        <v>4</v>
      </c>
      <c r="U1492" s="36">
        <f>IF(T1492&gt;=2,ROUND((IF(T1492=2,0.55,IF(T1492&lt;=4,0.7,IF(T1492&lt;=6,0.8,IF(T1492&lt;=9,0.9,1))))*(S1492/T1492)+(1-(IF(T1492=2,0.55,IF(T1492&lt;=4,0.7,IF(T1492&lt;=6,0.8,IF(T1492&lt;=9,0.9,1))))))*$Y$1),1),"")</f>
        <v>8</v>
      </c>
      <c r="V1492" s="37">
        <v>6.7</v>
      </c>
      <c r="W1492" s="38"/>
    </row>
    <row r="1493" ht="24" customHeight="1" spans="1:23" x14ac:dyDescent="0.25">
      <c r="A1493" s="40">
        <v>2135</v>
      </c>
      <c r="B1493" s="32" t="s">
        <v>1595</v>
      </c>
      <c r="C1493" s="33" t="s">
        <v>24</v>
      </c>
      <c r="D1493" s="34">
        <v>2002</v>
      </c>
      <c r="E1493" s="41"/>
      <c r="F1493" s="6"/>
      <c r="G1493" s="6">
        <v>7</v>
      </c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35">
        <f>SUM(F1493:R1493)</f>
        <v>7</v>
      </c>
      <c r="T1493" s="35">
        <f>COUNT(F1493:R1493)</f>
        <v>1</v>
      </c>
      <c r="U1493" s="36">
        <f>IF(T1493&gt;=2,ROUND((IF(T1493=2,0.55,IF(T1493&lt;=4,0.7,IF(T1493&lt;=6,0.8,IF(T1493&lt;=9,0.9,1))))*(S1493/T1493)+(1-(IF(T1493=2,0.55,IF(T1493&lt;=4,0.7,IF(T1493&lt;=6,0.8,IF(T1493&lt;=9,0.9,1))))))*$Y$1),1),"")</f>
      </c>
      <c r="V1493" s="37">
        <v>7.6</v>
      </c>
      <c r="W1493" s="38"/>
    </row>
    <row r="1494" ht="24" customHeight="1" spans="1:23" x14ac:dyDescent="0.25">
      <c r="A1494" s="31">
        <v>1883</v>
      </c>
      <c r="B1494" s="32" t="s">
        <v>1596</v>
      </c>
      <c r="C1494" s="33" t="s">
        <v>29</v>
      </c>
      <c r="D1494" s="34">
        <v>2021</v>
      </c>
      <c r="E1494" s="34" t="s">
        <v>25</v>
      </c>
      <c r="F1494" s="6"/>
      <c r="G1494" s="6"/>
      <c r="H1494" s="6">
        <v>9</v>
      </c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35">
        <f>SUM(F1494:R1494)</f>
        <v>9</v>
      </c>
      <c r="T1494" s="35">
        <f>COUNT(F1494:R1494)</f>
        <v>1</v>
      </c>
      <c r="U1494" s="36">
        <f>IF(T1494&gt;=2,ROUND((IF(T1494=2,0.55,IF(T1494&lt;=4,0.7,IF(T1494&lt;=6,0.8,IF(T1494&lt;=9,0.9,1))))*(S1494/T1494)+(1-(IF(T1494=2,0.55,IF(T1494&lt;=4,0.7,IF(T1494&lt;=6,0.8,IF(T1494&lt;=9,0.9,1))))))*$Y$1),1),"")</f>
      </c>
      <c r="V1494" s="37">
        <v>7.3</v>
      </c>
      <c r="W1494" s="38"/>
    </row>
    <row r="1495" ht="24" customHeight="1" spans="1:23" x14ac:dyDescent="0.25">
      <c r="A1495" s="31">
        <v>1632</v>
      </c>
      <c r="B1495" s="32" t="s">
        <v>1597</v>
      </c>
      <c r="C1495" s="33" t="s">
        <v>24</v>
      </c>
      <c r="D1495" s="34">
        <v>1970</v>
      </c>
      <c r="E1495" s="34" t="s">
        <v>69</v>
      </c>
      <c r="F1495" s="6"/>
      <c r="G1495" s="6"/>
      <c r="H1495" s="6"/>
      <c r="I1495" s="6"/>
      <c r="J1495" s="6">
        <v>8</v>
      </c>
      <c r="K1495" s="6"/>
      <c r="L1495" s="6"/>
      <c r="M1495" s="6"/>
      <c r="N1495" s="6"/>
      <c r="O1495" s="6"/>
      <c r="P1495" s="6"/>
      <c r="Q1495" s="6"/>
      <c r="R1495" s="6"/>
      <c r="S1495" s="35">
        <f>SUM(F1495:R1495)</f>
        <v>8</v>
      </c>
      <c r="T1495" s="35">
        <f>COUNT(F1495:R1495)</f>
        <v>1</v>
      </c>
      <c r="U1495" s="36">
        <f>IF(T1495&gt;=2,ROUND((IF(T1495=2,0.55,IF(T1495&lt;=4,0.7,IF(T1495&lt;=6,0.8,IF(T1495&lt;=9,0.9,1))))*(S1495/T1495)+(1-(IF(T1495=2,0.55,IF(T1495&lt;=4,0.7,IF(T1495&lt;=6,0.8,IF(T1495&lt;=9,0.9,1))))))*$Y$1),1),"")</f>
      </c>
      <c r="V1495" s="37">
        <v>7.4</v>
      </c>
      <c r="W1495" s="38"/>
    </row>
    <row r="1496" ht="24" customHeight="1" spans="1:23" x14ac:dyDescent="0.25">
      <c r="A1496" s="31">
        <v>1070</v>
      </c>
      <c r="B1496" s="32" t="s">
        <v>1598</v>
      </c>
      <c r="C1496" s="33" t="s">
        <v>29</v>
      </c>
      <c r="D1496" s="34">
        <v>2021</v>
      </c>
      <c r="E1496" s="34" t="s">
        <v>27</v>
      </c>
      <c r="F1496" s="6"/>
      <c r="G1496" s="6"/>
      <c r="H1496" s="6"/>
      <c r="I1496" s="6"/>
      <c r="J1496" s="6"/>
      <c r="K1496" s="6">
        <v>8</v>
      </c>
      <c r="L1496" s="6">
        <v>8</v>
      </c>
      <c r="M1496" s="6"/>
      <c r="N1496" s="6"/>
      <c r="O1496" s="6"/>
      <c r="P1496" s="6"/>
      <c r="Q1496" s="6">
        <v>8</v>
      </c>
      <c r="R1496" s="6"/>
      <c r="S1496" s="35">
        <f>SUM(F1496:R1496)</f>
        <v>24</v>
      </c>
      <c r="T1496" s="35">
        <f>COUNT(F1496:R1496)</f>
        <v>3</v>
      </c>
      <c r="U1496" s="36">
        <f>IF(T1496&gt;=2,ROUND((IF(T1496=2,0.55,IF(T1496&lt;=4,0.7,IF(T1496&lt;=6,0.8,IF(T1496&lt;=9,0.9,1))))*(S1496/T1496)+(1-(IF(T1496=2,0.55,IF(T1496&lt;=4,0.7,IF(T1496&lt;=6,0.8,IF(T1496&lt;=9,0.9,1))))))*$Y$1),1),"")</f>
        <v>8</v>
      </c>
      <c r="V1496" s="37">
        <v>7.3</v>
      </c>
      <c r="W1496" s="38"/>
    </row>
    <row r="1497" ht="24" customHeight="1" spans="1:23" x14ac:dyDescent="0.25">
      <c r="A1497" s="31">
        <v>1736</v>
      </c>
      <c r="B1497" s="32" t="s">
        <v>1599</v>
      </c>
      <c r="C1497" s="33" t="s">
        <v>29</v>
      </c>
      <c r="D1497" s="34">
        <v>2022</v>
      </c>
      <c r="E1497" s="34" t="s">
        <v>30</v>
      </c>
      <c r="F1497" s="6"/>
      <c r="G1497" s="6"/>
      <c r="H1497" s="6"/>
      <c r="I1497" s="6"/>
      <c r="J1497" s="6"/>
      <c r="K1497" s="6"/>
      <c r="L1497" s="6"/>
      <c r="M1497" s="6"/>
      <c r="N1497" s="6"/>
      <c r="O1497" s="6">
        <v>8</v>
      </c>
      <c r="P1497" s="6"/>
      <c r="Q1497" s="6"/>
      <c r="R1497" s="6"/>
      <c r="S1497" s="35">
        <f>SUM(F1497:R1497)</f>
        <v>8</v>
      </c>
      <c r="T1497" s="35">
        <f>COUNT(F1497:R1497)</f>
        <v>1</v>
      </c>
      <c r="U1497" s="36">
        <f>IF(T1497&gt;=2,ROUND((IF(T1497=2,0.55,IF(T1497&lt;=4,0.7,IF(T1497&lt;=6,0.8,IF(T1497&lt;=9,0.9,1))))*(S1497/T1497)+(1-(IF(T1497=2,0.55,IF(T1497&lt;=4,0.7,IF(T1497&lt;=6,0.8,IF(T1497&lt;=9,0.9,1))))))*$Y$1),1),"")</f>
      </c>
      <c r="V1497" s="37">
        <v>6.8</v>
      </c>
      <c r="W1497" s="38"/>
    </row>
    <row r="1498" ht="24" customHeight="1" spans="1:23" x14ac:dyDescent="0.25">
      <c r="A1498" s="31">
        <v>46</v>
      </c>
      <c r="B1498" s="32" t="s">
        <v>1600</v>
      </c>
      <c r="C1498" s="33" t="s">
        <v>24</v>
      </c>
      <c r="D1498" s="34">
        <v>2019</v>
      </c>
      <c r="E1498" s="34" t="s">
        <v>30</v>
      </c>
      <c r="F1498" s="6">
        <v>8</v>
      </c>
      <c r="G1498" s="6">
        <v>8</v>
      </c>
      <c r="H1498" s="6">
        <v>8</v>
      </c>
      <c r="I1498" s="6">
        <v>10</v>
      </c>
      <c r="J1498" s="6">
        <v>8</v>
      </c>
      <c r="K1498" s="6">
        <v>10</v>
      </c>
      <c r="L1498" s="6">
        <v>6</v>
      </c>
      <c r="M1498" s="6">
        <v>10</v>
      </c>
      <c r="N1498" s="6">
        <v>10</v>
      </c>
      <c r="O1498" s="6">
        <v>8</v>
      </c>
      <c r="P1498" s="6">
        <v>6</v>
      </c>
      <c r="Q1498" s="6">
        <v>10</v>
      </c>
      <c r="R1498" s="6">
        <v>10</v>
      </c>
      <c r="S1498" s="35">
        <f>SUM(F1498:R1498)</f>
        <v>112</v>
      </c>
      <c r="T1498" s="35">
        <f>COUNT(F1498:R1498)</f>
        <v>13</v>
      </c>
      <c r="U1498" s="36">
        <f>IF(T1498&gt;=2,ROUND((IF(T1498=2,0.55,IF(T1498&lt;=4,0.7,IF(T1498&lt;=6,0.8,IF(T1498&lt;=9,0.9,1))))*(S1498/T1498)+(1-(IF(T1498=2,0.55,IF(T1498&lt;=4,0.7,IF(T1498&lt;=6,0.8,IF(T1498&lt;=9,0.9,1))))))*$Y$1),1),"")</f>
        <v>8.6</v>
      </c>
      <c r="V1498" s="37">
        <v>7.6</v>
      </c>
      <c r="W1498" s="38"/>
    </row>
    <row r="1499" ht="24" customHeight="1" spans="1:23" x14ac:dyDescent="0.25">
      <c r="A1499" s="31">
        <v>45</v>
      </c>
      <c r="B1499" s="32" t="s">
        <v>1601</v>
      </c>
      <c r="C1499" s="33" t="s">
        <v>24</v>
      </c>
      <c r="D1499" s="34">
        <v>2005</v>
      </c>
      <c r="E1499" s="34" t="s">
        <v>30</v>
      </c>
      <c r="F1499" s="6">
        <v>6</v>
      </c>
      <c r="G1499" s="6">
        <v>6</v>
      </c>
      <c r="H1499" s="6">
        <v>10</v>
      </c>
      <c r="I1499" s="6">
        <v>10</v>
      </c>
      <c r="J1499" s="6">
        <v>6</v>
      </c>
      <c r="K1499" s="6">
        <v>8</v>
      </c>
      <c r="L1499" s="6">
        <v>8</v>
      </c>
      <c r="M1499" s="6"/>
      <c r="N1499" s="6"/>
      <c r="O1499" s="6">
        <v>6</v>
      </c>
      <c r="P1499" s="6">
        <v>8</v>
      </c>
      <c r="Q1499" s="6">
        <v>8</v>
      </c>
      <c r="R1499" s="6">
        <v>8</v>
      </c>
      <c r="S1499" s="35">
        <f>SUM(F1499:R1499)</f>
        <v>84</v>
      </c>
      <c r="T1499" s="35">
        <f>COUNT(F1499:R1499)</f>
        <v>11</v>
      </c>
      <c r="U1499" s="36">
        <f>IF(T1499&gt;=2,ROUND((IF(T1499=2,0.55,IF(T1499&lt;=4,0.7,IF(T1499&lt;=6,0.8,IF(T1499&lt;=9,0.9,1))))*(S1499/T1499)+(1-(IF(T1499=2,0.55,IF(T1499&lt;=4,0.7,IF(T1499&lt;=6,0.8,IF(T1499&lt;=9,0.9,1))))))*$Y$1),1),"")</f>
        <v>7.6</v>
      </c>
      <c r="V1499" s="37">
        <v>6.9</v>
      </c>
      <c r="W1499" s="38"/>
    </row>
    <row r="1500" ht="24" customHeight="1" spans="1:23" x14ac:dyDescent="0.25">
      <c r="A1500" s="31">
        <v>994</v>
      </c>
      <c r="B1500" s="32" t="s">
        <v>1602</v>
      </c>
      <c r="C1500" s="33" t="s">
        <v>24</v>
      </c>
      <c r="D1500" s="34">
        <v>2020</v>
      </c>
      <c r="E1500" s="34" t="s">
        <v>30</v>
      </c>
      <c r="F1500" s="6">
        <v>8</v>
      </c>
      <c r="G1500" s="6">
        <v>8</v>
      </c>
      <c r="H1500" s="6">
        <v>8</v>
      </c>
      <c r="I1500" s="6"/>
      <c r="J1500" s="6">
        <v>8</v>
      </c>
      <c r="K1500" s="6">
        <v>8</v>
      </c>
      <c r="L1500" s="6">
        <v>10</v>
      </c>
      <c r="M1500" s="6">
        <v>8</v>
      </c>
      <c r="N1500" s="6">
        <v>8</v>
      </c>
      <c r="O1500" s="6"/>
      <c r="P1500" s="6">
        <v>8</v>
      </c>
      <c r="Q1500" s="6">
        <v>8</v>
      </c>
      <c r="R1500" s="6">
        <v>10</v>
      </c>
      <c r="S1500" s="35">
        <f>SUM(F1500:R1500)</f>
        <v>92</v>
      </c>
      <c r="T1500" s="35">
        <f>COUNT(F1500:R1500)</f>
        <v>11</v>
      </c>
      <c r="U1500" s="36">
        <f>IF(T1500&gt;=2,ROUND((IF(T1500=2,0.55,IF(T1500&lt;=4,0.7,IF(T1500&lt;=6,0.8,IF(T1500&lt;=9,0.9,1))))*(S1500/T1500)+(1-(IF(T1500=2,0.55,IF(T1500&lt;=4,0.7,IF(T1500&lt;=6,0.8,IF(T1500&lt;=9,0.9,1))))))*$Y$1),1),"")</f>
        <v>8.4</v>
      </c>
      <c r="V1500" s="37">
        <v>6.8</v>
      </c>
      <c r="W1500" s="38"/>
    </row>
    <row r="1501" ht="24" customHeight="1" spans="1:23" x14ac:dyDescent="0.25">
      <c r="A1501" s="31">
        <v>493</v>
      </c>
      <c r="B1501" s="32" t="s">
        <v>1603</v>
      </c>
      <c r="C1501" s="33" t="s">
        <v>24</v>
      </c>
      <c r="D1501" s="34">
        <v>2014</v>
      </c>
      <c r="E1501" s="34" t="s">
        <v>43</v>
      </c>
      <c r="F1501" s="6"/>
      <c r="G1501" s="6">
        <v>8</v>
      </c>
      <c r="H1501" s="6"/>
      <c r="I1501" s="6"/>
      <c r="J1501" s="6"/>
      <c r="K1501" s="6"/>
      <c r="L1501" s="6"/>
      <c r="M1501" s="6"/>
      <c r="N1501" s="6"/>
      <c r="O1501" s="6"/>
      <c r="P1501" s="6">
        <v>8</v>
      </c>
      <c r="Q1501" s="6"/>
      <c r="R1501" s="6"/>
      <c r="S1501" s="35">
        <f>SUM(F1501:R1501)</f>
        <v>16</v>
      </c>
      <c r="T1501" s="35">
        <f>COUNT(F1501:R1501)</f>
        <v>2</v>
      </c>
      <c r="U1501" s="36">
        <f>IF(T1501&gt;=2,ROUND((IF(T1501=2,0.55,IF(T1501&lt;=4,0.7,IF(T1501&lt;=6,0.8,IF(T1501&lt;=9,0.9,1))))*(S1501/T1501)+(1-(IF(T1501=2,0.55,IF(T1501&lt;=4,0.7,IF(T1501&lt;=6,0.8,IF(T1501&lt;=9,0.9,1))))))*$Y$1),1),"")</f>
        <v>8</v>
      </c>
      <c r="V1501" s="37">
        <v>7.3</v>
      </c>
      <c r="W1501" s="38"/>
    </row>
    <row r="1502" ht="24" customHeight="1" spans="1:23" x14ac:dyDescent="0.25">
      <c r="A1502" s="31">
        <v>1590</v>
      </c>
      <c r="B1502" s="32" t="s">
        <v>1604</v>
      </c>
      <c r="C1502" s="33" t="s">
        <v>24</v>
      </c>
      <c r="D1502" s="34">
        <v>2016</v>
      </c>
      <c r="E1502" s="34" t="s">
        <v>760</v>
      </c>
      <c r="F1502" s="6"/>
      <c r="G1502" s="6">
        <v>5</v>
      </c>
      <c r="H1502" s="6"/>
      <c r="I1502" s="6">
        <v>8</v>
      </c>
      <c r="J1502" s="6">
        <v>7</v>
      </c>
      <c r="K1502" s="6"/>
      <c r="L1502" s="6"/>
      <c r="M1502" s="6"/>
      <c r="N1502" s="6"/>
      <c r="O1502" s="6"/>
      <c r="P1502" s="6"/>
      <c r="Q1502" s="6"/>
      <c r="R1502" s="6"/>
      <c r="S1502" s="35">
        <f>SUM(F1502:R1502)</f>
        <v>20</v>
      </c>
      <c r="T1502" s="35">
        <f>COUNT(F1502:R1502)</f>
        <v>3</v>
      </c>
      <c r="U1502" s="36">
        <f>IF(T1502&gt;=2,ROUND((IF(T1502=2,0.55,IF(T1502&lt;=4,0.7,IF(T1502&lt;=6,0.8,IF(T1502&lt;=9,0.9,1))))*(S1502/T1502)+(1-(IF(T1502=2,0.55,IF(T1502&lt;=4,0.7,IF(T1502&lt;=6,0.8,IF(T1502&lt;=9,0.9,1))))))*$Y$1),1),"")</f>
        <v>7.1</v>
      </c>
      <c r="V1502" s="37">
        <v>7.4</v>
      </c>
      <c r="W1502" s="38"/>
    </row>
    <row r="1503" ht="24" customHeight="1" spans="1:23" x14ac:dyDescent="0.25">
      <c r="A1503" s="46">
        <v>1245</v>
      </c>
      <c r="B1503" s="32" t="s">
        <v>1605</v>
      </c>
      <c r="C1503" s="33" t="s">
        <v>24</v>
      </c>
      <c r="D1503" s="34">
        <v>2017</v>
      </c>
      <c r="E1503" s="34" t="s">
        <v>27</v>
      </c>
      <c r="F1503" s="6"/>
      <c r="G1503" s="6"/>
      <c r="H1503" s="6">
        <v>8</v>
      </c>
      <c r="I1503" s="6">
        <v>6</v>
      </c>
      <c r="J1503" s="6">
        <v>8</v>
      </c>
      <c r="K1503" s="6">
        <v>8</v>
      </c>
      <c r="L1503" s="6">
        <v>6</v>
      </c>
      <c r="M1503" s="6"/>
      <c r="N1503" s="6"/>
      <c r="O1503" s="6">
        <v>8</v>
      </c>
      <c r="P1503" s="6"/>
      <c r="Q1503" s="6">
        <v>8</v>
      </c>
      <c r="R1503" s="6"/>
      <c r="S1503" s="35">
        <f>SUM(F1503:R1503)</f>
        <v>52</v>
      </c>
      <c r="T1503" s="35">
        <f>COUNT(F1503:R1503)</f>
        <v>7</v>
      </c>
      <c r="U1503" s="36">
        <f>IF(T1503&gt;=2,ROUND((IF(T1503=2,0.55,IF(T1503&lt;=4,0.7,IF(T1503&lt;=6,0.8,IF(T1503&lt;=9,0.9,1))))*(S1503/T1503)+(1-(IF(T1503=2,0.55,IF(T1503&lt;=4,0.7,IF(T1503&lt;=6,0.8,IF(T1503&lt;=9,0.9,1))))))*$Y$1),1),"")</f>
        <v>7.5</v>
      </c>
      <c r="V1503" s="37">
        <v>7.5</v>
      </c>
      <c r="W1503" s="38"/>
    </row>
    <row r="1504" ht="24" customHeight="1" spans="1:23" x14ac:dyDescent="0.25">
      <c r="A1504" s="31">
        <v>1843</v>
      </c>
      <c r="B1504" s="32" t="s">
        <v>1606</v>
      </c>
      <c r="C1504" s="33" t="s">
        <v>24</v>
      </c>
      <c r="D1504" s="34">
        <v>2022</v>
      </c>
      <c r="E1504" s="34" t="s">
        <v>25</v>
      </c>
      <c r="F1504" s="6"/>
      <c r="G1504" s="6">
        <v>8</v>
      </c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35">
        <f>SUM(F1504:R1504)</f>
        <v>8</v>
      </c>
      <c r="T1504" s="35">
        <f>COUNT(F1504:R1504)</f>
        <v>1</v>
      </c>
      <c r="U1504" s="36">
        <f>IF(T1504&gt;=2,ROUND((IF(T1504=2,0.55,IF(T1504&lt;=4,0.7,IF(T1504&lt;=6,0.8,IF(T1504&lt;=9,0.9,1))))*(S1504/T1504)+(1-(IF(T1504=2,0.55,IF(T1504&lt;=4,0.7,IF(T1504&lt;=6,0.8,IF(T1504&lt;=9,0.9,1))))))*$Y$1),1),"")</f>
      </c>
      <c r="V1504" s="37">
        <v>7.1</v>
      </c>
      <c r="W1504" s="38"/>
    </row>
    <row r="1505" ht="24" customHeight="1" spans="1:23" x14ac:dyDescent="0.25">
      <c r="A1505" s="31">
        <v>335</v>
      </c>
      <c r="B1505" s="32" t="s">
        <v>1607</v>
      </c>
      <c r="C1505" s="33" t="s">
        <v>29</v>
      </c>
      <c r="D1505" s="34">
        <v>2020</v>
      </c>
      <c r="E1505" s="34" t="s">
        <v>30</v>
      </c>
      <c r="F1505" s="6"/>
      <c r="G1505" s="6"/>
      <c r="H1505" s="6"/>
      <c r="I1505" s="6"/>
      <c r="J1505" s="6"/>
      <c r="K1505" s="6">
        <v>6</v>
      </c>
      <c r="L1505" s="6">
        <v>6</v>
      </c>
      <c r="M1505" s="6">
        <v>8</v>
      </c>
      <c r="N1505" s="6"/>
      <c r="O1505" s="6"/>
      <c r="P1505" s="6"/>
      <c r="Q1505" s="6">
        <v>6</v>
      </c>
      <c r="R1505" s="6">
        <v>8</v>
      </c>
      <c r="S1505" s="35">
        <f>SUM(F1505:R1505)</f>
        <v>34</v>
      </c>
      <c r="T1505" s="35">
        <f>COUNT(F1505:R1505)</f>
        <v>5</v>
      </c>
      <c r="U1505" s="36">
        <f>IF(T1505&gt;=2,ROUND((IF(T1505=2,0.55,IF(T1505&lt;=4,0.7,IF(T1505&lt;=6,0.8,IF(T1505&lt;=9,0.9,1))))*(S1505/T1505)+(1-(IF(T1505=2,0.55,IF(T1505&lt;=4,0.7,IF(T1505&lt;=6,0.8,IF(T1505&lt;=9,0.9,1))))))*$Y$1),1),"")</f>
        <v>7.1</v>
      </c>
      <c r="V1505" s="37">
        <v>7.3</v>
      </c>
      <c r="W1505" s="38"/>
    </row>
    <row r="1506" ht="24" customHeight="1" spans="1:23" x14ac:dyDescent="0.25">
      <c r="A1506" s="31">
        <v>426</v>
      </c>
      <c r="B1506" s="32" t="s">
        <v>1608</v>
      </c>
      <c r="C1506" s="33" t="s">
        <v>24</v>
      </c>
      <c r="D1506" s="34">
        <v>2001</v>
      </c>
      <c r="E1506" s="34" t="s">
        <v>1577</v>
      </c>
      <c r="F1506" s="6"/>
      <c r="G1506" s="6"/>
      <c r="H1506" s="6"/>
      <c r="I1506" s="6"/>
      <c r="J1506" s="6"/>
      <c r="K1506" s="6">
        <v>6</v>
      </c>
      <c r="L1506" s="6"/>
      <c r="M1506" s="6">
        <v>10</v>
      </c>
      <c r="N1506" s="6"/>
      <c r="O1506" s="6"/>
      <c r="P1506" s="6"/>
      <c r="Q1506" s="6">
        <v>6</v>
      </c>
      <c r="R1506" s="6"/>
      <c r="S1506" s="35">
        <f>SUM(F1506:R1506)</f>
        <v>22</v>
      </c>
      <c r="T1506" s="35">
        <f>COUNT(F1506:R1506)</f>
        <v>3</v>
      </c>
      <c r="U1506" s="36">
        <f>IF(T1506&gt;=2,ROUND((IF(T1506=2,0.55,IF(T1506&lt;=4,0.7,IF(T1506&lt;=6,0.8,IF(T1506&lt;=9,0.9,1))))*(S1506/T1506)+(1-(IF(T1506=2,0.55,IF(T1506&lt;=4,0.7,IF(T1506&lt;=6,0.8,IF(T1506&lt;=9,0.9,1))))))*$Y$1),1),"")</f>
        <v>7.6</v>
      </c>
      <c r="V1506" s="37">
        <v>6.7</v>
      </c>
      <c r="W1506" s="38"/>
    </row>
    <row r="1507" ht="24" customHeight="1" spans="1:23" x14ac:dyDescent="0.25">
      <c r="A1507" s="31">
        <v>1701</v>
      </c>
      <c r="B1507" s="32" t="s">
        <v>1609</v>
      </c>
      <c r="C1507" s="33" t="s">
        <v>24</v>
      </c>
      <c r="D1507" s="34">
        <v>2023</v>
      </c>
      <c r="E1507" s="34" t="s">
        <v>30</v>
      </c>
      <c r="F1507" s="6"/>
      <c r="G1507" s="6"/>
      <c r="H1507" s="6"/>
      <c r="I1507" s="6"/>
      <c r="J1507" s="6"/>
      <c r="K1507" s="6"/>
      <c r="L1507" s="6"/>
      <c r="M1507" s="6"/>
      <c r="N1507" s="6"/>
      <c r="O1507" s="6">
        <v>7</v>
      </c>
      <c r="P1507" s="6"/>
      <c r="Q1507" s="6"/>
      <c r="R1507" s="6"/>
      <c r="S1507" s="35">
        <f>SUM(F1507:R1507)</f>
        <v>7</v>
      </c>
      <c r="T1507" s="35">
        <f>COUNT(F1507:R1507)</f>
        <v>1</v>
      </c>
      <c r="U1507" s="36">
        <f>IF(T1507&gt;=2,ROUND((IF(T1507=2,0.55,IF(T1507&lt;=4,0.7,IF(T1507&lt;=6,0.8,IF(T1507&lt;=9,0.9,1))))*(S1507/T1507)+(1-(IF(T1507=2,0.55,IF(T1507&lt;=4,0.7,IF(T1507&lt;=6,0.8,IF(T1507&lt;=9,0.9,1))))))*$Y$1),1),"")</f>
      </c>
      <c r="V1507" s="37">
        <v>5.5</v>
      </c>
      <c r="W1507" s="38"/>
    </row>
    <row r="1508" ht="24" customHeight="1" spans="1:23" x14ac:dyDescent="0.25">
      <c r="A1508" s="31">
        <v>492</v>
      </c>
      <c r="B1508" s="32" t="s">
        <v>1610</v>
      </c>
      <c r="C1508" s="33" t="s">
        <v>24</v>
      </c>
      <c r="D1508" s="34">
        <v>2007</v>
      </c>
      <c r="E1508" s="34" t="s">
        <v>25</v>
      </c>
      <c r="F1508" s="6"/>
      <c r="G1508" s="6">
        <v>8</v>
      </c>
      <c r="H1508" s="6"/>
      <c r="I1508" s="6"/>
      <c r="J1508" s="6"/>
      <c r="K1508" s="6"/>
      <c r="L1508" s="6"/>
      <c r="M1508" s="6"/>
      <c r="N1508" s="6"/>
      <c r="O1508" s="6"/>
      <c r="P1508" s="6">
        <v>8</v>
      </c>
      <c r="Q1508" s="6"/>
      <c r="R1508" s="6"/>
      <c r="S1508" s="35">
        <f>SUM(F1508:R1508)</f>
        <v>16</v>
      </c>
      <c r="T1508" s="35">
        <f>COUNT(F1508:R1508)</f>
        <v>2</v>
      </c>
      <c r="U1508" s="36">
        <f>IF(T1508&gt;=2,ROUND((IF(T1508=2,0.55,IF(T1508&lt;=4,0.7,IF(T1508&lt;=6,0.8,IF(T1508&lt;=9,0.9,1))))*(S1508/T1508)+(1-(IF(T1508=2,0.55,IF(T1508&lt;=4,0.7,IF(T1508&lt;=6,0.8,IF(T1508&lt;=9,0.9,1))))))*$Y$1),1),"")</f>
        <v>8</v>
      </c>
      <c r="V1508" s="37">
        <v>7.7</v>
      </c>
      <c r="W1508" s="38"/>
    </row>
    <row r="1509" ht="24" customHeight="1" spans="1:23" x14ac:dyDescent="0.25">
      <c r="A1509" s="31">
        <v>1587</v>
      </c>
      <c r="B1509" s="32" t="s">
        <v>1611</v>
      </c>
      <c r="C1509" s="33" t="s">
        <v>24</v>
      </c>
      <c r="D1509" s="34">
        <v>2018</v>
      </c>
      <c r="E1509" s="34" t="s">
        <v>1612</v>
      </c>
      <c r="F1509" s="6"/>
      <c r="G1509" s="6"/>
      <c r="H1509" s="6"/>
      <c r="I1509" s="6"/>
      <c r="J1509" s="6"/>
      <c r="K1509" s="6"/>
      <c r="L1509" s="6">
        <v>6</v>
      </c>
      <c r="M1509" s="6"/>
      <c r="N1509" s="6"/>
      <c r="O1509" s="6">
        <v>7</v>
      </c>
      <c r="P1509" s="6"/>
      <c r="Q1509" s="6"/>
      <c r="R1509" s="6"/>
      <c r="S1509" s="35">
        <f>SUM(F1509:R1509)</f>
        <v>13</v>
      </c>
      <c r="T1509" s="35">
        <f>COUNT(F1509:R1509)</f>
        <v>2</v>
      </c>
      <c r="U1509" s="36">
        <f>IF(T1509&gt;=2,ROUND((IF(T1509=2,0.55,IF(T1509&lt;=4,0.7,IF(T1509&lt;=6,0.8,IF(T1509&lt;=9,0.9,1))))*(S1509/T1509)+(1-(IF(T1509=2,0.55,IF(T1509&lt;=4,0.7,IF(T1509&lt;=6,0.8,IF(T1509&lt;=9,0.9,1))))))*$Y$1),1),"")</f>
        <v>7.2</v>
      </c>
      <c r="V1509" s="37">
        <v>6.1</v>
      </c>
      <c r="W1509" s="38"/>
    </row>
    <row r="1510" ht="24" customHeight="1" spans="1:23" x14ac:dyDescent="0.25">
      <c r="A1510" s="47">
        <v>44</v>
      </c>
      <c r="B1510" s="32" t="s">
        <v>1613</v>
      </c>
      <c r="C1510" s="48" t="s">
        <v>24</v>
      </c>
      <c r="D1510" s="49">
        <v>2012</v>
      </c>
      <c r="E1510" s="49" t="s">
        <v>92</v>
      </c>
      <c r="F1510" s="6">
        <v>8</v>
      </c>
      <c r="G1510" s="6">
        <v>8</v>
      </c>
      <c r="H1510" s="6">
        <v>8</v>
      </c>
      <c r="I1510" s="6">
        <v>8</v>
      </c>
      <c r="J1510" s="6">
        <v>10</v>
      </c>
      <c r="K1510" s="6">
        <v>10</v>
      </c>
      <c r="L1510" s="6">
        <v>8</v>
      </c>
      <c r="M1510" s="6">
        <v>8</v>
      </c>
      <c r="N1510" s="6">
        <v>8</v>
      </c>
      <c r="O1510" s="6">
        <v>8</v>
      </c>
      <c r="P1510" s="6">
        <v>8</v>
      </c>
      <c r="Q1510" s="6">
        <v>10</v>
      </c>
      <c r="R1510" s="6"/>
      <c r="S1510" s="50">
        <f>SUM(F1510:R1510)</f>
        <v>102</v>
      </c>
      <c r="T1510" s="50">
        <f>COUNT(F1510:R1510)</f>
        <v>12</v>
      </c>
      <c r="U1510" s="36">
        <f>IF(T1510&gt;=2,ROUND((IF(T1510=2,0.55,IF(T1510&lt;=4,0.7,IF(T1510&lt;=6,0.8,IF(T1510&lt;=9,0.9,1))))*(S1510/T1510)+(1-(IF(T1510=2,0.55,IF(T1510&lt;=4,0.7,IF(T1510&lt;=6,0.8,IF(T1510&lt;=9,0.9,1))))))*$Y$1),1),"")</f>
        <v>8.5</v>
      </c>
      <c r="V1510" s="37">
        <v>8.5</v>
      </c>
      <c r="W1510" s="38" t="s">
        <v>44</v>
      </c>
    </row>
    <row r="1511" ht="24" customHeight="1" spans="1:23" x14ac:dyDescent="0.25">
      <c r="A1511" s="47">
        <v>1833</v>
      </c>
      <c r="B1511" s="32" t="s">
        <v>1614</v>
      </c>
      <c r="C1511" s="48" t="s">
        <v>24</v>
      </c>
      <c r="D1511" s="49">
        <v>2015</v>
      </c>
      <c r="E1511" s="49" t="s">
        <v>81</v>
      </c>
      <c r="F1511" s="6">
        <v>8</v>
      </c>
      <c r="G1511" s="6">
        <v>9</v>
      </c>
      <c r="H1511" s="6">
        <v>8</v>
      </c>
      <c r="I1511" s="6">
        <v>8</v>
      </c>
      <c r="J1511" s="6"/>
      <c r="K1511" s="6"/>
      <c r="L1511" s="6">
        <v>8</v>
      </c>
      <c r="M1511" s="6"/>
      <c r="N1511" s="6">
        <v>8</v>
      </c>
      <c r="O1511" s="6">
        <v>8</v>
      </c>
      <c r="P1511" s="6">
        <v>8</v>
      </c>
      <c r="Q1511" s="6"/>
      <c r="R1511" s="6"/>
      <c r="S1511" s="50">
        <f>SUM(F1511:R1511)</f>
        <v>65</v>
      </c>
      <c r="T1511" s="50">
        <f>COUNT(F1511:R1511)</f>
        <v>8</v>
      </c>
      <c r="U1511" s="36">
        <f>IF(T1511&gt;=2,ROUND((IF(T1511=2,0.55,IF(T1511&lt;=4,0.7,IF(T1511&lt;=6,0.8,IF(T1511&lt;=9,0.9,1))))*(S1511/T1511)+(1-(IF(T1511=2,0.55,IF(T1511&lt;=4,0.7,IF(T1511&lt;=6,0.8,IF(T1511&lt;=9,0.9,1))))))*$Y$1),1),"")</f>
        <v>8.1</v>
      </c>
      <c r="V1511" s="37">
        <v>8.1</v>
      </c>
      <c r="W1511" s="38" t="s">
        <v>44</v>
      </c>
    </row>
    <row r="1512" ht="24" customHeight="1" spans="1:23" x14ac:dyDescent="0.25">
      <c r="A1512" s="40">
        <v>2243</v>
      </c>
      <c r="B1512" s="32" t="s">
        <v>1615</v>
      </c>
      <c r="C1512" s="33" t="s">
        <v>24</v>
      </c>
      <c r="D1512" s="34">
        <v>2009</v>
      </c>
      <c r="E1512" s="41"/>
      <c r="F1512" s="6"/>
      <c r="G1512" s="6">
        <v>7</v>
      </c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35">
        <f>SUM(F1512:R1512)</f>
        <v>7</v>
      </c>
      <c r="T1512" s="35">
        <f>COUNT(F1512:R1512)</f>
        <v>1</v>
      </c>
      <c r="U1512" s="36">
        <f>IF(T1512&gt;=2,ROUND((IF(T1512=2,0.55,IF(T1512&lt;=4,0.7,IF(T1512&lt;=6,0.8,IF(T1512&lt;=9,0.9,1))))*(S1512/T1512)+(1-(IF(T1512=2,0.55,IF(T1512&lt;=4,0.7,IF(T1512&lt;=6,0.8,IF(T1512&lt;=9,0.9,1))))))*$Y$1),1),"")</f>
      </c>
      <c r="V1512" s="37">
        <v>7.9</v>
      </c>
      <c r="W1512" s="38"/>
    </row>
    <row r="1513" ht="24" customHeight="1" spans="1:23" x14ac:dyDescent="0.25">
      <c r="A1513" s="40">
        <v>2134</v>
      </c>
      <c r="B1513" s="32" t="s">
        <v>1616</v>
      </c>
      <c r="C1513" s="33" t="s">
        <v>24</v>
      </c>
      <c r="D1513" s="34">
        <v>2002</v>
      </c>
      <c r="E1513" s="41"/>
      <c r="F1513" s="6"/>
      <c r="G1513" s="6">
        <v>7</v>
      </c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35">
        <f>SUM(F1513:R1513)</f>
        <v>7</v>
      </c>
      <c r="T1513" s="35">
        <f>COUNT(F1513:R1513)</f>
        <v>1</v>
      </c>
      <c r="U1513" s="36">
        <f>IF(T1513&gt;=2,ROUND((IF(T1513=2,0.55,IF(T1513&lt;=4,0.7,IF(T1513&lt;=6,0.8,IF(T1513&lt;=9,0.9,1))))*(S1513/T1513)+(1-(IF(T1513=2,0.55,IF(T1513&lt;=4,0.7,IF(T1513&lt;=6,0.8,IF(T1513&lt;=9,0.9,1))))))*$Y$1),1),"")</f>
      </c>
      <c r="V1513" s="37">
        <v>7.5</v>
      </c>
      <c r="W1513" s="38"/>
    </row>
    <row r="1514" ht="24" customHeight="1" spans="1:23" x14ac:dyDescent="0.25">
      <c r="A1514" s="31">
        <v>1905</v>
      </c>
      <c r="B1514" s="32" t="s">
        <v>1617</v>
      </c>
      <c r="C1514" s="33" t="s">
        <v>29</v>
      </c>
      <c r="D1514" s="34">
        <v>2024</v>
      </c>
      <c r="E1514" s="34" t="s">
        <v>48</v>
      </c>
      <c r="F1514" s="6">
        <v>8</v>
      </c>
      <c r="G1514" s="6"/>
      <c r="H1514" s="6"/>
      <c r="I1514" s="6"/>
      <c r="J1514" s="6"/>
      <c r="K1514" s="6"/>
      <c r="L1514" s="6">
        <v>8</v>
      </c>
      <c r="M1514" s="6"/>
      <c r="N1514" s="6"/>
      <c r="O1514" s="6"/>
      <c r="P1514" s="6"/>
      <c r="Q1514" s="6"/>
      <c r="R1514" s="6"/>
      <c r="S1514" s="35">
        <f>SUM(F1514:R1514)</f>
        <v>16</v>
      </c>
      <c r="T1514" s="35">
        <f>COUNT(F1514:R1514)</f>
        <v>2</v>
      </c>
      <c r="U1514" s="36">
        <f>IF(T1514&gt;=2,ROUND((IF(T1514=2,0.55,IF(T1514&lt;=4,0.7,IF(T1514&lt;=6,0.8,IF(T1514&lt;=9,0.9,1))))*(S1514/T1514)+(1-(IF(T1514=2,0.55,IF(T1514&lt;=4,0.7,IF(T1514&lt;=6,0.8,IF(T1514&lt;=9,0.9,1))))))*$Y$1),1),"")</f>
        <v>8</v>
      </c>
      <c r="V1514" s="37">
        <v>7.5</v>
      </c>
      <c r="W1514" s="38"/>
    </row>
    <row r="1515" ht="24" customHeight="1" spans="1:23" x14ac:dyDescent="0.25">
      <c r="A1515" s="31">
        <v>2452</v>
      </c>
      <c r="B1515" s="32" t="s">
        <v>1618</v>
      </c>
      <c r="C1515" s="33" t="s">
        <v>24</v>
      </c>
      <c r="D1515" s="34">
        <v>2026</v>
      </c>
      <c r="E1515" s="41"/>
      <c r="F1515" s="6"/>
      <c r="G1515" s="6"/>
      <c r="H1515" s="6"/>
      <c r="I1515" s="6"/>
      <c r="J1515" s="6"/>
      <c r="K1515" s="6"/>
      <c r="L1515" s="6"/>
      <c r="M1515" s="6">
        <v>7</v>
      </c>
      <c r="N1515" s="6"/>
      <c r="O1515" s="6"/>
      <c r="P1515" s="6"/>
      <c r="Q1515" s="6"/>
      <c r="R1515" s="6"/>
      <c r="S1515" s="35">
        <f>SUM(F1515:R1515)</f>
        <v>7</v>
      </c>
      <c r="T1515" s="35">
        <f>COUNT(F1515:R1515)</f>
        <v>1</v>
      </c>
      <c r="U1515" s="36">
        <f>IF(T1515&gt;=2,ROUND((IF(T1515=2,0.55,IF(T1515&lt;=4,0.7,IF(T1515&lt;=6,0.8,IF(T1515&lt;=9,0.9,1))))*(S1515/T1515)+(1-(IF(T1515=2,0.55,IF(T1515&lt;=4,0.7,IF(T1515&lt;=6,0.8,IF(T1515&lt;=9,0.9,1))))))*$Y$1),1),"")</f>
      </c>
      <c r="V1515" s="37">
        <v>6.8</v>
      </c>
      <c r="W1515" s="38"/>
    </row>
    <row r="1516" ht="24" customHeight="1" spans="1:23" x14ac:dyDescent="0.25">
      <c r="A1516" s="31">
        <v>1152</v>
      </c>
      <c r="B1516" s="32" t="s">
        <v>1619</v>
      </c>
      <c r="C1516" s="33" t="s">
        <v>29</v>
      </c>
      <c r="D1516" s="34">
        <v>2019</v>
      </c>
      <c r="E1516" s="34" t="s">
        <v>27</v>
      </c>
      <c r="F1516" s="6"/>
      <c r="G1516" s="6"/>
      <c r="H1516" s="6"/>
      <c r="I1516" s="6"/>
      <c r="J1516" s="6"/>
      <c r="K1516" s="6"/>
      <c r="L1516" s="6">
        <v>6</v>
      </c>
      <c r="M1516" s="6"/>
      <c r="N1516" s="6"/>
      <c r="O1516" s="6"/>
      <c r="P1516" s="6"/>
      <c r="Q1516" s="6"/>
      <c r="R1516" s="6"/>
      <c r="S1516" s="35">
        <f>SUM(F1516:R1516)</f>
        <v>6</v>
      </c>
      <c r="T1516" s="35">
        <f>COUNT(F1516:R1516)</f>
        <v>1</v>
      </c>
      <c r="U1516" s="36">
        <f>IF(T1516&gt;=2,ROUND((IF(T1516=2,0.55,IF(T1516&lt;=4,0.7,IF(T1516&lt;=6,0.8,IF(T1516&lt;=9,0.9,1))))*(S1516/T1516)+(1-(IF(T1516=2,0.55,IF(T1516&lt;=4,0.7,IF(T1516&lt;=6,0.8,IF(T1516&lt;=9,0.9,1))))))*$Y$1),1),"")</f>
      </c>
      <c r="V1516" s="37">
        <v>6.6</v>
      </c>
      <c r="W1516" s="38"/>
    </row>
    <row r="1517" ht="24" customHeight="1" spans="1:23" x14ac:dyDescent="0.25">
      <c r="A1517" s="47">
        <v>1766</v>
      </c>
      <c r="B1517" s="32" t="s">
        <v>1620</v>
      </c>
      <c r="C1517" s="48" t="s">
        <v>24</v>
      </c>
      <c r="D1517" s="49">
        <v>2023</v>
      </c>
      <c r="E1517" s="49" t="s">
        <v>141</v>
      </c>
      <c r="F1517" s="6">
        <v>8</v>
      </c>
      <c r="G1517" s="6">
        <v>8</v>
      </c>
      <c r="H1517" s="6">
        <v>8</v>
      </c>
      <c r="I1517" s="6">
        <v>8</v>
      </c>
      <c r="J1517" s="6">
        <v>8</v>
      </c>
      <c r="K1517" s="6"/>
      <c r="L1517" s="6">
        <v>7</v>
      </c>
      <c r="M1517" s="6"/>
      <c r="N1517" s="6">
        <v>8</v>
      </c>
      <c r="O1517" s="6">
        <v>8</v>
      </c>
      <c r="P1517" s="6">
        <v>8</v>
      </c>
      <c r="Q1517" s="6"/>
      <c r="R1517" s="6"/>
      <c r="S1517" s="50">
        <f>SUM(F1517:R1517)</f>
        <v>71</v>
      </c>
      <c r="T1517" s="50">
        <f>COUNT(F1517:R1517)</f>
        <v>9</v>
      </c>
      <c r="U1517" s="36">
        <f>IF(T1517&gt;=2,ROUND((IF(T1517=2,0.55,IF(T1517&lt;=4,0.7,IF(T1517&lt;=6,0.8,IF(T1517&lt;=9,0.9,1))))*(S1517/T1517)+(1-(IF(T1517=2,0.55,IF(T1517&lt;=4,0.7,IF(T1517&lt;=6,0.8,IF(T1517&lt;=9,0.9,1))))))*$Y$1),1),"")</f>
        <v>7.9</v>
      </c>
      <c r="V1517" s="37">
        <v>7.9</v>
      </c>
      <c r="W1517" s="38" t="s">
        <v>44</v>
      </c>
    </row>
    <row r="1518" ht="24" customHeight="1" spans="1:23" x14ac:dyDescent="0.25">
      <c r="A1518" s="40">
        <v>2180</v>
      </c>
      <c r="B1518" s="32" t="s">
        <v>1621</v>
      </c>
      <c r="C1518" s="33" t="s">
        <v>24</v>
      </c>
      <c r="D1518" s="34">
        <v>2006</v>
      </c>
      <c r="E1518" s="41"/>
      <c r="F1518" s="6"/>
      <c r="G1518" s="6">
        <v>7</v>
      </c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35">
        <f>SUM(F1518:R1518)</f>
        <v>7</v>
      </c>
      <c r="T1518" s="35">
        <f>COUNT(F1518:R1518)</f>
        <v>1</v>
      </c>
      <c r="U1518" s="36">
        <f>IF(T1518&gt;=2,ROUND((IF(T1518=2,0.55,IF(T1518&lt;=4,0.7,IF(T1518&lt;=6,0.8,IF(T1518&lt;=9,0.9,1))))*(S1518/T1518)+(1-(IF(T1518=2,0.55,IF(T1518&lt;=4,0.7,IF(T1518&lt;=6,0.8,IF(T1518&lt;=9,0.9,1))))))*$Y$1),1),"")</f>
      </c>
      <c r="V1518" s="37">
        <v>7</v>
      </c>
      <c r="W1518" s="38"/>
    </row>
    <row r="1519" ht="24" customHeight="1" spans="1:23" x14ac:dyDescent="0.25">
      <c r="A1519" s="31">
        <v>307</v>
      </c>
      <c r="B1519" s="32" t="s">
        <v>1622</v>
      </c>
      <c r="C1519" s="33" t="s">
        <v>24</v>
      </c>
      <c r="D1519" s="34">
        <v>2004</v>
      </c>
      <c r="E1519" s="34" t="s">
        <v>25</v>
      </c>
      <c r="F1519" s="6">
        <v>8</v>
      </c>
      <c r="G1519" s="6">
        <v>8</v>
      </c>
      <c r="H1519" s="6"/>
      <c r="I1519" s="6"/>
      <c r="J1519" s="6">
        <v>8</v>
      </c>
      <c r="K1519" s="6"/>
      <c r="L1519" s="6">
        <v>8</v>
      </c>
      <c r="M1519" s="6"/>
      <c r="N1519" s="6"/>
      <c r="O1519" s="6"/>
      <c r="P1519" s="6">
        <v>8</v>
      </c>
      <c r="Q1519" s="6"/>
      <c r="R1519" s="6"/>
      <c r="S1519" s="35">
        <f>SUM(F1519:R1519)</f>
        <v>40</v>
      </c>
      <c r="T1519" s="35">
        <f>COUNT(F1519:R1519)</f>
        <v>5</v>
      </c>
      <c r="U1519" s="36">
        <f>IF(T1519&gt;=2,ROUND((IF(T1519=2,0.55,IF(T1519&lt;=4,0.7,IF(T1519&lt;=6,0.8,IF(T1519&lt;=9,0.9,1))))*(S1519/T1519)+(1-(IF(T1519=2,0.55,IF(T1519&lt;=4,0.7,IF(T1519&lt;=6,0.8,IF(T1519&lt;=9,0.9,1))))))*$Y$1),1),"")</f>
        <v>8</v>
      </c>
      <c r="V1519" s="37">
        <v>7.7</v>
      </c>
      <c r="W1519" s="38"/>
    </row>
    <row r="1520" ht="24" customHeight="1" spans="1:23" x14ac:dyDescent="0.25">
      <c r="A1520" s="31">
        <v>43</v>
      </c>
      <c r="B1520" s="32" t="s">
        <v>1623</v>
      </c>
      <c r="C1520" s="33" t="s">
        <v>24</v>
      </c>
      <c r="D1520" s="34">
        <v>2004</v>
      </c>
      <c r="E1520" s="34" t="s">
        <v>30</v>
      </c>
      <c r="F1520" s="6">
        <v>8</v>
      </c>
      <c r="G1520" s="6">
        <v>8</v>
      </c>
      <c r="H1520" s="6">
        <v>8</v>
      </c>
      <c r="I1520" s="6">
        <v>10</v>
      </c>
      <c r="J1520" s="6">
        <v>8</v>
      </c>
      <c r="K1520" s="6">
        <v>10</v>
      </c>
      <c r="L1520" s="6">
        <v>10</v>
      </c>
      <c r="M1520" s="6">
        <v>10</v>
      </c>
      <c r="N1520" s="6">
        <v>10</v>
      </c>
      <c r="O1520" s="6"/>
      <c r="P1520" s="6">
        <v>8</v>
      </c>
      <c r="Q1520" s="6">
        <v>10</v>
      </c>
      <c r="R1520" s="6">
        <v>10</v>
      </c>
      <c r="S1520" s="35">
        <f>SUM(F1520:R1520)</f>
        <v>110</v>
      </c>
      <c r="T1520" s="35">
        <f>COUNT(F1520:R1520)</f>
        <v>12</v>
      </c>
      <c r="U1520" s="36">
        <f>IF(T1520&gt;=2,ROUND((IF(T1520=2,0.55,IF(T1520&lt;=4,0.7,IF(T1520&lt;=6,0.8,IF(T1520&lt;=9,0.9,1))))*(S1520/T1520)+(1-(IF(T1520=2,0.55,IF(T1520&lt;=4,0.7,IF(T1520&lt;=6,0.8,IF(T1520&lt;=9,0.9,1))))))*$Y$1),1),"")</f>
        <v>9.2</v>
      </c>
      <c r="V1520" s="37">
        <v>7.8</v>
      </c>
      <c r="W1520" s="38"/>
    </row>
    <row r="1521" ht="24" customHeight="1" spans="1:23" x14ac:dyDescent="0.25">
      <c r="A1521" s="31">
        <v>1601</v>
      </c>
      <c r="B1521" s="32" t="s">
        <v>1624</v>
      </c>
      <c r="C1521" s="70" t="s">
        <v>29</v>
      </c>
      <c r="D1521" s="34">
        <v>2023</v>
      </c>
      <c r="E1521" s="34" t="s">
        <v>30</v>
      </c>
      <c r="F1521" s="6">
        <v>8</v>
      </c>
      <c r="G1521" s="6"/>
      <c r="H1521" s="6">
        <v>8</v>
      </c>
      <c r="I1521" s="6"/>
      <c r="J1521" s="6"/>
      <c r="K1521" s="6"/>
      <c r="L1521" s="6"/>
      <c r="M1521" s="6">
        <v>8</v>
      </c>
      <c r="N1521" s="6">
        <v>8</v>
      </c>
      <c r="O1521" s="6"/>
      <c r="P1521" s="6"/>
      <c r="Q1521" s="6"/>
      <c r="R1521" s="6"/>
      <c r="S1521" s="35">
        <f>SUM(F1521:R1521)</f>
        <v>32</v>
      </c>
      <c r="T1521" s="35">
        <f>COUNT(F1521:R1521)</f>
        <v>4</v>
      </c>
      <c r="U1521" s="36">
        <f>IF(T1521&gt;=2,ROUND((IF(T1521=2,0.55,IF(T1521&lt;=4,0.7,IF(T1521&lt;=6,0.8,IF(T1521&lt;=9,0.9,1))))*(S1521/T1521)+(1-(IF(T1521=2,0.55,IF(T1521&lt;=4,0.7,IF(T1521&lt;=6,0.8,IF(T1521&lt;=9,0.9,1))))))*$Y$1),1),"")</f>
        <v>8</v>
      </c>
      <c r="V1521" s="37">
        <v>7.1</v>
      </c>
      <c r="W1521" s="38"/>
    </row>
    <row r="1522" ht="24" customHeight="1" spans="1:23" x14ac:dyDescent="0.25">
      <c r="A1522" s="31">
        <v>1997</v>
      </c>
      <c r="B1522" s="32" t="s">
        <v>1625</v>
      </c>
      <c r="C1522" s="33" t="s">
        <v>29</v>
      </c>
      <c r="D1522" s="34">
        <v>2025</v>
      </c>
      <c r="E1522" s="34" t="s">
        <v>30</v>
      </c>
      <c r="F1522" s="6">
        <v>8</v>
      </c>
      <c r="G1522" s="6"/>
      <c r="H1522" s="6"/>
      <c r="I1522" s="6"/>
      <c r="J1522" s="6"/>
      <c r="K1522" s="6"/>
      <c r="L1522" s="6"/>
      <c r="M1522" s="6">
        <v>8</v>
      </c>
      <c r="N1522" s="6"/>
      <c r="O1522" s="6"/>
      <c r="P1522" s="6"/>
      <c r="Q1522" s="6"/>
      <c r="R1522" s="6"/>
      <c r="S1522" s="35">
        <f>SUM(F1522:R1522)</f>
        <v>16</v>
      </c>
      <c r="T1522" s="35">
        <f>COUNT(F1522:R1522)</f>
        <v>2</v>
      </c>
      <c r="U1522" s="36">
        <f>IF(T1522&gt;=2,ROUND((IF(T1522=2,0.55,IF(T1522&lt;=4,0.7,IF(T1522&lt;=6,0.8,IF(T1522&lt;=9,0.9,1))))*(S1522/T1522)+(1-(IF(T1522=2,0.55,IF(T1522&lt;=4,0.7,IF(T1522&lt;=6,0.8,IF(T1522&lt;=9,0.9,1))))))*$Y$1),1),"")</f>
        <v>8</v>
      </c>
      <c r="V1522" s="37">
        <v>7</v>
      </c>
      <c r="W1522" s="38"/>
    </row>
    <row r="1523" ht="47.25" customHeight="1" spans="1:23" s="39" customFormat="1" x14ac:dyDescent="0.25">
      <c r="A1523" s="31">
        <v>186</v>
      </c>
      <c r="B1523" s="32" t="s">
        <v>1626</v>
      </c>
      <c r="C1523" s="33" t="s">
        <v>24</v>
      </c>
      <c r="D1523" s="34">
        <v>2019</v>
      </c>
      <c r="E1523" s="34" t="s">
        <v>30</v>
      </c>
      <c r="F1523" s="6"/>
      <c r="G1523" s="6"/>
      <c r="H1523" s="6"/>
      <c r="I1523" s="6"/>
      <c r="J1523" s="6">
        <v>6</v>
      </c>
      <c r="K1523" s="6">
        <v>6</v>
      </c>
      <c r="L1523" s="6"/>
      <c r="M1523" s="6"/>
      <c r="N1523" s="6"/>
      <c r="O1523" s="6"/>
      <c r="P1523" s="6"/>
      <c r="Q1523" s="6">
        <v>6</v>
      </c>
      <c r="R1523" s="6"/>
      <c r="S1523" s="35">
        <f>SUM(F1523:R1523)</f>
        <v>18</v>
      </c>
      <c r="T1523" s="35">
        <f>COUNT(F1523:R1523)</f>
        <v>3</v>
      </c>
      <c r="U1523" s="36">
        <f>IF(T1523&gt;=2,ROUND((IF(T1523=2,0.55,IF(T1523&lt;=4,0.7,IF(T1523&lt;=6,0.8,IF(T1523&lt;=9,0.9,1))))*(S1523/T1523)+(1-(IF(T1523=2,0.55,IF(T1523&lt;=4,0.7,IF(T1523&lt;=6,0.8,IF(T1523&lt;=9,0.9,1))))))*$Y$1),1),"")</f>
        <v>6.6</v>
      </c>
      <c r="V1523" s="37">
        <v>7.2</v>
      </c>
      <c r="W1523" s="38"/>
    </row>
    <row r="1524" ht="24" customHeight="1" spans="1:23" x14ac:dyDescent="0.25">
      <c r="A1524" s="40">
        <v>2433</v>
      </c>
      <c r="B1524" s="32" t="s">
        <v>1627</v>
      </c>
      <c r="C1524" s="33" t="s">
        <v>29</v>
      </c>
      <c r="D1524" s="34">
        <v>2025</v>
      </c>
      <c r="E1524" s="41"/>
      <c r="F1524" s="6"/>
      <c r="G1524" s="6"/>
      <c r="H1524" s="6"/>
      <c r="I1524" s="6"/>
      <c r="J1524" s="6"/>
      <c r="K1524" s="6"/>
      <c r="L1524" s="6"/>
      <c r="M1524" s="6"/>
      <c r="N1524" s="6"/>
      <c r="O1524" s="6">
        <v>8</v>
      </c>
      <c r="P1524" s="6"/>
      <c r="Q1524" s="6"/>
      <c r="R1524" s="6"/>
      <c r="S1524" s="35">
        <f>SUM(F1524:R1524)</f>
        <v>8</v>
      </c>
      <c r="T1524" s="35">
        <f>COUNT(F1524:R1524)</f>
        <v>1</v>
      </c>
      <c r="U1524" s="36">
        <f>IF(T1524&gt;=2,ROUND((IF(T1524=2,0.55,IF(T1524&lt;=4,0.7,IF(T1524&lt;=6,0.8,IF(T1524&lt;=9,0.9,1))))*(S1524/T1524)+(1-(IF(T1524=2,0.55,IF(T1524&lt;=4,0.7,IF(T1524&lt;=6,0.8,IF(T1524&lt;=9,0.9,1))))))*$Y$1),1),"")</f>
      </c>
      <c r="V1524" s="37"/>
      <c r="W1524" s="38"/>
    </row>
    <row r="1525" ht="24" customHeight="1" spans="1:23" x14ac:dyDescent="0.25">
      <c r="A1525" s="40">
        <v>2103</v>
      </c>
      <c r="B1525" s="32" t="s">
        <v>1628</v>
      </c>
      <c r="C1525" s="33" t="s">
        <v>24</v>
      </c>
      <c r="D1525" s="34">
        <v>1998</v>
      </c>
      <c r="E1525" s="41"/>
      <c r="F1525" s="6"/>
      <c r="G1525" s="6">
        <v>7</v>
      </c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35">
        <f>SUM(F1525:R1525)</f>
        <v>7</v>
      </c>
      <c r="T1525" s="35">
        <f>COUNT(F1525:R1525)</f>
        <v>1</v>
      </c>
      <c r="U1525" s="36">
        <f>IF(T1525&gt;=2,ROUND((IF(T1525=2,0.55,IF(T1525&lt;=4,0.7,IF(T1525&lt;=6,0.8,IF(T1525&lt;=9,0.9,1))))*(S1525/T1525)+(1-(IF(T1525=2,0.55,IF(T1525&lt;=4,0.7,IF(T1525&lt;=6,0.8,IF(T1525&lt;=9,0.9,1))))))*$Y$1),1),"")</f>
      </c>
      <c r="V1525" s="37">
        <v>7.3</v>
      </c>
      <c r="W1525" s="38"/>
    </row>
    <row r="1526" ht="24" customHeight="1" spans="1:23" x14ac:dyDescent="0.25">
      <c r="A1526" s="31">
        <v>594</v>
      </c>
      <c r="B1526" s="32" t="s">
        <v>1629</v>
      </c>
      <c r="C1526" s="33" t="s">
        <v>24</v>
      </c>
      <c r="D1526" s="34">
        <v>2014</v>
      </c>
      <c r="E1526" s="34" t="s">
        <v>30</v>
      </c>
      <c r="F1526" s="6">
        <v>8</v>
      </c>
      <c r="G1526" s="6"/>
      <c r="H1526" s="6">
        <v>8</v>
      </c>
      <c r="I1526" s="6">
        <v>8</v>
      </c>
      <c r="J1526" s="6"/>
      <c r="K1526" s="6">
        <v>8</v>
      </c>
      <c r="L1526" s="6"/>
      <c r="M1526" s="6">
        <v>10</v>
      </c>
      <c r="N1526" s="6">
        <v>10</v>
      </c>
      <c r="O1526" s="6">
        <v>8</v>
      </c>
      <c r="P1526" s="6"/>
      <c r="Q1526" s="6">
        <v>8</v>
      </c>
      <c r="R1526" s="6"/>
      <c r="S1526" s="35">
        <f>SUM(F1526:R1526)</f>
        <v>68</v>
      </c>
      <c r="T1526" s="35">
        <f>COUNT(F1526:R1526)</f>
        <v>8</v>
      </c>
      <c r="U1526" s="36">
        <f>IF(T1526&gt;=2,ROUND((IF(T1526=2,0.55,IF(T1526&lt;=4,0.7,IF(T1526&lt;=6,0.8,IF(T1526&lt;=9,0.9,1))))*(S1526/T1526)+(1-(IF(T1526=2,0.55,IF(T1526&lt;=4,0.7,IF(T1526&lt;=6,0.8,IF(T1526&lt;=9,0.9,1))))))*$Y$1),1),"")</f>
        <v>8.5</v>
      </c>
      <c r="V1526" s="37">
        <v>4.6</v>
      </c>
      <c r="W1526" s="38"/>
    </row>
    <row r="1527" ht="24" customHeight="1" spans="1:23" x14ac:dyDescent="0.25">
      <c r="A1527" s="31">
        <v>595</v>
      </c>
      <c r="B1527" s="32" t="s">
        <v>1630</v>
      </c>
      <c r="C1527" s="33" t="s">
        <v>24</v>
      </c>
      <c r="D1527" s="34">
        <v>2016</v>
      </c>
      <c r="E1527" s="34" t="s">
        <v>30</v>
      </c>
      <c r="F1527" s="6"/>
      <c r="G1527" s="6"/>
      <c r="H1527" s="6"/>
      <c r="I1527" s="6"/>
      <c r="J1527" s="6"/>
      <c r="K1527" s="6"/>
      <c r="L1527" s="6"/>
      <c r="M1527" s="6"/>
      <c r="N1527" s="6">
        <v>8</v>
      </c>
      <c r="O1527" s="6"/>
      <c r="P1527" s="6"/>
      <c r="Q1527" s="6"/>
      <c r="R1527" s="6"/>
      <c r="S1527" s="35">
        <f>SUM(F1527:R1527)</f>
        <v>8</v>
      </c>
      <c r="T1527" s="35">
        <f>COUNT(F1527:R1527)</f>
        <v>1</v>
      </c>
      <c r="U1527" s="36">
        <f>IF(T1527&gt;=2,ROUND((IF(T1527=2,0.55,IF(T1527&lt;=4,0.7,IF(T1527&lt;=6,0.8,IF(T1527&lt;=9,0.9,1))))*(S1527/T1527)+(1-(IF(T1527=2,0.55,IF(T1527&lt;=4,0.7,IF(T1527&lt;=6,0.8,IF(T1527&lt;=9,0.9,1))))))*$Y$1),1),"")</f>
      </c>
      <c r="V1527" s="37">
        <v>4.4</v>
      </c>
      <c r="W1527" s="38"/>
    </row>
    <row r="1528" ht="24" customHeight="1" spans="1:23" x14ac:dyDescent="0.25">
      <c r="A1528" s="31">
        <v>1720</v>
      </c>
      <c r="B1528" s="32" t="s">
        <v>1631</v>
      </c>
      <c r="C1528" s="33" t="s">
        <v>29</v>
      </c>
      <c r="D1528" s="34">
        <v>2024</v>
      </c>
      <c r="E1528" s="34" t="s">
        <v>30</v>
      </c>
      <c r="F1528" s="6">
        <v>6</v>
      </c>
      <c r="G1528" s="6"/>
      <c r="H1528" s="6"/>
      <c r="I1528" s="6"/>
      <c r="J1528" s="6"/>
      <c r="K1528" s="6"/>
      <c r="L1528" s="6"/>
      <c r="M1528" s="6"/>
      <c r="N1528" s="6">
        <v>8</v>
      </c>
      <c r="O1528" s="6"/>
      <c r="P1528" s="6"/>
      <c r="Q1528" s="6"/>
      <c r="R1528" s="6"/>
      <c r="S1528" s="35">
        <f>SUM(F1528:R1528)</f>
        <v>14</v>
      </c>
      <c r="T1528" s="35">
        <f>COUNT(F1528:R1528)</f>
        <v>2</v>
      </c>
      <c r="U1528" s="36">
        <f>IF(T1528&gt;=2,ROUND((IF(T1528=2,0.55,IF(T1528&lt;=4,0.7,IF(T1528&lt;=6,0.8,IF(T1528&lt;=9,0.9,1))))*(S1528/T1528)+(1-(IF(T1528=2,0.55,IF(T1528&lt;=4,0.7,IF(T1528&lt;=6,0.8,IF(T1528&lt;=9,0.9,1))))))*$Y$1),1),"")</f>
        <v>7.5</v>
      </c>
      <c r="V1528" s="37">
        <v>5.6</v>
      </c>
      <c r="W1528" s="38"/>
    </row>
    <row r="1529" ht="24" customHeight="1" spans="1:23" x14ac:dyDescent="0.25">
      <c r="A1529" s="31">
        <v>1355</v>
      </c>
      <c r="B1529" s="32" t="s">
        <v>1632</v>
      </c>
      <c r="C1529" s="33" t="s">
        <v>24</v>
      </c>
      <c r="D1529" s="34">
        <v>2009</v>
      </c>
      <c r="E1529" s="34" t="s">
        <v>27</v>
      </c>
      <c r="F1529" s="6"/>
      <c r="G1529" s="6"/>
      <c r="H1529" s="6"/>
      <c r="I1529" s="6"/>
      <c r="J1529" s="6"/>
      <c r="K1529" s="6"/>
      <c r="L1529" s="6">
        <v>8</v>
      </c>
      <c r="M1529" s="6"/>
      <c r="N1529" s="6"/>
      <c r="O1529" s="6"/>
      <c r="P1529" s="6"/>
      <c r="Q1529" s="6"/>
      <c r="R1529" s="6"/>
      <c r="S1529" s="35">
        <f>SUM(F1529:R1529)</f>
        <v>8</v>
      </c>
      <c r="T1529" s="35">
        <f>COUNT(F1529:R1529)</f>
        <v>1</v>
      </c>
      <c r="U1529" s="36">
        <f>IF(T1529&gt;=2,ROUND((IF(T1529=2,0.55,IF(T1529&lt;=4,0.7,IF(T1529&lt;=6,0.8,IF(T1529&lt;=9,0.9,1))))*(S1529/T1529)+(1-(IF(T1529=2,0.55,IF(T1529&lt;=4,0.7,IF(T1529&lt;=6,0.8,IF(T1529&lt;=9,0.9,1))))))*$Y$1),1),"")</f>
      </c>
      <c r="V1529" s="37">
        <v>7.2</v>
      </c>
      <c r="W1529" s="38"/>
    </row>
    <row r="1530" ht="24" customHeight="1" spans="1:23" x14ac:dyDescent="0.25">
      <c r="A1530" s="31">
        <v>42</v>
      </c>
      <c r="B1530" s="32" t="s">
        <v>1633</v>
      </c>
      <c r="C1530" s="33" t="s">
        <v>24</v>
      </c>
      <c r="D1530" s="34">
        <v>1999</v>
      </c>
      <c r="E1530" s="34" t="s">
        <v>30</v>
      </c>
      <c r="F1530" s="6"/>
      <c r="G1530" s="6"/>
      <c r="H1530" s="6">
        <v>8</v>
      </c>
      <c r="I1530" s="6">
        <v>10</v>
      </c>
      <c r="J1530" s="6"/>
      <c r="K1530" s="6">
        <v>8</v>
      </c>
      <c r="L1530" s="6">
        <v>8</v>
      </c>
      <c r="M1530" s="6">
        <v>8</v>
      </c>
      <c r="N1530" s="6"/>
      <c r="O1530" s="6">
        <v>8</v>
      </c>
      <c r="P1530" s="6"/>
      <c r="Q1530" s="6">
        <v>8</v>
      </c>
      <c r="R1530" s="6"/>
      <c r="S1530" s="35">
        <f>SUM(F1530:R1530)</f>
        <v>58</v>
      </c>
      <c r="T1530" s="35">
        <f>COUNT(F1530:R1530)</f>
        <v>7</v>
      </c>
      <c r="U1530" s="36">
        <f>IF(T1530&gt;=2,ROUND((IF(T1530=2,0.55,IF(T1530&lt;=4,0.7,IF(T1530&lt;=6,0.8,IF(T1530&lt;=9,0.9,1))))*(S1530/T1530)+(1-(IF(T1530=2,0.55,IF(T1530&lt;=4,0.7,IF(T1530&lt;=6,0.8,IF(T1530&lt;=9,0.9,1))))))*$Y$1),1),"")</f>
        <v>8.3</v>
      </c>
      <c r="V1530" s="37">
        <v>5.4</v>
      </c>
      <c r="W1530" s="38"/>
    </row>
    <row r="1531" ht="24" customHeight="1" spans="1:23" x14ac:dyDescent="0.25">
      <c r="A1531" s="31">
        <v>2472</v>
      </c>
      <c r="B1531" s="32" t="s">
        <v>1634</v>
      </c>
      <c r="C1531" s="33" t="s">
        <v>24</v>
      </c>
      <c r="D1531" s="34">
        <v>2003</v>
      </c>
      <c r="E1531" s="41"/>
      <c r="F1531" s="6"/>
      <c r="G1531" s="6"/>
      <c r="H1531" s="6"/>
      <c r="I1531" s="6"/>
      <c r="J1531" s="6"/>
      <c r="K1531" s="6">
        <v>10</v>
      </c>
      <c r="L1531" s="6"/>
      <c r="M1531" s="6"/>
      <c r="N1531" s="6"/>
      <c r="O1531" s="6"/>
      <c r="P1531" s="6"/>
      <c r="Q1531" s="6">
        <v>10</v>
      </c>
      <c r="R1531" s="6"/>
      <c r="S1531" s="35">
        <f>SUM(F1531:R1531)</f>
        <v>20</v>
      </c>
      <c r="T1531" s="35">
        <f>COUNT(F1531:R1531)</f>
        <v>2</v>
      </c>
      <c r="U1531" s="36">
        <f>IF(T1531&gt;=2,ROUND((IF(T1531=2,0.55,IF(T1531&lt;=4,0.7,IF(T1531&lt;=6,0.8,IF(T1531&lt;=9,0.9,1))))*(S1531/T1531)+(1-(IF(T1531=2,0.55,IF(T1531&lt;=4,0.7,IF(T1531&lt;=6,0.8,IF(T1531&lt;=9,0.9,1))))))*$Y$1),1),"")</f>
        <v>9.1</v>
      </c>
      <c r="V1531" s="37"/>
      <c r="W1531" s="38"/>
    </row>
    <row r="1532" ht="24" customHeight="1" spans="1:23" s="39" customFormat="1" x14ac:dyDescent="0.25">
      <c r="A1532" s="31">
        <v>1523</v>
      </c>
      <c r="B1532" s="32" t="s">
        <v>1635</v>
      </c>
      <c r="C1532" s="33" t="s">
        <v>24</v>
      </c>
      <c r="D1532" s="34">
        <v>2023</v>
      </c>
      <c r="E1532" s="34" t="s">
        <v>30</v>
      </c>
      <c r="F1532" s="6">
        <v>6</v>
      </c>
      <c r="G1532" s="6"/>
      <c r="H1532" s="6"/>
      <c r="I1532" s="6"/>
      <c r="J1532" s="6">
        <v>7</v>
      </c>
      <c r="K1532" s="6"/>
      <c r="L1532" s="6"/>
      <c r="M1532" s="6"/>
      <c r="N1532" s="6"/>
      <c r="O1532" s="6">
        <v>8</v>
      </c>
      <c r="P1532" s="6"/>
      <c r="Q1532" s="6"/>
      <c r="R1532" s="6"/>
      <c r="S1532" s="35">
        <f>SUM(F1532:R1532)</f>
        <v>21</v>
      </c>
      <c r="T1532" s="35">
        <f>COUNT(F1532:R1532)</f>
        <v>3</v>
      </c>
      <c r="U1532" s="36">
        <f>IF(T1532&gt;=2,ROUND((IF(T1532=2,0.55,IF(T1532&lt;=4,0.7,IF(T1532&lt;=6,0.8,IF(T1532&lt;=9,0.9,1))))*(S1532/T1532)+(1-(IF(T1532=2,0.55,IF(T1532&lt;=4,0.7,IF(T1532&lt;=6,0.8,IF(T1532&lt;=9,0.9,1))))))*$Y$1),1),"")</f>
        <v>7.3</v>
      </c>
      <c r="V1532" s="37">
        <v>6.8</v>
      </c>
      <c r="W1532" s="38"/>
    </row>
    <row r="1533" ht="24" customHeight="1" spans="1:23" x14ac:dyDescent="0.25">
      <c r="A1533" s="47">
        <v>967</v>
      </c>
      <c r="B1533" s="32" t="s">
        <v>1636</v>
      </c>
      <c r="C1533" s="48" t="s">
        <v>24</v>
      </c>
      <c r="D1533" s="49">
        <v>2020</v>
      </c>
      <c r="E1533" s="49" t="s">
        <v>30</v>
      </c>
      <c r="F1533" s="6">
        <v>6</v>
      </c>
      <c r="G1533" s="6">
        <v>4</v>
      </c>
      <c r="H1533" s="6"/>
      <c r="I1533" s="6">
        <v>6</v>
      </c>
      <c r="J1533" s="6">
        <v>6</v>
      </c>
      <c r="K1533" s="6">
        <v>8</v>
      </c>
      <c r="L1533" s="6">
        <v>6</v>
      </c>
      <c r="M1533" s="6"/>
      <c r="N1533" s="6">
        <v>6</v>
      </c>
      <c r="O1533" s="6"/>
      <c r="P1533" s="6">
        <v>6</v>
      </c>
      <c r="Q1533" s="6">
        <v>8</v>
      </c>
      <c r="R1533" s="6"/>
      <c r="S1533" s="50">
        <f>SUM(F1533:R1533)</f>
        <v>56</v>
      </c>
      <c r="T1533" s="50">
        <f>COUNT(F1533:R1533)</f>
        <v>9</v>
      </c>
      <c r="U1533" s="36">
        <f>IF(T1533&gt;=2,ROUND((IF(T1533=2,0.55,IF(T1533&lt;=4,0.7,IF(T1533&lt;=6,0.8,IF(T1533&lt;=9,0.9,1))))*(S1533/T1533)+(1-(IF(T1533=2,0.55,IF(T1533&lt;=4,0.7,IF(T1533&lt;=6,0.8,IF(T1533&lt;=9,0.9,1))))))*$Y$1),1),"")</f>
        <v>6.4</v>
      </c>
      <c r="V1533" s="37">
        <v>6.5</v>
      </c>
      <c r="W1533" s="38" t="s">
        <v>44</v>
      </c>
    </row>
    <row r="1534" ht="24" customHeight="1" spans="1:23" x14ac:dyDescent="0.25">
      <c r="A1534" s="31">
        <v>168</v>
      </c>
      <c r="B1534" s="32" t="s">
        <v>1637</v>
      </c>
      <c r="C1534" s="33" t="s">
        <v>24</v>
      </c>
      <c r="D1534" s="34">
        <v>2017</v>
      </c>
      <c r="E1534" s="34" t="s">
        <v>30</v>
      </c>
      <c r="F1534" s="6">
        <v>8</v>
      </c>
      <c r="G1534" s="6">
        <v>7</v>
      </c>
      <c r="H1534" s="6">
        <v>8</v>
      </c>
      <c r="I1534" s="6">
        <v>8</v>
      </c>
      <c r="J1534" s="6">
        <v>8</v>
      </c>
      <c r="K1534" s="6">
        <v>10</v>
      </c>
      <c r="L1534" s="6"/>
      <c r="M1534" s="6">
        <v>8</v>
      </c>
      <c r="N1534" s="6">
        <v>8</v>
      </c>
      <c r="O1534" s="6"/>
      <c r="P1534" s="6">
        <v>6</v>
      </c>
      <c r="Q1534" s="6">
        <v>10</v>
      </c>
      <c r="R1534" s="6">
        <v>10</v>
      </c>
      <c r="S1534" s="35">
        <f>SUM(F1534:R1534)</f>
        <v>91</v>
      </c>
      <c r="T1534" s="35">
        <f>COUNT(F1534:R1534)</f>
        <v>11</v>
      </c>
      <c r="U1534" s="36">
        <f>IF(T1534&gt;=2,ROUND((IF(T1534=2,0.55,IF(T1534&lt;=4,0.7,IF(T1534&lt;=6,0.8,IF(T1534&lt;=9,0.9,1))))*(S1534/T1534)+(1-(IF(T1534=2,0.55,IF(T1534&lt;=4,0.7,IF(T1534&lt;=6,0.8,IF(T1534&lt;=9,0.9,1))))))*$Y$1),1),"")</f>
        <v>8.3</v>
      </c>
      <c r="V1534" s="37">
        <v>6.6</v>
      </c>
      <c r="W1534" s="38"/>
    </row>
    <row r="1535" ht="24" customHeight="1" spans="1:23" x14ac:dyDescent="0.25">
      <c r="A1535" s="31">
        <v>163</v>
      </c>
      <c r="B1535" s="32" t="s">
        <v>1638</v>
      </c>
      <c r="C1535" s="33" t="s">
        <v>24</v>
      </c>
      <c r="D1535" s="34">
        <v>2017</v>
      </c>
      <c r="E1535" s="34" t="s">
        <v>52</v>
      </c>
      <c r="F1535" s="6"/>
      <c r="G1535" s="6"/>
      <c r="H1535" s="6"/>
      <c r="I1535" s="6"/>
      <c r="J1535" s="6"/>
      <c r="K1535" s="6">
        <v>6</v>
      </c>
      <c r="L1535" s="6">
        <v>8</v>
      </c>
      <c r="M1535" s="6"/>
      <c r="N1535" s="6"/>
      <c r="O1535" s="6"/>
      <c r="P1535" s="6"/>
      <c r="Q1535" s="6">
        <v>6</v>
      </c>
      <c r="R1535" s="6"/>
      <c r="S1535" s="35">
        <f>SUM(F1535:R1535)</f>
        <v>20</v>
      </c>
      <c r="T1535" s="35">
        <f>COUNT(F1535:R1535)</f>
        <v>3</v>
      </c>
      <c r="U1535" s="36">
        <f>IF(T1535&gt;=2,ROUND((IF(T1535=2,0.55,IF(T1535&lt;=4,0.7,IF(T1535&lt;=6,0.8,IF(T1535&lt;=9,0.9,1))))*(S1535/T1535)+(1-(IF(T1535=2,0.55,IF(T1535&lt;=4,0.7,IF(T1535&lt;=6,0.8,IF(T1535&lt;=9,0.9,1))))))*$Y$1),1),"")</f>
        <v>7.1</v>
      </c>
      <c r="V1535" s="37">
        <v>6.6</v>
      </c>
      <c r="W1535" s="38"/>
    </row>
    <row r="1536" ht="47.25" customHeight="1" spans="1:23" x14ac:dyDescent="0.25">
      <c r="A1536" s="31">
        <v>895</v>
      </c>
      <c r="B1536" s="32" t="s">
        <v>1639</v>
      </c>
      <c r="C1536" s="33" t="s">
        <v>29</v>
      </c>
      <c r="D1536" s="34">
        <v>2016</v>
      </c>
      <c r="E1536" s="34" t="s">
        <v>30</v>
      </c>
      <c r="F1536" s="6"/>
      <c r="G1536" s="6"/>
      <c r="H1536" s="6"/>
      <c r="I1536" s="6"/>
      <c r="J1536" s="6"/>
      <c r="K1536" s="6"/>
      <c r="L1536" s="6">
        <v>10</v>
      </c>
      <c r="M1536" s="6"/>
      <c r="N1536" s="6"/>
      <c r="O1536" s="6"/>
      <c r="P1536" s="6"/>
      <c r="Q1536" s="6"/>
      <c r="R1536" s="6"/>
      <c r="S1536" s="35">
        <f>SUM(F1536:R1536)</f>
        <v>10</v>
      </c>
      <c r="T1536" s="35">
        <f>COUNT(F1536:R1536)</f>
        <v>1</v>
      </c>
      <c r="U1536" s="36">
        <f>IF(T1536&gt;=2,ROUND((IF(T1536=2,0.55,IF(T1536&lt;=4,0.7,IF(T1536&lt;=6,0.8,IF(T1536&lt;=9,0.9,1))))*(S1536/T1536)+(1-(IF(T1536=2,0.55,IF(T1536&lt;=4,0.7,IF(T1536&lt;=6,0.8,IF(T1536&lt;=9,0.9,1))))))*$Y$1),1),"")</f>
      </c>
      <c r="V1536" s="37">
        <v>7.4</v>
      </c>
      <c r="W1536" s="38"/>
    </row>
    <row r="1537" ht="24" customHeight="1" spans="1:23" x14ac:dyDescent="0.25">
      <c r="A1537" s="31">
        <v>940</v>
      </c>
      <c r="B1537" s="32" t="s">
        <v>1640</v>
      </c>
      <c r="C1537" s="33" t="s">
        <v>24</v>
      </c>
      <c r="D1537" s="34">
        <v>2013</v>
      </c>
      <c r="E1537" s="34" t="s">
        <v>27</v>
      </c>
      <c r="F1537" s="6"/>
      <c r="G1537" s="6"/>
      <c r="H1537" s="6"/>
      <c r="I1537" s="6"/>
      <c r="J1537" s="6"/>
      <c r="K1537" s="6">
        <v>6</v>
      </c>
      <c r="L1537" s="6"/>
      <c r="M1537" s="6"/>
      <c r="N1537" s="6"/>
      <c r="O1537" s="6"/>
      <c r="P1537" s="6"/>
      <c r="Q1537" s="6">
        <v>6</v>
      </c>
      <c r="R1537" s="6"/>
      <c r="S1537" s="35">
        <f>SUM(F1537:R1537)</f>
        <v>12</v>
      </c>
      <c r="T1537" s="35">
        <f>COUNT(F1537:R1537)</f>
        <v>2</v>
      </c>
      <c r="U1537" s="36">
        <f>IF(T1537&gt;=2,ROUND((IF(T1537=2,0.55,IF(T1537&lt;=4,0.7,IF(T1537&lt;=6,0.8,IF(T1537&lt;=9,0.9,1))))*(S1537/T1537)+(1-(IF(T1537=2,0.55,IF(T1537&lt;=4,0.7,IF(T1537&lt;=6,0.8,IF(T1537&lt;=9,0.9,1))))))*$Y$1),1),"")</f>
        <v>6.9</v>
      </c>
      <c r="V1537" s="37">
        <v>5.7</v>
      </c>
      <c r="W1537" s="38"/>
    </row>
    <row r="1538" ht="24" customHeight="1" spans="1:23" x14ac:dyDescent="0.25">
      <c r="A1538" s="31">
        <v>1566</v>
      </c>
      <c r="B1538" s="32" t="s">
        <v>1641</v>
      </c>
      <c r="C1538" s="33" t="s">
        <v>29</v>
      </c>
      <c r="D1538" s="34">
        <v>2023</v>
      </c>
      <c r="E1538" s="34" t="s">
        <v>30</v>
      </c>
      <c r="F1538" s="6"/>
      <c r="G1538" s="6"/>
      <c r="H1538" s="6">
        <v>7</v>
      </c>
      <c r="I1538" s="6"/>
      <c r="J1538" s="6"/>
      <c r="K1538" s="6">
        <v>7</v>
      </c>
      <c r="L1538" s="6"/>
      <c r="M1538" s="6"/>
      <c r="N1538" s="6"/>
      <c r="O1538" s="6"/>
      <c r="P1538" s="6"/>
      <c r="Q1538" s="6">
        <v>7</v>
      </c>
      <c r="R1538" s="6"/>
      <c r="S1538" s="35">
        <f>SUM(F1538:R1538)</f>
        <v>21</v>
      </c>
      <c r="T1538" s="35">
        <f>COUNT(F1538:R1538)</f>
        <v>3</v>
      </c>
      <c r="U1538" s="36">
        <f>IF(T1538&gt;=2,ROUND((IF(T1538=2,0.55,IF(T1538&lt;=4,0.7,IF(T1538&lt;=6,0.8,IF(T1538&lt;=9,0.9,1))))*(S1538/T1538)+(1-(IF(T1538=2,0.55,IF(T1538&lt;=4,0.7,IF(T1538&lt;=6,0.8,IF(T1538&lt;=9,0.9,1))))))*$Y$1),1),"")</f>
        <v>7.3</v>
      </c>
      <c r="V1538" s="37">
        <v>5.2</v>
      </c>
      <c r="W1538" s="38"/>
    </row>
    <row r="1539" ht="24" customHeight="1" spans="1:23" x14ac:dyDescent="0.25">
      <c r="A1539" s="31">
        <v>491</v>
      </c>
      <c r="B1539" s="32" t="s">
        <v>1642</v>
      </c>
      <c r="C1539" s="33" t="s">
        <v>24</v>
      </c>
      <c r="D1539" s="34">
        <v>2007</v>
      </c>
      <c r="E1539" s="34" t="s">
        <v>27</v>
      </c>
      <c r="F1539" s="6">
        <v>8</v>
      </c>
      <c r="G1539" s="6">
        <v>8</v>
      </c>
      <c r="H1539" s="6">
        <v>9</v>
      </c>
      <c r="I1539" s="6">
        <v>9</v>
      </c>
      <c r="J1539" s="6">
        <v>9</v>
      </c>
      <c r="K1539" s="6">
        <v>8</v>
      </c>
      <c r="L1539" s="6">
        <v>8</v>
      </c>
      <c r="M1539" s="6"/>
      <c r="N1539" s="6"/>
      <c r="O1539" s="6">
        <v>9</v>
      </c>
      <c r="P1539" s="6">
        <v>8</v>
      </c>
      <c r="Q1539" s="6">
        <v>8</v>
      </c>
      <c r="R1539" s="6"/>
      <c r="S1539" s="35">
        <f>SUM(F1539:R1539)</f>
        <v>84</v>
      </c>
      <c r="T1539" s="35">
        <f>COUNT(F1539:R1539)</f>
        <v>10</v>
      </c>
      <c r="U1539" s="36">
        <f>IF(T1539&gt;=2,ROUND((IF(T1539=2,0.55,IF(T1539&lt;=4,0.7,IF(T1539&lt;=6,0.8,IF(T1539&lt;=9,0.9,1))))*(S1539/T1539)+(1-(IF(T1539=2,0.55,IF(T1539&lt;=4,0.7,IF(T1539&lt;=6,0.8,IF(T1539&lt;=9,0.9,1))))))*$Y$1),1),"")</f>
        <v>8.4</v>
      </c>
      <c r="V1539" s="37">
        <v>7.8</v>
      </c>
      <c r="W1539" s="38"/>
    </row>
    <row r="1540" ht="24" customHeight="1" spans="1:23" x14ac:dyDescent="0.25">
      <c r="A1540" s="40">
        <v>2200</v>
      </c>
      <c r="B1540" s="32" t="s">
        <v>1643</v>
      </c>
      <c r="C1540" s="33" t="s">
        <v>24</v>
      </c>
      <c r="D1540" s="34">
        <v>2007</v>
      </c>
      <c r="E1540" s="41"/>
      <c r="F1540" s="6"/>
      <c r="G1540" s="6">
        <v>7</v>
      </c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35">
        <f>SUM(F1540:R1540)</f>
        <v>7</v>
      </c>
      <c r="T1540" s="35">
        <f>COUNT(F1540:R1540)</f>
        <v>1</v>
      </c>
      <c r="U1540" s="36">
        <f>IF(T1540&gt;=2,ROUND((IF(T1540=2,0.55,IF(T1540&lt;=4,0.7,IF(T1540&lt;=6,0.8,IF(T1540&lt;=9,0.9,1))))*(S1540/T1540)+(1-(IF(T1540=2,0.55,IF(T1540&lt;=4,0.7,IF(T1540&lt;=6,0.8,IF(T1540&lt;=9,0.9,1))))))*$Y$1),1),"")</f>
      </c>
      <c r="V1540" s="37">
        <v>7.5</v>
      </c>
      <c r="W1540" s="38"/>
    </row>
    <row r="1541" ht="24" customHeight="1" spans="1:23" x14ac:dyDescent="0.25">
      <c r="A1541" s="40">
        <v>2305</v>
      </c>
      <c r="B1541" s="32" t="s">
        <v>1644</v>
      </c>
      <c r="C1541" s="33" t="s">
        <v>24</v>
      </c>
      <c r="D1541" s="34">
        <v>2015</v>
      </c>
      <c r="E1541" s="41"/>
      <c r="F1541" s="6"/>
      <c r="G1541" s="6">
        <v>8</v>
      </c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35">
        <f>SUM(F1541:R1541)</f>
        <v>8</v>
      </c>
      <c r="T1541" s="35">
        <f>COUNT(F1541:R1541)</f>
        <v>1</v>
      </c>
      <c r="U1541" s="36">
        <f>IF(T1541&gt;=2,ROUND((IF(T1541=2,0.55,IF(T1541&lt;=4,0.7,IF(T1541&lt;=6,0.8,IF(T1541&lt;=9,0.9,1))))*(S1541/T1541)+(1-(IF(T1541=2,0.55,IF(T1541&lt;=4,0.7,IF(T1541&lt;=6,0.8,IF(T1541&lt;=9,0.9,1))))))*$Y$1),1),"")</f>
      </c>
      <c r="V1541" s="37">
        <v>6.3</v>
      </c>
      <c r="W1541" s="38"/>
    </row>
    <row r="1542" ht="24" customHeight="1" spans="1:23" x14ac:dyDescent="0.25">
      <c r="A1542" s="31">
        <v>1991</v>
      </c>
      <c r="B1542" s="32" t="s">
        <v>1645</v>
      </c>
      <c r="C1542" s="33" t="s">
        <v>24</v>
      </c>
      <c r="D1542" s="34">
        <v>2003</v>
      </c>
      <c r="E1542" s="34" t="s">
        <v>25</v>
      </c>
      <c r="F1542" s="6"/>
      <c r="G1542" s="6"/>
      <c r="H1542" s="6"/>
      <c r="I1542" s="6"/>
      <c r="J1542" s="6"/>
      <c r="K1542" s="6"/>
      <c r="L1542" s="6"/>
      <c r="M1542" s="6">
        <v>9</v>
      </c>
      <c r="N1542" s="6">
        <v>9</v>
      </c>
      <c r="O1542" s="6">
        <v>9</v>
      </c>
      <c r="P1542" s="6"/>
      <c r="Q1542" s="6"/>
      <c r="R1542" s="6"/>
      <c r="S1542" s="35">
        <f>SUM(F1542:R1542)</f>
        <v>27</v>
      </c>
      <c r="T1542" s="35">
        <f>COUNT(F1542:R1542)</f>
        <v>3</v>
      </c>
      <c r="U1542" s="36">
        <f>IF(T1542&gt;=2,ROUND((IF(T1542=2,0.55,IF(T1542&lt;=4,0.7,IF(T1542&lt;=6,0.8,IF(T1542&lt;=9,0.9,1))))*(S1542/T1542)+(1-(IF(T1542=2,0.55,IF(T1542&lt;=4,0.7,IF(T1542&lt;=6,0.8,IF(T1542&lt;=9,0.9,1))))))*$Y$1),1),"")</f>
        <v>8.7</v>
      </c>
      <c r="V1542" s="37">
        <v>6.5</v>
      </c>
      <c r="W1542" s="38"/>
    </row>
    <row r="1543" ht="24" customHeight="1" spans="1:23" x14ac:dyDescent="0.25">
      <c r="A1543" s="31">
        <v>82</v>
      </c>
      <c r="B1543" s="32" t="s">
        <v>1646</v>
      </c>
      <c r="C1543" s="33" t="s">
        <v>24</v>
      </c>
      <c r="D1543" s="34">
        <v>2004</v>
      </c>
      <c r="E1543" s="34" t="s">
        <v>33</v>
      </c>
      <c r="F1543" s="6"/>
      <c r="G1543" s="6"/>
      <c r="H1543" s="6"/>
      <c r="I1543" s="6"/>
      <c r="J1543" s="6"/>
      <c r="K1543" s="6">
        <v>8</v>
      </c>
      <c r="L1543" s="6"/>
      <c r="M1543" s="6"/>
      <c r="N1543" s="6"/>
      <c r="O1543" s="6"/>
      <c r="P1543" s="6"/>
      <c r="Q1543" s="6">
        <v>8</v>
      </c>
      <c r="R1543" s="6"/>
      <c r="S1543" s="35">
        <f>SUM(F1543:R1543)</f>
        <v>16</v>
      </c>
      <c r="T1543" s="35">
        <f>COUNT(F1543:R1543)</f>
        <v>2</v>
      </c>
      <c r="U1543" s="36">
        <f>IF(T1543&gt;=2,ROUND((IF(T1543=2,0.55,IF(T1543&lt;=4,0.7,IF(T1543&lt;=6,0.8,IF(T1543&lt;=9,0.9,1))))*(S1543/T1543)+(1-(IF(T1543=2,0.55,IF(T1543&lt;=4,0.7,IF(T1543&lt;=6,0.8,IF(T1543&lt;=9,0.9,1))))))*$Y$1),1),"")</f>
        <v>8</v>
      </c>
      <c r="V1543" s="37">
        <v>7.5</v>
      </c>
      <c r="W1543" s="38"/>
    </row>
    <row r="1544" ht="24" customHeight="1" spans="1:23" x14ac:dyDescent="0.25">
      <c r="A1544" s="31">
        <v>1858</v>
      </c>
      <c r="B1544" s="32" t="s">
        <v>1647</v>
      </c>
      <c r="C1544" s="33" t="s">
        <v>24</v>
      </c>
      <c r="D1544" s="34">
        <v>1993</v>
      </c>
      <c r="E1544" s="34" t="s">
        <v>25</v>
      </c>
      <c r="F1544" s="6"/>
      <c r="G1544" s="6">
        <v>8</v>
      </c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35">
        <f>SUM(F1544:R1544)</f>
        <v>8</v>
      </c>
      <c r="T1544" s="35">
        <f>COUNT(F1544:R1544)</f>
        <v>1</v>
      </c>
      <c r="U1544" s="36">
        <f>IF(T1544&gt;=2,ROUND((IF(T1544=2,0.55,IF(T1544&lt;=4,0.7,IF(T1544&lt;=6,0.8,IF(T1544&lt;=9,0.9,1))))*(S1544/T1544)+(1-(IF(T1544=2,0.55,IF(T1544&lt;=4,0.7,IF(T1544&lt;=6,0.8,IF(T1544&lt;=9,0.9,1))))))*$Y$1),1),"")</f>
      </c>
      <c r="V1544" s="37">
        <v>7.8</v>
      </c>
      <c r="W1544" s="38"/>
    </row>
    <row r="1545" ht="24" customHeight="1" spans="1:23" x14ac:dyDescent="0.25">
      <c r="A1545" s="31">
        <v>1429</v>
      </c>
      <c r="B1545" s="32" t="s">
        <v>1648</v>
      </c>
      <c r="C1545" s="33" t="s">
        <v>24</v>
      </c>
      <c r="D1545" s="34">
        <v>2022</v>
      </c>
      <c r="E1545" s="34" t="s">
        <v>30</v>
      </c>
      <c r="F1545" s="6"/>
      <c r="G1545" s="6"/>
      <c r="H1545" s="6"/>
      <c r="I1545" s="6"/>
      <c r="J1545" s="6"/>
      <c r="K1545" s="6">
        <v>6</v>
      </c>
      <c r="L1545" s="6"/>
      <c r="M1545" s="6"/>
      <c r="N1545" s="6"/>
      <c r="O1545" s="6">
        <v>6</v>
      </c>
      <c r="P1545" s="6"/>
      <c r="Q1545" s="6">
        <v>6</v>
      </c>
      <c r="R1545" s="6"/>
      <c r="S1545" s="35">
        <f>SUM(F1545:R1545)</f>
        <v>18</v>
      </c>
      <c r="T1545" s="35">
        <f>COUNT(F1545:R1545)</f>
        <v>3</v>
      </c>
      <c r="U1545" s="36">
        <f>IF(T1545&gt;=2,ROUND((IF(T1545=2,0.55,IF(T1545&lt;=4,0.7,IF(T1545&lt;=6,0.8,IF(T1545&lt;=9,0.9,1))))*(S1545/T1545)+(1-(IF(T1545=2,0.55,IF(T1545&lt;=4,0.7,IF(T1545&lt;=6,0.8,IF(T1545&lt;=9,0.9,1))))))*$Y$1),1),"")</f>
        <v>6.6</v>
      </c>
      <c r="V1545" s="37">
        <v>6.7</v>
      </c>
      <c r="W1545" s="38"/>
    </row>
    <row r="1546" ht="24" customHeight="1" spans="1:23" x14ac:dyDescent="0.25">
      <c r="A1546" s="31">
        <v>572</v>
      </c>
      <c r="B1546" s="32" t="s">
        <v>1649</v>
      </c>
      <c r="C1546" s="33" t="s">
        <v>24</v>
      </c>
      <c r="D1546" s="34">
        <v>2019</v>
      </c>
      <c r="E1546" s="34" t="s">
        <v>27</v>
      </c>
      <c r="F1546" s="6"/>
      <c r="G1546" s="6">
        <v>7</v>
      </c>
      <c r="H1546" s="6"/>
      <c r="I1546" s="6"/>
      <c r="J1546" s="6">
        <v>7</v>
      </c>
      <c r="K1546" s="6">
        <v>8</v>
      </c>
      <c r="L1546" s="6">
        <v>8</v>
      </c>
      <c r="M1546" s="6"/>
      <c r="N1546" s="6"/>
      <c r="O1546" s="6"/>
      <c r="P1546" s="6"/>
      <c r="Q1546" s="6">
        <v>8</v>
      </c>
      <c r="R1546" s="6"/>
      <c r="S1546" s="35">
        <f>SUM(F1546:R1546)</f>
        <v>38</v>
      </c>
      <c r="T1546" s="35">
        <f>COUNT(F1546:R1546)</f>
        <v>5</v>
      </c>
      <c r="U1546" s="36">
        <f>IF(T1546&gt;=2,ROUND((IF(T1546=2,0.55,IF(T1546&lt;=4,0.7,IF(T1546&lt;=6,0.8,IF(T1546&lt;=9,0.9,1))))*(S1546/T1546)+(1-(IF(T1546=2,0.55,IF(T1546&lt;=4,0.7,IF(T1546&lt;=6,0.8,IF(T1546&lt;=9,0.9,1))))))*$Y$1),1),"")</f>
        <v>7.7</v>
      </c>
      <c r="V1546" s="37">
        <v>6.3</v>
      </c>
      <c r="W1546" s="38"/>
    </row>
    <row r="1547" ht="24" customHeight="1" spans="1:23" x14ac:dyDescent="0.25">
      <c r="A1547" s="40">
        <v>2188</v>
      </c>
      <c r="B1547" s="32" t="s">
        <v>1650</v>
      </c>
      <c r="C1547" s="33" t="s">
        <v>24</v>
      </c>
      <c r="D1547" s="34">
        <v>2006</v>
      </c>
      <c r="E1547" s="41"/>
      <c r="F1547" s="6"/>
      <c r="G1547" s="6">
        <v>7</v>
      </c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35">
        <f>SUM(F1547:R1547)</f>
        <v>7</v>
      </c>
      <c r="T1547" s="35">
        <f>COUNT(F1547:R1547)</f>
        <v>1</v>
      </c>
      <c r="U1547" s="36">
        <f>IF(T1547&gt;=2,ROUND((IF(T1547=2,0.55,IF(T1547&lt;=4,0.7,IF(T1547&lt;=6,0.8,IF(T1547&lt;=9,0.9,1))))*(S1547/T1547)+(1-(IF(T1547=2,0.55,IF(T1547&lt;=4,0.7,IF(T1547&lt;=6,0.8,IF(T1547&lt;=9,0.9,1))))))*$Y$1),1),"")</f>
      </c>
      <c r="V1547" s="37">
        <v>7.6</v>
      </c>
      <c r="W1547" s="38"/>
    </row>
    <row r="1548" ht="24" customHeight="1" spans="1:23" x14ac:dyDescent="0.25">
      <c r="A1548" s="31">
        <v>1980</v>
      </c>
      <c r="B1548" s="32" t="s">
        <v>1651</v>
      </c>
      <c r="C1548" s="33" t="s">
        <v>24</v>
      </c>
      <c r="D1548" s="34">
        <v>1985</v>
      </c>
      <c r="E1548" s="34" t="s">
        <v>25</v>
      </c>
      <c r="F1548" s="6"/>
      <c r="G1548" s="6">
        <v>6</v>
      </c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35">
        <f>SUM(F1548:R1548)</f>
        <v>6</v>
      </c>
      <c r="T1548" s="35">
        <f>COUNT(F1548:R1548)</f>
        <v>1</v>
      </c>
      <c r="U1548" s="36">
        <f>IF(T1548&gt;=2,ROUND((IF(T1548=2,0.55,IF(T1548&lt;=4,0.7,IF(T1548&lt;=6,0.8,IF(T1548&lt;=9,0.9,1))))*(S1548/T1548)+(1-(IF(T1548=2,0.55,IF(T1548&lt;=4,0.7,IF(T1548&lt;=6,0.8,IF(T1548&lt;=9,0.9,1))))))*$Y$1),1),"")</f>
      </c>
      <c r="V1548" s="37">
        <v>7.6</v>
      </c>
      <c r="W1548" s="38"/>
    </row>
    <row r="1549" ht="24" customHeight="1" spans="1:23" x14ac:dyDescent="0.25">
      <c r="A1549" s="31">
        <v>2477</v>
      </c>
      <c r="B1549" s="32" t="s">
        <v>1652</v>
      </c>
      <c r="C1549" s="33" t="s">
        <v>24</v>
      </c>
      <c r="D1549" s="34">
        <v>2025</v>
      </c>
      <c r="E1549" s="41"/>
      <c r="F1549" s="6">
        <v>7</v>
      </c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35">
        <f>SUM(F1549:R1549)</f>
        <v>7</v>
      </c>
      <c r="T1549" s="35">
        <f>COUNT(F1549:R1549)</f>
        <v>1</v>
      </c>
      <c r="U1549" s="36">
        <f>IF(T1549&gt;=2,ROUND((IF(T1549=2,0.55,IF(T1549&lt;=4,0.7,IF(T1549&lt;=6,0.8,IF(T1549&lt;=9,0.9,1))))*(S1549/T1549)+(1-(IF(T1549=2,0.55,IF(T1549&lt;=4,0.7,IF(T1549&lt;=6,0.8,IF(T1549&lt;=9,0.9,1))))))*$Y$1),1),"")</f>
      </c>
      <c r="V1549" s="37">
        <v>5.7</v>
      </c>
      <c r="W1549" s="38"/>
    </row>
    <row r="1550" ht="24" customHeight="1" spans="1:23" x14ac:dyDescent="0.25">
      <c r="A1550" s="31">
        <v>1658</v>
      </c>
      <c r="B1550" s="32" t="s">
        <v>1653</v>
      </c>
      <c r="C1550" s="33" t="s">
        <v>260</v>
      </c>
      <c r="D1550" s="34">
        <v>2023</v>
      </c>
      <c r="E1550" s="34" t="s">
        <v>30</v>
      </c>
      <c r="F1550" s="6">
        <v>7</v>
      </c>
      <c r="G1550" s="6"/>
      <c r="H1550" s="6"/>
      <c r="I1550" s="6"/>
      <c r="J1550" s="6">
        <v>7</v>
      </c>
      <c r="K1550" s="6">
        <v>7</v>
      </c>
      <c r="L1550" s="6"/>
      <c r="M1550" s="6"/>
      <c r="N1550" s="6"/>
      <c r="O1550" s="6">
        <v>7</v>
      </c>
      <c r="P1550" s="6"/>
      <c r="Q1550" s="6">
        <v>7</v>
      </c>
      <c r="R1550" s="6"/>
      <c r="S1550" s="35">
        <f>SUM(F1550:R1550)</f>
        <v>35</v>
      </c>
      <c r="T1550" s="35">
        <f>COUNT(F1550:R1550)</f>
        <v>5</v>
      </c>
      <c r="U1550" s="36">
        <f>IF(T1550&gt;=2,ROUND((IF(T1550=2,0.55,IF(T1550&lt;=4,0.7,IF(T1550&lt;=6,0.8,IF(T1550&lt;=9,0.9,1))))*(S1550/T1550)+(1-(IF(T1550=2,0.55,IF(T1550&lt;=4,0.7,IF(T1550&lt;=6,0.8,IF(T1550&lt;=9,0.9,1))))))*$Y$1),1),"")</f>
        <v>7.2</v>
      </c>
      <c r="V1550" s="37">
        <v>7.3</v>
      </c>
      <c r="W1550" s="38"/>
    </row>
    <row r="1551" ht="24" customHeight="1" spans="1:23" x14ac:dyDescent="0.25">
      <c r="A1551" s="47">
        <v>1117</v>
      </c>
      <c r="B1551" s="32" t="s">
        <v>1654</v>
      </c>
      <c r="C1551" s="48" t="s">
        <v>24</v>
      </c>
      <c r="D1551" s="49">
        <v>2012</v>
      </c>
      <c r="E1551" s="49" t="s">
        <v>760</v>
      </c>
      <c r="F1551" s="6">
        <v>8</v>
      </c>
      <c r="G1551" s="6">
        <v>7</v>
      </c>
      <c r="H1551" s="6">
        <v>8</v>
      </c>
      <c r="I1551" s="6">
        <v>8</v>
      </c>
      <c r="J1551" s="6">
        <v>8</v>
      </c>
      <c r="K1551" s="6">
        <v>8</v>
      </c>
      <c r="L1551" s="6">
        <v>8</v>
      </c>
      <c r="M1551" s="6"/>
      <c r="N1551" s="6"/>
      <c r="O1551" s="6">
        <v>8</v>
      </c>
      <c r="P1551" s="6">
        <v>8</v>
      </c>
      <c r="Q1551" s="6">
        <v>8</v>
      </c>
      <c r="R1551" s="6">
        <v>6</v>
      </c>
      <c r="S1551" s="50">
        <f>SUM(F1551:R1551)</f>
        <v>85</v>
      </c>
      <c r="T1551" s="50">
        <f>COUNT(F1551:R1551)</f>
        <v>11</v>
      </c>
      <c r="U1551" s="36">
        <f>IF(T1551&gt;=2,ROUND((IF(T1551=2,0.55,IF(T1551&lt;=4,0.7,IF(T1551&lt;=6,0.8,IF(T1551&lt;=9,0.9,1))))*(S1551/T1551)+(1-(IF(T1551=2,0.55,IF(T1551&lt;=4,0.7,IF(T1551&lt;=6,0.8,IF(T1551&lt;=9,0.9,1))))))*$Y$1),1),"")</f>
        <v>7.7</v>
      </c>
      <c r="V1551" s="37">
        <v>7.3</v>
      </c>
      <c r="W1551" s="38" t="s">
        <v>44</v>
      </c>
    </row>
    <row r="1552" ht="24" customHeight="1" spans="1:23" x14ac:dyDescent="0.25">
      <c r="A1552" s="40">
        <v>2242</v>
      </c>
      <c r="B1552" s="32" t="s">
        <v>1655</v>
      </c>
      <c r="C1552" s="33" t="s">
        <v>24</v>
      </c>
      <c r="D1552" s="34">
        <v>2009</v>
      </c>
      <c r="E1552" s="41"/>
      <c r="F1552" s="6"/>
      <c r="G1552" s="6">
        <v>7</v>
      </c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35">
        <f>SUM(F1552:R1552)</f>
        <v>7</v>
      </c>
      <c r="T1552" s="35">
        <f>COUNT(F1552:R1552)</f>
        <v>1</v>
      </c>
      <c r="U1552" s="36">
        <f>IF(T1552&gt;=2,ROUND((IF(T1552=2,0.55,IF(T1552&lt;=4,0.7,IF(T1552&lt;=6,0.8,IF(T1552&lt;=9,0.9,1))))*(S1552/T1552)+(1-(IF(T1552=2,0.55,IF(T1552&lt;=4,0.7,IF(T1552&lt;=6,0.8,IF(T1552&lt;=9,0.9,1))))))*$Y$1),1),"")</f>
      </c>
      <c r="V1552" s="37">
        <v>7.1</v>
      </c>
      <c r="W1552" s="38"/>
    </row>
    <row r="1553" ht="24" customHeight="1" spans="1:23" x14ac:dyDescent="0.25">
      <c r="A1553" s="31">
        <v>2497</v>
      </c>
      <c r="B1553" s="32" t="s">
        <v>1656</v>
      </c>
      <c r="C1553" s="33" t="s">
        <v>24</v>
      </c>
      <c r="D1553" s="34">
        <v>2015</v>
      </c>
      <c r="E1553" s="34" t="s">
        <v>30</v>
      </c>
      <c r="F1553" s="6"/>
      <c r="G1553" s="6"/>
      <c r="H1553" s="6"/>
      <c r="I1553" s="6"/>
      <c r="J1553" s="6">
        <v>8</v>
      </c>
      <c r="K1553" s="6"/>
      <c r="L1553" s="6"/>
      <c r="M1553" s="6"/>
      <c r="N1553" s="6"/>
      <c r="O1553" s="6"/>
      <c r="P1553" s="6"/>
      <c r="Q1553" s="6"/>
      <c r="R1553" s="6"/>
      <c r="S1553" s="35">
        <f>SUM(F1553:R1553)</f>
        <v>8</v>
      </c>
      <c r="T1553" s="35">
        <f>COUNT(F1553:R1553)</f>
        <v>1</v>
      </c>
      <c r="U1553" s="36">
        <f>IF(T1553&gt;=2,ROUND((IF(T1553=2,0.55,IF(T1553&lt;=4,0.7,IF(T1553&lt;=6,0.8,IF(T1553&lt;=9,0.9,1))))*(S1553/T1553)+(1-(IF(T1553=2,0.55,IF(T1553&lt;=4,0.7,IF(T1553&lt;=6,0.8,IF(T1553&lt;=9,0.9,1))))))*$Y$1),1),"")</f>
      </c>
      <c r="V1553" s="37">
        <v>7</v>
      </c>
      <c r="W1553" s="38"/>
    </row>
    <row r="1554" ht="24" customHeight="1" spans="1:23" x14ac:dyDescent="0.25">
      <c r="A1554" s="40">
        <v>2421</v>
      </c>
      <c r="B1554" s="32" t="s">
        <v>1657</v>
      </c>
      <c r="C1554" s="33" t="s">
        <v>29</v>
      </c>
      <c r="D1554" s="34">
        <v>2026</v>
      </c>
      <c r="E1554" s="41"/>
      <c r="F1554" s="6"/>
      <c r="G1554" s="6"/>
      <c r="H1554" s="6">
        <v>8</v>
      </c>
      <c r="I1554" s="6"/>
      <c r="J1554" s="6"/>
      <c r="K1554" s="6"/>
      <c r="L1554" s="6">
        <v>7</v>
      </c>
      <c r="M1554" s="6"/>
      <c r="N1554" s="6"/>
      <c r="O1554" s="6"/>
      <c r="P1554" s="6"/>
      <c r="Q1554" s="6"/>
      <c r="R1554" s="6"/>
      <c r="S1554" s="35">
        <f>SUM(F1554:R1554)</f>
        <v>15</v>
      </c>
      <c r="T1554" s="35">
        <f>COUNT(F1554:R1554)</f>
        <v>2</v>
      </c>
      <c r="U1554" s="36">
        <f>IF(T1554&gt;=2,ROUND((IF(T1554=2,0.55,IF(T1554&lt;=4,0.7,IF(T1554&lt;=6,0.8,IF(T1554&lt;=9,0.9,1))))*(S1554/T1554)+(1-(IF(T1554=2,0.55,IF(T1554&lt;=4,0.7,IF(T1554&lt;=6,0.8,IF(T1554&lt;=9,0.9,1))))))*$Y$1),1),"")</f>
        <v>7.8</v>
      </c>
      <c r="V1554" s="37">
        <v>7.1</v>
      </c>
      <c r="W1554" s="38"/>
    </row>
    <row r="1555" ht="24" customHeight="1" spans="1:23" x14ac:dyDescent="0.25">
      <c r="A1555" s="31">
        <v>1569</v>
      </c>
      <c r="B1555" s="32" t="s">
        <v>1658</v>
      </c>
      <c r="C1555" s="33" t="s">
        <v>24</v>
      </c>
      <c r="D1555" s="34">
        <v>2020</v>
      </c>
      <c r="E1555" s="34" t="s">
        <v>30</v>
      </c>
      <c r="F1555" s="6"/>
      <c r="G1555" s="6"/>
      <c r="H1555" s="6">
        <v>6</v>
      </c>
      <c r="I1555" s="6"/>
      <c r="J1555" s="6">
        <v>7</v>
      </c>
      <c r="K1555" s="6"/>
      <c r="L1555" s="6"/>
      <c r="M1555" s="6">
        <v>6</v>
      </c>
      <c r="N1555" s="6"/>
      <c r="O1555" s="6">
        <v>7</v>
      </c>
      <c r="P1555" s="6"/>
      <c r="Q1555" s="6"/>
      <c r="R1555" s="6"/>
      <c r="S1555" s="35">
        <f>SUM(F1555:R1555)</f>
        <v>26</v>
      </c>
      <c r="T1555" s="35">
        <f>COUNT(F1555:R1555)</f>
        <v>4</v>
      </c>
      <c r="U1555" s="36">
        <f>IF(T1555&gt;=2,ROUND((IF(T1555=2,0.55,IF(T1555&lt;=4,0.7,IF(T1555&lt;=6,0.8,IF(T1555&lt;=9,0.9,1))))*(S1555/T1555)+(1-(IF(T1555=2,0.55,IF(T1555&lt;=4,0.7,IF(T1555&lt;=6,0.8,IF(T1555&lt;=9,0.9,1))))))*$Y$1),1),"")</f>
        <v>7</v>
      </c>
      <c r="V1555" s="37">
        <v>6.7</v>
      </c>
      <c r="W1555" s="38"/>
    </row>
    <row r="1556" ht="24" customHeight="1" spans="1:23" s="39" customFormat="1" x14ac:dyDescent="0.25">
      <c r="A1556" s="40">
        <v>2215</v>
      </c>
      <c r="B1556" s="32" t="s">
        <v>1659</v>
      </c>
      <c r="C1556" s="33" t="s">
        <v>24</v>
      </c>
      <c r="D1556" s="34">
        <v>2008</v>
      </c>
      <c r="E1556" s="41"/>
      <c r="F1556" s="6"/>
      <c r="G1556" s="6">
        <v>7</v>
      </c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35">
        <f>SUM(F1556:R1556)</f>
        <v>7</v>
      </c>
      <c r="T1556" s="35">
        <f>COUNT(F1556:R1556)</f>
        <v>1</v>
      </c>
      <c r="U1556" s="36">
        <f>IF(T1556&gt;=2,ROUND((IF(T1556=2,0.55,IF(T1556&lt;=4,0.7,IF(T1556&lt;=6,0.8,IF(T1556&lt;=9,0.9,1))))*(S1556/T1556)+(1-(IF(T1556=2,0.55,IF(T1556&lt;=4,0.7,IF(T1556&lt;=6,0.8,IF(T1556&lt;=9,0.9,1))))))*$Y$1),1),"")</f>
      </c>
      <c r="V1556" s="37">
        <v>7.8</v>
      </c>
      <c r="W1556" s="38"/>
    </row>
    <row r="1557" ht="24" customHeight="1" spans="1:23" s="39" customFormat="1" x14ac:dyDescent="0.25">
      <c r="A1557" s="40">
        <v>2054</v>
      </c>
      <c r="B1557" s="32" t="s">
        <v>1660</v>
      </c>
      <c r="C1557" s="33" t="s">
        <v>24</v>
      </c>
      <c r="D1557" s="34">
        <v>2015</v>
      </c>
      <c r="E1557" s="41"/>
      <c r="F1557" s="6"/>
      <c r="G1557" s="6">
        <v>8</v>
      </c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35">
        <f>SUM(F1557:R1557)</f>
        <v>8</v>
      </c>
      <c r="T1557" s="35">
        <f>COUNT(F1557:R1557)</f>
        <v>1</v>
      </c>
      <c r="U1557" s="36">
        <f>IF(T1557&gt;=2,ROUND((IF(T1557=2,0.55,IF(T1557&lt;=4,0.7,IF(T1557&lt;=6,0.8,IF(T1557&lt;=9,0.9,1))))*(S1557/T1557)+(1-(IF(T1557=2,0.55,IF(T1557&lt;=4,0.7,IF(T1557&lt;=6,0.8,IF(T1557&lt;=9,0.9,1))))))*$Y$1),1),"")</f>
      </c>
      <c r="V1557" s="37">
        <v>7.3</v>
      </c>
      <c r="W1557" s="38"/>
    </row>
    <row r="1558" ht="24" customHeight="1" spans="1:23" s="39" customFormat="1" x14ac:dyDescent="0.25">
      <c r="A1558" s="31">
        <v>1924</v>
      </c>
      <c r="B1558" s="32" t="s">
        <v>1661</v>
      </c>
      <c r="C1558" s="33" t="s">
        <v>158</v>
      </c>
      <c r="D1558" s="34">
        <v>2008</v>
      </c>
      <c r="E1558" s="34" t="s">
        <v>25</v>
      </c>
      <c r="F1558" s="6">
        <v>7</v>
      </c>
      <c r="G1558" s="6">
        <v>9</v>
      </c>
      <c r="H1558" s="6"/>
      <c r="I1558" s="6"/>
      <c r="J1558" s="6"/>
      <c r="K1558" s="6"/>
      <c r="L1558" s="6"/>
      <c r="M1558" s="6"/>
      <c r="N1558" s="6"/>
      <c r="O1558" s="6"/>
      <c r="P1558" s="6">
        <v>8</v>
      </c>
      <c r="Q1558" s="6"/>
      <c r="R1558" s="6"/>
      <c r="S1558" s="35">
        <f>SUM(F1558:R1558)</f>
        <v>24</v>
      </c>
      <c r="T1558" s="35">
        <f>COUNT(F1558:R1558)</f>
        <v>3</v>
      </c>
      <c r="U1558" s="36">
        <f>IF(T1558&gt;=2,ROUND((IF(T1558=2,0.55,IF(T1558&lt;=4,0.7,IF(T1558&lt;=6,0.8,IF(T1558&lt;=9,0.9,1))))*(S1558/T1558)+(1-(IF(T1558=2,0.55,IF(T1558&lt;=4,0.7,IF(T1558&lt;=6,0.8,IF(T1558&lt;=9,0.9,1))))))*$Y$1),1),"")</f>
        <v>8</v>
      </c>
      <c r="V1558" s="37">
        <v>8.5</v>
      </c>
      <c r="W1558" s="38"/>
    </row>
    <row r="1559" ht="24" customHeight="1" spans="1:23" x14ac:dyDescent="0.25">
      <c r="A1559" s="31">
        <v>1783</v>
      </c>
      <c r="B1559" s="32" t="s">
        <v>1662</v>
      </c>
      <c r="C1559" s="33" t="s">
        <v>24</v>
      </c>
      <c r="D1559" s="34">
        <v>2014</v>
      </c>
      <c r="E1559" s="34" t="s">
        <v>48</v>
      </c>
      <c r="F1559" s="6">
        <v>7</v>
      </c>
      <c r="G1559" s="6"/>
      <c r="H1559" s="6"/>
      <c r="I1559" s="6"/>
      <c r="J1559" s="6">
        <v>8</v>
      </c>
      <c r="K1559" s="6"/>
      <c r="L1559" s="6"/>
      <c r="M1559" s="6"/>
      <c r="N1559" s="6"/>
      <c r="O1559" s="6"/>
      <c r="P1559" s="6"/>
      <c r="Q1559" s="6"/>
      <c r="R1559" s="6"/>
      <c r="S1559" s="35">
        <f>SUM(F1559:R1559)</f>
        <v>15</v>
      </c>
      <c r="T1559" s="35">
        <f>COUNT(F1559:R1559)</f>
        <v>2</v>
      </c>
      <c r="U1559" s="36">
        <f>IF(T1559&gt;=2,ROUND((IF(T1559=2,0.55,IF(T1559&lt;=4,0.7,IF(T1559&lt;=6,0.8,IF(T1559&lt;=9,0.9,1))))*(S1559/T1559)+(1-(IF(T1559=2,0.55,IF(T1559&lt;=4,0.7,IF(T1559&lt;=6,0.8,IF(T1559&lt;=9,0.9,1))))))*$Y$1),1),"")</f>
        <v>7.8</v>
      </c>
      <c r="V1559" s="37">
        <v>7.5</v>
      </c>
      <c r="W1559" s="38"/>
    </row>
    <row r="1560" ht="24" customHeight="1" spans="1:23" x14ac:dyDescent="0.25">
      <c r="A1560" s="31">
        <v>1370</v>
      </c>
      <c r="B1560" s="32" t="s">
        <v>1663</v>
      </c>
      <c r="C1560" s="33" t="s">
        <v>29</v>
      </c>
      <c r="D1560" s="34">
        <v>2021</v>
      </c>
      <c r="E1560" s="34" t="s">
        <v>30</v>
      </c>
      <c r="F1560" s="6"/>
      <c r="G1560" s="6"/>
      <c r="H1560" s="6"/>
      <c r="I1560" s="6"/>
      <c r="J1560" s="6">
        <v>7</v>
      </c>
      <c r="K1560" s="6"/>
      <c r="L1560" s="6"/>
      <c r="M1560" s="6"/>
      <c r="N1560" s="6"/>
      <c r="O1560" s="6"/>
      <c r="P1560" s="6"/>
      <c r="Q1560" s="6"/>
      <c r="R1560" s="6"/>
      <c r="S1560" s="35">
        <f>SUM(F1560:R1560)</f>
        <v>7</v>
      </c>
      <c r="T1560" s="35">
        <f>COUNT(F1560:R1560)</f>
        <v>1</v>
      </c>
      <c r="U1560" s="36">
        <f>IF(T1560&gt;=2,ROUND((IF(T1560=2,0.55,IF(T1560&lt;=4,0.7,IF(T1560&lt;=6,0.8,IF(T1560&lt;=9,0.9,1))))*(S1560/T1560)+(1-(IF(T1560=2,0.55,IF(T1560&lt;=4,0.7,IF(T1560&lt;=6,0.8,IF(T1560&lt;=9,0.9,1))))))*$Y$1),1),"")</f>
      </c>
      <c r="V1560" s="37">
        <v>6.9</v>
      </c>
      <c r="W1560" s="38"/>
    </row>
    <row r="1561" ht="24" customHeight="1" spans="1:23" x14ac:dyDescent="0.25">
      <c r="A1561" s="31">
        <v>1694</v>
      </c>
      <c r="B1561" s="32" t="s">
        <v>1664</v>
      </c>
      <c r="C1561" s="33" t="s">
        <v>24</v>
      </c>
      <c r="D1561" s="34">
        <v>2023</v>
      </c>
      <c r="E1561" s="34" t="s">
        <v>141</v>
      </c>
      <c r="F1561" s="6"/>
      <c r="G1561" s="6"/>
      <c r="H1561" s="6"/>
      <c r="I1561" s="6"/>
      <c r="J1561" s="6"/>
      <c r="K1561" s="6"/>
      <c r="L1561" s="6"/>
      <c r="M1561" s="6"/>
      <c r="N1561" s="6"/>
      <c r="O1561" s="6">
        <v>7</v>
      </c>
      <c r="P1561" s="6"/>
      <c r="Q1561" s="6"/>
      <c r="R1561" s="6"/>
      <c r="S1561" s="35">
        <f>SUM(F1561:R1561)</f>
        <v>7</v>
      </c>
      <c r="T1561" s="35">
        <f>COUNT(F1561:R1561)</f>
        <v>1</v>
      </c>
      <c r="U1561" s="36">
        <f>IF(T1561&gt;=2,ROUND((IF(T1561=2,0.55,IF(T1561&lt;=4,0.7,IF(T1561&lt;=6,0.8,IF(T1561&lt;=9,0.9,1))))*(S1561/T1561)+(1-(IF(T1561=2,0.55,IF(T1561&lt;=4,0.7,IF(T1561&lt;=6,0.8,IF(T1561&lt;=9,0.9,1))))))*$Y$1),1),"")</f>
      </c>
      <c r="V1561" s="37">
        <v>6.2</v>
      </c>
      <c r="W1561" s="38"/>
    </row>
    <row r="1562" ht="24" customHeight="1" spans="1:23" x14ac:dyDescent="0.25">
      <c r="A1562" s="31">
        <v>1166</v>
      </c>
      <c r="B1562" s="32" t="s">
        <v>1665</v>
      </c>
      <c r="C1562" s="33" t="s">
        <v>24</v>
      </c>
      <c r="D1562" s="34">
        <v>1991</v>
      </c>
      <c r="E1562" s="34" t="s">
        <v>27</v>
      </c>
      <c r="F1562" s="6"/>
      <c r="G1562" s="6"/>
      <c r="H1562" s="6"/>
      <c r="I1562" s="6"/>
      <c r="J1562" s="6">
        <v>8</v>
      </c>
      <c r="K1562" s="6">
        <v>6</v>
      </c>
      <c r="L1562" s="6"/>
      <c r="M1562" s="6"/>
      <c r="N1562" s="6"/>
      <c r="O1562" s="6"/>
      <c r="P1562" s="6"/>
      <c r="Q1562" s="6">
        <v>6</v>
      </c>
      <c r="R1562" s="6"/>
      <c r="S1562" s="35">
        <f>SUM(F1562:R1562)</f>
        <v>20</v>
      </c>
      <c r="T1562" s="35">
        <f>COUNT(F1562:R1562)</f>
        <v>3</v>
      </c>
      <c r="U1562" s="36">
        <f>IF(T1562&gt;=2,ROUND((IF(T1562=2,0.55,IF(T1562&lt;=4,0.7,IF(T1562&lt;=6,0.8,IF(T1562&lt;=9,0.9,1))))*(S1562/T1562)+(1-(IF(T1562=2,0.55,IF(T1562&lt;=4,0.7,IF(T1562&lt;=6,0.8,IF(T1562&lt;=9,0.9,1))))))*$Y$1),1),"")</f>
        <v>7.1</v>
      </c>
      <c r="V1562" s="37">
        <v>7</v>
      </c>
      <c r="W1562" s="38"/>
    </row>
    <row r="1563" ht="24" customHeight="1" spans="1:23" x14ac:dyDescent="0.25">
      <c r="A1563" s="31">
        <v>1064</v>
      </c>
      <c r="B1563" s="32" t="s">
        <v>1666</v>
      </c>
      <c r="C1563" s="33" t="s">
        <v>24</v>
      </c>
      <c r="D1563" s="34">
        <v>2018</v>
      </c>
      <c r="E1563" s="34" t="s">
        <v>30</v>
      </c>
      <c r="F1563" s="6"/>
      <c r="G1563" s="6"/>
      <c r="H1563" s="6"/>
      <c r="I1563" s="6"/>
      <c r="J1563" s="6">
        <v>6</v>
      </c>
      <c r="K1563" s="6"/>
      <c r="L1563" s="6"/>
      <c r="M1563" s="6"/>
      <c r="N1563" s="6"/>
      <c r="O1563" s="6">
        <v>8</v>
      </c>
      <c r="P1563" s="6"/>
      <c r="Q1563" s="6"/>
      <c r="R1563" s="6"/>
      <c r="S1563" s="35">
        <f>SUM(F1563:R1563)</f>
        <v>14</v>
      </c>
      <c r="T1563" s="35">
        <f>COUNT(F1563:R1563)</f>
        <v>2</v>
      </c>
      <c r="U1563" s="36">
        <f>IF(T1563&gt;=2,ROUND((IF(T1563=2,0.55,IF(T1563&lt;=4,0.7,IF(T1563&lt;=6,0.8,IF(T1563&lt;=9,0.9,1))))*(S1563/T1563)+(1-(IF(T1563=2,0.55,IF(T1563&lt;=4,0.7,IF(T1563&lt;=6,0.8,IF(T1563&lt;=9,0.9,1))))))*$Y$1),1),"")</f>
        <v>7.5</v>
      </c>
      <c r="V1563" s="37">
        <v>7.3</v>
      </c>
      <c r="W1563" s="38"/>
    </row>
    <row r="1564" ht="24" customHeight="1" spans="1:23" x14ac:dyDescent="0.25">
      <c r="A1564" s="31">
        <v>1558</v>
      </c>
      <c r="B1564" s="32" t="s">
        <v>1667</v>
      </c>
      <c r="C1564" s="33" t="s">
        <v>29</v>
      </c>
      <c r="D1564" s="34">
        <v>2023</v>
      </c>
      <c r="E1564" s="34" t="s">
        <v>30</v>
      </c>
      <c r="F1564" s="6"/>
      <c r="G1564" s="6"/>
      <c r="H1564" s="6"/>
      <c r="I1564" s="6"/>
      <c r="J1564" s="6"/>
      <c r="K1564" s="6"/>
      <c r="L1564" s="6"/>
      <c r="M1564" s="6"/>
      <c r="N1564" s="6"/>
      <c r="O1564" s="6">
        <v>8</v>
      </c>
      <c r="P1564" s="6"/>
      <c r="Q1564" s="6"/>
      <c r="R1564" s="6"/>
      <c r="S1564" s="35">
        <f>SUM(F1564:R1564)</f>
        <v>8</v>
      </c>
      <c r="T1564" s="35">
        <f>COUNT(F1564:R1564)</f>
        <v>1</v>
      </c>
      <c r="U1564" s="36">
        <f>IF(T1564&gt;=2,ROUND((IF(T1564=2,0.55,IF(T1564&lt;=4,0.7,IF(T1564&lt;=6,0.8,IF(T1564&lt;=9,0.9,1))))*(S1564/T1564)+(1-(IF(T1564=2,0.55,IF(T1564&lt;=4,0.7,IF(T1564&lt;=6,0.8,IF(T1564&lt;=9,0.9,1))))))*$Y$1),1),"")</f>
      </c>
      <c r="V1564" s="37">
        <v>5.8</v>
      </c>
      <c r="W1564" s="38"/>
    </row>
    <row r="1565" ht="24" customHeight="1" spans="1:23" x14ac:dyDescent="0.25">
      <c r="A1565" s="31">
        <v>420</v>
      </c>
      <c r="B1565" s="32" t="s">
        <v>1668</v>
      </c>
      <c r="C1565" s="33" t="s">
        <v>24</v>
      </c>
      <c r="D1565" s="34">
        <v>1999</v>
      </c>
      <c r="E1565" s="34" t="s">
        <v>92</v>
      </c>
      <c r="F1565" s="6">
        <v>8</v>
      </c>
      <c r="G1565" s="6"/>
      <c r="H1565" s="6">
        <v>8</v>
      </c>
      <c r="I1565" s="6"/>
      <c r="J1565" s="6"/>
      <c r="K1565" s="6"/>
      <c r="L1565" s="6">
        <v>10</v>
      </c>
      <c r="M1565" s="6"/>
      <c r="N1565" s="6"/>
      <c r="O1565" s="6">
        <v>8</v>
      </c>
      <c r="P1565" s="6">
        <v>8</v>
      </c>
      <c r="Q1565" s="6"/>
      <c r="R1565" s="6"/>
      <c r="S1565" s="35">
        <f>SUM(F1565:R1565)</f>
        <v>42</v>
      </c>
      <c r="T1565" s="35">
        <f>COUNT(F1565:R1565)</f>
        <v>5</v>
      </c>
      <c r="U1565" s="36">
        <f>IF(T1565&gt;=2,ROUND((IF(T1565=2,0.55,IF(T1565&lt;=4,0.7,IF(T1565&lt;=6,0.8,IF(T1565&lt;=9,0.9,1))))*(S1565/T1565)+(1-(IF(T1565=2,0.55,IF(T1565&lt;=4,0.7,IF(T1565&lt;=6,0.8,IF(T1565&lt;=9,0.9,1))))))*$Y$1),1),"")</f>
        <v>8.3</v>
      </c>
      <c r="V1565" s="37">
        <v>7.5</v>
      </c>
      <c r="W1565" s="38"/>
    </row>
    <row r="1566" ht="24" customHeight="1" spans="1:23" s="39" customFormat="1" x14ac:dyDescent="0.25">
      <c r="A1566" s="40">
        <v>2444</v>
      </c>
      <c r="B1566" s="32" t="s">
        <v>1669</v>
      </c>
      <c r="C1566" s="33" t="s">
        <v>24</v>
      </c>
      <c r="D1566" s="34">
        <v>2025</v>
      </c>
      <c r="E1566" s="41"/>
      <c r="F1566" s="6"/>
      <c r="G1566" s="6"/>
      <c r="H1566" s="6"/>
      <c r="I1566" s="6"/>
      <c r="J1566" s="6"/>
      <c r="K1566" s="6">
        <v>8</v>
      </c>
      <c r="L1566" s="6"/>
      <c r="M1566" s="6"/>
      <c r="N1566" s="6"/>
      <c r="O1566" s="6"/>
      <c r="P1566" s="6"/>
      <c r="Q1566" s="6">
        <v>8</v>
      </c>
      <c r="R1566" s="6"/>
      <c r="S1566" s="35">
        <f>SUM(F1566:R1566)</f>
        <v>16</v>
      </c>
      <c r="T1566" s="35">
        <f>COUNT(F1566:R1566)</f>
        <v>2</v>
      </c>
      <c r="U1566" s="36">
        <f>IF(T1566&gt;=2,ROUND((IF(T1566=2,0.55,IF(T1566&lt;=4,0.7,IF(T1566&lt;=6,0.8,IF(T1566&lt;=9,0.9,1))))*(S1566/T1566)+(1-(IF(T1566=2,0.55,IF(T1566&lt;=4,0.7,IF(T1566&lt;=6,0.8,IF(T1566&lt;=9,0.9,1))))))*$Y$1),1),"")</f>
        <v>8</v>
      </c>
      <c r="V1566" s="37">
        <v>5.5</v>
      </c>
      <c r="W1566" s="38"/>
    </row>
    <row r="1567" ht="24" customHeight="1" spans="1:23" x14ac:dyDescent="0.25">
      <c r="A1567" s="31">
        <v>1696</v>
      </c>
      <c r="B1567" s="32" t="s">
        <v>1670</v>
      </c>
      <c r="C1567" s="33" t="s">
        <v>24</v>
      </c>
      <c r="D1567" s="34">
        <v>2023</v>
      </c>
      <c r="E1567" s="34" t="s">
        <v>1671</v>
      </c>
      <c r="F1567" s="6">
        <v>8</v>
      </c>
      <c r="G1567" s="6"/>
      <c r="H1567" s="6"/>
      <c r="I1567" s="6"/>
      <c r="J1567" s="6"/>
      <c r="K1567" s="6">
        <v>7</v>
      </c>
      <c r="L1567" s="6"/>
      <c r="M1567" s="6"/>
      <c r="N1567" s="6"/>
      <c r="O1567" s="6">
        <v>9</v>
      </c>
      <c r="P1567" s="6"/>
      <c r="Q1567" s="6">
        <v>7</v>
      </c>
      <c r="R1567" s="6"/>
      <c r="S1567" s="35">
        <f>SUM(F1567:R1567)</f>
        <v>31</v>
      </c>
      <c r="T1567" s="35">
        <f>COUNT(F1567:R1567)</f>
        <v>4</v>
      </c>
      <c r="U1567" s="36">
        <f>IF(T1567&gt;=2,ROUND((IF(T1567=2,0.55,IF(T1567&lt;=4,0.7,IF(T1567&lt;=6,0.8,IF(T1567&lt;=9,0.9,1))))*(S1567/T1567)+(1-(IF(T1567=2,0.55,IF(T1567&lt;=4,0.7,IF(T1567&lt;=6,0.8,IF(T1567&lt;=9,0.9,1))))))*$Y$1),1),"")</f>
        <v>7.9</v>
      </c>
      <c r="V1567" s="37">
        <v>7.1</v>
      </c>
      <c r="W1567" s="38"/>
    </row>
    <row r="1568" ht="24" customHeight="1" spans="1:23" x14ac:dyDescent="0.25">
      <c r="A1568" s="31">
        <v>1410</v>
      </c>
      <c r="B1568" s="32" t="s">
        <v>1672</v>
      </c>
      <c r="C1568" s="33" t="s">
        <v>24</v>
      </c>
      <c r="D1568" s="34">
        <v>2020</v>
      </c>
      <c r="E1568" s="34" t="s">
        <v>48</v>
      </c>
      <c r="F1568" s="6"/>
      <c r="G1568" s="6">
        <v>8</v>
      </c>
      <c r="H1568" s="6"/>
      <c r="I1568" s="6"/>
      <c r="J1568" s="6"/>
      <c r="K1568" s="6"/>
      <c r="L1568" s="6"/>
      <c r="M1568" s="6"/>
      <c r="N1568" s="6"/>
      <c r="O1568" s="6"/>
      <c r="P1568" s="6">
        <v>8</v>
      </c>
      <c r="Q1568" s="6"/>
      <c r="R1568" s="6"/>
      <c r="S1568" s="35">
        <f>SUM(F1568:R1568)</f>
        <v>16</v>
      </c>
      <c r="T1568" s="35">
        <f>COUNT(F1568:R1568)</f>
        <v>2</v>
      </c>
      <c r="U1568" s="36">
        <f>IF(T1568&gt;=2,ROUND((IF(T1568=2,0.55,IF(T1568&lt;=4,0.7,IF(T1568&lt;=6,0.8,IF(T1568&lt;=9,0.9,1))))*(S1568/T1568)+(1-(IF(T1568=2,0.55,IF(T1568&lt;=4,0.7,IF(T1568&lt;=6,0.8,IF(T1568&lt;=9,0.9,1))))))*$Y$1),1),"")</f>
        <v>8</v>
      </c>
      <c r="V1568" s="37">
        <v>8</v>
      </c>
      <c r="W1568" s="38"/>
    </row>
    <row r="1569" ht="24" customHeight="1" spans="1:23" x14ac:dyDescent="0.25">
      <c r="A1569" s="31">
        <v>489</v>
      </c>
      <c r="B1569" s="32" t="s">
        <v>1673</v>
      </c>
      <c r="C1569" s="33" t="s">
        <v>24</v>
      </c>
      <c r="D1569" s="34">
        <v>2016</v>
      </c>
      <c r="E1569" s="34" t="s">
        <v>30</v>
      </c>
      <c r="F1569" s="6"/>
      <c r="G1569" s="6">
        <v>8</v>
      </c>
      <c r="H1569" s="6"/>
      <c r="I1569" s="6"/>
      <c r="J1569" s="6"/>
      <c r="K1569" s="6"/>
      <c r="L1569" s="6">
        <v>8</v>
      </c>
      <c r="M1569" s="6"/>
      <c r="N1569" s="6"/>
      <c r="O1569" s="6"/>
      <c r="P1569" s="6">
        <v>8</v>
      </c>
      <c r="Q1569" s="6"/>
      <c r="R1569" s="6"/>
      <c r="S1569" s="35">
        <f>SUM(F1569:R1569)</f>
        <v>24</v>
      </c>
      <c r="T1569" s="35">
        <f>COUNT(F1569:R1569)</f>
        <v>3</v>
      </c>
      <c r="U1569" s="36">
        <f>IF(T1569&gt;=2,ROUND((IF(T1569=2,0.55,IF(T1569&lt;=4,0.7,IF(T1569&lt;=6,0.8,IF(T1569&lt;=9,0.9,1))))*(S1569/T1569)+(1-(IF(T1569=2,0.55,IF(T1569&lt;=4,0.7,IF(T1569&lt;=6,0.8,IF(T1569&lt;=9,0.9,1))))))*$Y$1),1),"")</f>
        <v>8</v>
      </c>
      <c r="V1569" s="37">
        <v>8.3</v>
      </c>
      <c r="W1569" s="38"/>
    </row>
    <row r="1570" ht="24" customHeight="1" spans="1:23" x14ac:dyDescent="0.25">
      <c r="A1570" s="31">
        <v>488</v>
      </c>
      <c r="B1570" s="32" t="s">
        <v>1674</v>
      </c>
      <c r="C1570" s="33" t="s">
        <v>24</v>
      </c>
      <c r="D1570" s="34">
        <v>2000</v>
      </c>
      <c r="E1570" s="34" t="s">
        <v>25</v>
      </c>
      <c r="F1570" s="6"/>
      <c r="G1570" s="6">
        <v>8</v>
      </c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35">
        <f>SUM(F1570:R1570)</f>
        <v>8</v>
      </c>
      <c r="T1570" s="35">
        <f>COUNT(F1570:R1570)</f>
        <v>1</v>
      </c>
      <c r="U1570" s="36">
        <f>IF(T1570&gt;=2,ROUND((IF(T1570=2,0.55,IF(T1570&lt;=4,0.7,IF(T1570&lt;=6,0.8,IF(T1570&lt;=9,0.9,1))))*(S1570/T1570)+(1-(IF(T1570=2,0.55,IF(T1570&lt;=4,0.7,IF(T1570&lt;=6,0.8,IF(T1570&lt;=9,0.9,1))))))*$Y$1),1),"")</f>
      </c>
      <c r="V1570" s="37">
        <v>7.9</v>
      </c>
      <c r="W1570" s="38"/>
    </row>
    <row r="1571" ht="24" customHeight="1" spans="1:23" x14ac:dyDescent="0.25">
      <c r="A1571" s="31">
        <v>1776</v>
      </c>
      <c r="B1571" s="32" t="s">
        <v>1675</v>
      </c>
      <c r="C1571" s="33" t="s">
        <v>24</v>
      </c>
      <c r="D1571" s="34">
        <v>2004</v>
      </c>
      <c r="E1571" s="34" t="s">
        <v>25</v>
      </c>
      <c r="F1571" s="6"/>
      <c r="G1571" s="6"/>
      <c r="H1571" s="6"/>
      <c r="I1571" s="6"/>
      <c r="J1571" s="6">
        <v>8</v>
      </c>
      <c r="K1571" s="6"/>
      <c r="L1571" s="6"/>
      <c r="M1571" s="6"/>
      <c r="N1571" s="6"/>
      <c r="O1571" s="6"/>
      <c r="P1571" s="6"/>
      <c r="Q1571" s="6"/>
      <c r="R1571" s="6"/>
      <c r="S1571" s="35">
        <f>SUM(F1571:R1571)</f>
        <v>8</v>
      </c>
      <c r="T1571" s="35">
        <f>COUNT(F1571:R1571)</f>
        <v>1</v>
      </c>
      <c r="U1571" s="36">
        <f>IF(T1571&gt;=2,ROUND((IF(T1571=2,0.55,IF(T1571&lt;=4,0.7,IF(T1571&lt;=6,0.8,IF(T1571&lt;=9,0.9,1))))*(S1571/T1571)+(1-(IF(T1571=2,0.55,IF(T1571&lt;=4,0.7,IF(T1571&lt;=6,0.8,IF(T1571&lt;=9,0.9,1))))))*$Y$1),1),"")</f>
      </c>
      <c r="V1571" s="37">
        <v>6.2</v>
      </c>
      <c r="W1571" s="38"/>
    </row>
    <row r="1572" ht="24" customHeight="1" spans="1:23" x14ac:dyDescent="0.25">
      <c r="A1572" s="47">
        <v>1923</v>
      </c>
      <c r="B1572" s="32" t="s">
        <v>1676</v>
      </c>
      <c r="C1572" s="48" t="s">
        <v>24</v>
      </c>
      <c r="D1572" s="49">
        <v>1990</v>
      </c>
      <c r="E1572" s="49" t="s">
        <v>48</v>
      </c>
      <c r="F1572" s="6">
        <v>9</v>
      </c>
      <c r="G1572" s="6">
        <v>8</v>
      </c>
      <c r="H1572" s="6">
        <v>9</v>
      </c>
      <c r="I1572" s="6">
        <v>9</v>
      </c>
      <c r="J1572" s="6">
        <v>9</v>
      </c>
      <c r="K1572" s="6">
        <v>8</v>
      </c>
      <c r="L1572" s="6">
        <v>8</v>
      </c>
      <c r="M1572" s="6">
        <v>9</v>
      </c>
      <c r="N1572" s="6">
        <v>9</v>
      </c>
      <c r="O1572" s="6"/>
      <c r="P1572" s="6">
        <v>9</v>
      </c>
      <c r="Q1572" s="6">
        <v>8</v>
      </c>
      <c r="R1572" s="6">
        <v>8</v>
      </c>
      <c r="S1572" s="50">
        <f>SUM(F1572:R1572)</f>
        <v>103</v>
      </c>
      <c r="T1572" s="50">
        <f>COUNT(F1572:R1572)</f>
        <v>12</v>
      </c>
      <c r="U1572" s="36">
        <f>IF(T1572&gt;=2,ROUND((IF(T1572=2,0.55,IF(T1572&lt;=4,0.7,IF(T1572&lt;=6,0.8,IF(T1572&lt;=9,0.9,1))))*(S1572/T1572)+(1-(IF(T1572=2,0.55,IF(T1572&lt;=4,0.7,IF(T1572&lt;=6,0.8,IF(T1572&lt;=9,0.9,1))))))*$Y$1),1),"")</f>
        <v>8.6</v>
      </c>
      <c r="V1572" s="37">
        <v>8</v>
      </c>
      <c r="W1572" s="38" t="s">
        <v>44</v>
      </c>
    </row>
    <row r="1573" ht="47.25" customHeight="1" spans="1:23" x14ac:dyDescent="0.25">
      <c r="A1573" s="40">
        <v>2179</v>
      </c>
      <c r="B1573" s="32" t="s">
        <v>1677</v>
      </c>
      <c r="C1573" s="33" t="s">
        <v>24</v>
      </c>
      <c r="D1573" s="34">
        <v>2006</v>
      </c>
      <c r="E1573" s="41"/>
      <c r="F1573" s="6"/>
      <c r="G1573" s="6">
        <v>7</v>
      </c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35">
        <f>SUM(F1573:R1573)</f>
        <v>7</v>
      </c>
      <c r="T1573" s="35">
        <f>COUNT(F1573:R1573)</f>
        <v>1</v>
      </c>
      <c r="U1573" s="36">
        <f>IF(T1573&gt;=2,ROUND((IF(T1573=2,0.55,IF(T1573&lt;=4,0.7,IF(T1573&lt;=6,0.8,IF(T1573&lt;=9,0.9,1))))*(S1573/T1573)+(1-(IF(T1573=2,0.55,IF(T1573&lt;=4,0.7,IF(T1573&lt;=6,0.8,IF(T1573&lt;=9,0.9,1))))))*$Y$1),1),"")</f>
      </c>
      <c r="V1573" s="37">
        <v>5.6</v>
      </c>
      <c r="W1573" s="38"/>
    </row>
    <row r="1574" ht="24" customHeight="1" spans="1:23" x14ac:dyDescent="0.25">
      <c r="A1574" s="31">
        <v>490</v>
      </c>
      <c r="B1574" s="32" t="s">
        <v>1678</v>
      </c>
      <c r="C1574" s="33" t="s">
        <v>24</v>
      </c>
      <c r="D1574" s="34">
        <v>2018</v>
      </c>
      <c r="E1574" s="34" t="s">
        <v>179</v>
      </c>
      <c r="F1574" s="6"/>
      <c r="G1574" s="6"/>
      <c r="H1574" s="6">
        <v>8</v>
      </c>
      <c r="I1574" s="6"/>
      <c r="J1574" s="6"/>
      <c r="K1574" s="6">
        <v>8</v>
      </c>
      <c r="L1574" s="6"/>
      <c r="M1574" s="6">
        <v>8</v>
      </c>
      <c r="N1574" s="6"/>
      <c r="O1574" s="6"/>
      <c r="P1574" s="6">
        <v>8</v>
      </c>
      <c r="Q1574" s="6">
        <v>8</v>
      </c>
      <c r="R1574" s="6"/>
      <c r="S1574" s="35">
        <f>SUM(F1574:R1574)</f>
        <v>40</v>
      </c>
      <c r="T1574" s="35">
        <f>COUNT(F1574:R1574)</f>
        <v>5</v>
      </c>
      <c r="U1574" s="36">
        <f>IF(T1574&gt;=2,ROUND((IF(T1574=2,0.55,IF(T1574&lt;=4,0.7,IF(T1574&lt;=6,0.8,IF(T1574&lt;=9,0.9,1))))*(S1574/T1574)+(1-(IF(T1574=2,0.55,IF(T1574&lt;=4,0.7,IF(T1574&lt;=6,0.8,IF(T1574&lt;=9,0.9,1))))))*$Y$1),1),"")</f>
        <v>8</v>
      </c>
      <c r="V1574" s="37">
        <v>7.3</v>
      </c>
      <c r="W1574" s="38"/>
    </row>
    <row r="1575" ht="24" customHeight="1" spans="1:23" x14ac:dyDescent="0.25">
      <c r="A1575" s="31">
        <v>2025</v>
      </c>
      <c r="B1575" s="32" t="s">
        <v>1679</v>
      </c>
      <c r="C1575" s="33" t="s">
        <v>24</v>
      </c>
      <c r="D1575" s="34">
        <v>2017</v>
      </c>
      <c r="E1575" s="41"/>
      <c r="F1575" s="6"/>
      <c r="G1575" s="6"/>
      <c r="H1575" s="6"/>
      <c r="I1575" s="6"/>
      <c r="J1575" s="6">
        <v>8</v>
      </c>
      <c r="K1575" s="6"/>
      <c r="L1575" s="6"/>
      <c r="M1575" s="6"/>
      <c r="N1575" s="6"/>
      <c r="O1575" s="6"/>
      <c r="P1575" s="6"/>
      <c r="Q1575" s="6"/>
      <c r="R1575" s="6"/>
      <c r="S1575" s="35">
        <f>SUM(F1575:R1575)</f>
        <v>8</v>
      </c>
      <c r="T1575" s="35">
        <f>COUNT(F1575:R1575)</f>
        <v>1</v>
      </c>
      <c r="U1575" s="36">
        <f>IF(T1575&gt;=2,ROUND((IF(T1575=2,0.55,IF(T1575&lt;=4,0.7,IF(T1575&lt;=6,0.8,IF(T1575&lt;=9,0.9,1))))*(S1575/T1575)+(1-(IF(T1575=2,0.55,IF(T1575&lt;=4,0.7,IF(T1575&lt;=6,0.8,IF(T1575&lt;=9,0.9,1))))))*$Y$1),1),"")</f>
      </c>
      <c r="V1575" s="37">
        <v>7.5</v>
      </c>
      <c r="W1575" s="38"/>
    </row>
    <row r="1576" ht="24" customHeight="1" spans="1:23" x14ac:dyDescent="0.25">
      <c r="A1576" s="40">
        <v>2416</v>
      </c>
      <c r="B1576" s="32" t="s">
        <v>1680</v>
      </c>
      <c r="C1576" s="33" t="s">
        <v>29</v>
      </c>
      <c r="D1576" s="34">
        <v>2026</v>
      </c>
      <c r="E1576" s="41"/>
      <c r="F1576" s="6">
        <v>8</v>
      </c>
      <c r="G1576" s="6"/>
      <c r="H1576" s="6"/>
      <c r="I1576" s="6"/>
      <c r="J1576" s="6"/>
      <c r="K1576" s="6"/>
      <c r="L1576" s="6"/>
      <c r="M1576" s="6"/>
      <c r="N1576" s="6"/>
      <c r="O1576" s="6">
        <v>8</v>
      </c>
      <c r="P1576" s="6"/>
      <c r="Q1576" s="6"/>
      <c r="R1576" s="6"/>
      <c r="S1576" s="35">
        <f>SUM(F1576:R1576)</f>
        <v>16</v>
      </c>
      <c r="T1576" s="35">
        <f>COUNT(F1576:R1576)</f>
        <v>2</v>
      </c>
      <c r="U1576" s="36">
        <f>IF(T1576&gt;=2,ROUND((IF(T1576=2,0.55,IF(T1576&lt;=4,0.7,IF(T1576&lt;=6,0.8,IF(T1576&lt;=9,0.9,1))))*(S1576/T1576)+(1-(IF(T1576=2,0.55,IF(T1576&lt;=4,0.7,IF(T1576&lt;=6,0.8,IF(T1576&lt;=9,0.9,1))))))*$Y$1),1),"")</f>
        <v>8</v>
      </c>
      <c r="V1576" s="37">
        <v>6.9</v>
      </c>
      <c r="W1576" s="38"/>
    </row>
    <row r="1577" ht="24" customHeight="1" spans="1:23" x14ac:dyDescent="0.25">
      <c r="A1577" s="31">
        <v>320</v>
      </c>
      <c r="B1577" s="32" t="s">
        <v>1681</v>
      </c>
      <c r="C1577" s="33" t="s">
        <v>24</v>
      </c>
      <c r="D1577" s="34">
        <v>2017</v>
      </c>
      <c r="E1577" s="34" t="s">
        <v>30</v>
      </c>
      <c r="F1577" s="6"/>
      <c r="G1577" s="6"/>
      <c r="H1577" s="6"/>
      <c r="I1577" s="6"/>
      <c r="J1577" s="6">
        <v>10</v>
      </c>
      <c r="K1577" s="6">
        <v>8</v>
      </c>
      <c r="L1577" s="6"/>
      <c r="M1577" s="6"/>
      <c r="N1577" s="6">
        <v>10</v>
      </c>
      <c r="O1577" s="6">
        <v>8</v>
      </c>
      <c r="P1577" s="6"/>
      <c r="Q1577" s="6">
        <v>8</v>
      </c>
      <c r="R1577" s="6"/>
      <c r="S1577" s="35">
        <f>SUM(F1577:R1577)</f>
        <v>44</v>
      </c>
      <c r="T1577" s="35">
        <f>COUNT(F1577:R1577)</f>
        <v>5</v>
      </c>
      <c r="U1577" s="36">
        <f>IF(T1577&gt;=2,ROUND((IF(T1577=2,0.55,IF(T1577&lt;=4,0.7,IF(T1577&lt;=6,0.8,IF(T1577&lt;=9,0.9,1))))*(S1577/T1577)+(1-(IF(T1577=2,0.55,IF(T1577&lt;=4,0.7,IF(T1577&lt;=6,0.8,IF(T1577&lt;=9,0.9,1))))))*$Y$1),1),"")</f>
        <v>8.7</v>
      </c>
      <c r="V1577" s="37">
        <v>8.2</v>
      </c>
      <c r="W1577" s="38"/>
    </row>
    <row r="1578" ht="24" customHeight="1" spans="1:23" x14ac:dyDescent="0.25">
      <c r="A1578" s="31">
        <v>1110</v>
      </c>
      <c r="B1578" s="32" t="s">
        <v>1682</v>
      </c>
      <c r="C1578" s="33" t="s">
        <v>24</v>
      </c>
      <c r="D1578" s="34">
        <v>2021</v>
      </c>
      <c r="E1578" s="34" t="s">
        <v>27</v>
      </c>
      <c r="F1578" s="6">
        <v>6</v>
      </c>
      <c r="G1578" s="6"/>
      <c r="H1578" s="6"/>
      <c r="I1578" s="6"/>
      <c r="J1578" s="6">
        <v>7</v>
      </c>
      <c r="K1578" s="6">
        <v>6</v>
      </c>
      <c r="L1578" s="6"/>
      <c r="M1578" s="6"/>
      <c r="N1578" s="6"/>
      <c r="O1578" s="6"/>
      <c r="P1578" s="6"/>
      <c r="Q1578" s="6">
        <v>6</v>
      </c>
      <c r="R1578" s="6"/>
      <c r="S1578" s="35">
        <f>SUM(F1578:R1578)</f>
        <v>25</v>
      </c>
      <c r="T1578" s="35">
        <f>COUNT(F1578:R1578)</f>
        <v>4</v>
      </c>
      <c r="U1578" s="36">
        <f>IF(T1578&gt;=2,ROUND((IF(T1578=2,0.55,IF(T1578&lt;=4,0.7,IF(T1578&lt;=6,0.8,IF(T1578&lt;=9,0.9,1))))*(S1578/T1578)+(1-(IF(T1578=2,0.55,IF(T1578&lt;=4,0.7,IF(T1578&lt;=6,0.8,IF(T1578&lt;=9,0.9,1))))))*$Y$1),1),"")</f>
        <v>6.8</v>
      </c>
      <c r="V1578" s="37">
        <v>5.7</v>
      </c>
      <c r="W1578" s="38"/>
    </row>
    <row r="1579" ht="24" customHeight="1" spans="1:23" x14ac:dyDescent="0.25">
      <c r="A1579" s="31">
        <v>1059</v>
      </c>
      <c r="B1579" s="32" t="s">
        <v>1683</v>
      </c>
      <c r="C1579" s="33" t="s">
        <v>24</v>
      </c>
      <c r="D1579" s="34">
        <v>2021</v>
      </c>
      <c r="E1579" s="34" t="s">
        <v>1517</v>
      </c>
      <c r="F1579" s="6"/>
      <c r="G1579" s="6"/>
      <c r="H1579" s="6">
        <v>8</v>
      </c>
      <c r="I1579" s="6"/>
      <c r="J1579" s="6"/>
      <c r="K1579" s="6"/>
      <c r="L1579" s="6">
        <v>10</v>
      </c>
      <c r="M1579" s="6"/>
      <c r="N1579" s="6"/>
      <c r="O1579" s="6"/>
      <c r="P1579" s="6"/>
      <c r="Q1579" s="6"/>
      <c r="R1579" s="6"/>
      <c r="S1579" s="35">
        <f>SUM(F1579:R1579)</f>
        <v>18</v>
      </c>
      <c r="T1579" s="35">
        <f>COUNT(F1579:R1579)</f>
        <v>2</v>
      </c>
      <c r="U1579" s="36">
        <f>IF(T1579&gt;=2,ROUND((IF(T1579=2,0.55,IF(T1579&lt;=4,0.7,IF(T1579&lt;=6,0.8,IF(T1579&lt;=9,0.9,1))))*(S1579/T1579)+(1-(IF(T1579=2,0.55,IF(T1579&lt;=4,0.7,IF(T1579&lt;=6,0.8,IF(T1579&lt;=9,0.9,1))))))*$Y$1),1),"")</f>
        <v>8.6</v>
      </c>
      <c r="V1579" s="37">
        <v>7.3</v>
      </c>
      <c r="W1579" s="38"/>
    </row>
    <row r="1580" ht="24" customHeight="1" spans="1:23" x14ac:dyDescent="0.25">
      <c r="A1580" s="31">
        <v>1738</v>
      </c>
      <c r="B1580" s="32" t="s">
        <v>1684</v>
      </c>
      <c r="C1580" s="33" t="s">
        <v>24</v>
      </c>
      <c r="D1580" s="34">
        <v>2017</v>
      </c>
      <c r="E1580" s="34" t="s">
        <v>30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>
        <v>7</v>
      </c>
      <c r="P1580" s="6"/>
      <c r="Q1580" s="6"/>
      <c r="R1580" s="6"/>
      <c r="S1580" s="35">
        <f>SUM(F1580:R1580)</f>
        <v>7</v>
      </c>
      <c r="T1580" s="35">
        <f>COUNT(F1580:R1580)</f>
        <v>1</v>
      </c>
      <c r="U1580" s="36">
        <f>IF(T1580&gt;=2,ROUND((IF(T1580=2,0.55,IF(T1580&lt;=4,0.7,IF(T1580&lt;=6,0.8,IF(T1580&lt;=9,0.9,1))))*(S1580/T1580)+(1-(IF(T1580=2,0.55,IF(T1580&lt;=4,0.7,IF(T1580&lt;=6,0.8,IF(T1580&lt;=9,0.9,1))))))*$Y$1),1),"")</f>
      </c>
      <c r="V1580" s="37">
        <v>5.3</v>
      </c>
      <c r="W1580" s="38"/>
    </row>
    <row r="1581" ht="24" customHeight="1" spans="1:23" x14ac:dyDescent="0.25">
      <c r="A1581" s="31">
        <v>646</v>
      </c>
      <c r="B1581" s="32" t="s">
        <v>1685</v>
      </c>
      <c r="C1581" s="33" t="s">
        <v>24</v>
      </c>
      <c r="D1581" s="34">
        <v>2020</v>
      </c>
      <c r="E1581" s="34" t="s">
        <v>30</v>
      </c>
      <c r="F1581" s="6">
        <v>8</v>
      </c>
      <c r="G1581" s="6"/>
      <c r="H1581" s="6"/>
      <c r="I1581" s="6"/>
      <c r="J1581" s="6">
        <v>8</v>
      </c>
      <c r="K1581" s="6"/>
      <c r="L1581" s="6">
        <v>6</v>
      </c>
      <c r="M1581" s="6">
        <v>8</v>
      </c>
      <c r="N1581" s="6"/>
      <c r="O1581" s="6"/>
      <c r="P1581" s="6"/>
      <c r="Q1581" s="6"/>
      <c r="R1581" s="6"/>
      <c r="S1581" s="35">
        <f>SUM(F1581:R1581)</f>
        <v>30</v>
      </c>
      <c r="T1581" s="35">
        <f>COUNT(F1581:R1581)</f>
        <v>4</v>
      </c>
      <c r="U1581" s="36">
        <f>IF(T1581&gt;=2,ROUND((IF(T1581=2,0.55,IF(T1581&lt;=4,0.7,IF(T1581&lt;=6,0.8,IF(T1581&lt;=9,0.9,1))))*(S1581/T1581)+(1-(IF(T1581=2,0.55,IF(T1581&lt;=4,0.7,IF(T1581&lt;=6,0.8,IF(T1581&lt;=9,0.9,1))))))*$Y$1),1),"")</f>
        <v>7.7</v>
      </c>
      <c r="V1581" s="37">
        <v>6.7</v>
      </c>
      <c r="W1581" s="38"/>
    </row>
    <row r="1582" ht="24" customHeight="1" spans="1:23" x14ac:dyDescent="0.25">
      <c r="A1582" s="40">
        <v>2410</v>
      </c>
      <c r="B1582" s="32" t="s">
        <v>1686</v>
      </c>
      <c r="C1582" s="33" t="s">
        <v>29</v>
      </c>
      <c r="D1582" s="34">
        <v>2025</v>
      </c>
      <c r="E1582" s="41"/>
      <c r="F1582" s="6">
        <v>7</v>
      </c>
      <c r="G1582" s="6"/>
      <c r="H1582" s="6"/>
      <c r="I1582" s="6"/>
      <c r="J1582" s="6"/>
      <c r="K1582" s="6"/>
      <c r="L1582" s="6">
        <v>8</v>
      </c>
      <c r="M1582" s="6"/>
      <c r="N1582" s="6"/>
      <c r="O1582" s="6"/>
      <c r="P1582" s="6"/>
      <c r="Q1582" s="6"/>
      <c r="R1582" s="6"/>
      <c r="S1582" s="35">
        <f>SUM(F1582:R1582)</f>
        <v>15</v>
      </c>
      <c r="T1582" s="35">
        <f>COUNT(F1582:R1582)</f>
        <v>2</v>
      </c>
      <c r="U1582" s="36">
        <f>IF(T1582&gt;=2,ROUND((IF(T1582=2,0.55,IF(T1582&lt;=4,0.7,IF(T1582&lt;=6,0.8,IF(T1582&lt;=9,0.9,1))))*(S1582/T1582)+(1-(IF(T1582=2,0.55,IF(T1582&lt;=4,0.7,IF(T1582&lt;=6,0.8,IF(T1582&lt;=9,0.9,1))))))*$Y$1),1),"")</f>
        <v>7.8</v>
      </c>
      <c r="V1582" s="37">
        <v>7.2</v>
      </c>
      <c r="W1582" s="38"/>
    </row>
    <row r="1583" ht="24" customHeight="1" spans="1:23" x14ac:dyDescent="0.25">
      <c r="A1583" s="31">
        <v>2479</v>
      </c>
      <c r="B1583" s="32" t="s">
        <v>1687</v>
      </c>
      <c r="C1583" s="33" t="s">
        <v>24</v>
      </c>
      <c r="D1583" s="34">
        <v>2026</v>
      </c>
      <c r="E1583" s="41"/>
      <c r="F1583" s="6">
        <v>8</v>
      </c>
      <c r="G1583" s="6"/>
      <c r="H1583" s="6"/>
      <c r="I1583" s="6"/>
      <c r="J1583" s="6">
        <v>8</v>
      </c>
      <c r="K1583" s="6">
        <v>8</v>
      </c>
      <c r="L1583" s="6">
        <v>8</v>
      </c>
      <c r="M1583" s="6"/>
      <c r="N1583" s="6"/>
      <c r="O1583" s="6"/>
      <c r="P1583" s="6"/>
      <c r="Q1583" s="6">
        <v>8</v>
      </c>
      <c r="R1583" s="6">
        <v>8</v>
      </c>
      <c r="S1583" s="35">
        <f>SUM(F1583:R1583)</f>
        <v>48</v>
      </c>
      <c r="T1583" s="35">
        <f>COUNT(F1583:R1583)</f>
        <v>6</v>
      </c>
      <c r="U1583" s="36">
        <f>IF(T1583&gt;=2,ROUND((IF(T1583=2,0.55,IF(T1583&lt;=4,0.7,IF(T1583&lt;=6,0.8,IF(T1583&lt;=9,0.9,1))))*(S1583/T1583)+(1-(IF(T1583=2,0.55,IF(T1583&lt;=4,0.7,IF(T1583&lt;=6,0.8,IF(T1583&lt;=9,0.9,1))))))*$Y$1),1),"")</f>
        <v>8</v>
      </c>
      <c r="V1583" s="37">
        <v>7.7</v>
      </c>
      <c r="W1583" s="38"/>
    </row>
    <row r="1584" ht="24" customHeight="1" spans="1:23" x14ac:dyDescent="0.25">
      <c r="A1584" s="31">
        <v>487</v>
      </c>
      <c r="B1584" s="32" t="s">
        <v>1688</v>
      </c>
      <c r="C1584" s="33" t="s">
        <v>24</v>
      </c>
      <c r="D1584" s="34">
        <v>1950</v>
      </c>
      <c r="E1584" s="34" t="s">
        <v>52</v>
      </c>
      <c r="F1584" s="6"/>
      <c r="G1584" s="6">
        <v>8</v>
      </c>
      <c r="H1584" s="6"/>
      <c r="I1584" s="6"/>
      <c r="J1584" s="6"/>
      <c r="K1584" s="6"/>
      <c r="L1584" s="6"/>
      <c r="M1584" s="6"/>
      <c r="N1584" s="6"/>
      <c r="O1584" s="6"/>
      <c r="P1584" s="6">
        <v>8</v>
      </c>
      <c r="Q1584" s="6"/>
      <c r="R1584" s="6"/>
      <c r="S1584" s="35">
        <f>SUM(F1584:R1584)</f>
        <v>16</v>
      </c>
      <c r="T1584" s="35">
        <f>COUNT(F1584:R1584)</f>
        <v>2</v>
      </c>
      <c r="U1584" s="36">
        <f>IF(T1584&gt;=2,ROUND((IF(T1584=2,0.55,IF(T1584&lt;=4,0.7,IF(T1584&lt;=6,0.8,IF(T1584&lt;=9,0.9,1))))*(S1584/T1584)+(1-(IF(T1584=2,0.55,IF(T1584&lt;=4,0.7,IF(T1584&lt;=6,0.8,IF(T1584&lt;=9,0.9,1))))))*$Y$1),1),"")</f>
        <v>8</v>
      </c>
      <c r="V1584" s="37">
        <v>8.4</v>
      </c>
      <c r="W1584" s="38"/>
    </row>
    <row r="1585" ht="24" customHeight="1" spans="1:23" x14ac:dyDescent="0.25">
      <c r="A1585" s="31">
        <v>1593</v>
      </c>
      <c r="B1585" s="32" t="s">
        <v>1689</v>
      </c>
      <c r="C1585" s="33" t="s">
        <v>24</v>
      </c>
      <c r="D1585" s="34">
        <v>2020</v>
      </c>
      <c r="E1585" s="34" t="s">
        <v>27</v>
      </c>
      <c r="F1585" s="6">
        <v>7</v>
      </c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35">
        <f>SUM(F1585:R1585)</f>
        <v>7</v>
      </c>
      <c r="T1585" s="35">
        <f>COUNT(F1585:R1585)</f>
        <v>1</v>
      </c>
      <c r="U1585" s="36">
        <f>IF(T1585&gt;=2,ROUND((IF(T1585=2,0.55,IF(T1585&lt;=4,0.7,IF(T1585&lt;=6,0.8,IF(T1585&lt;=9,0.9,1))))*(S1585/T1585)+(1-(IF(T1585=2,0.55,IF(T1585&lt;=4,0.7,IF(T1585&lt;=6,0.8,IF(T1585&lt;=9,0.9,1))))))*$Y$1),1),"")</f>
      </c>
      <c r="V1585" s="37"/>
      <c r="W1585" s="38"/>
    </row>
    <row r="1586" ht="24" customHeight="1" spans="1:23" x14ac:dyDescent="0.25">
      <c r="A1586" s="40">
        <v>2089</v>
      </c>
      <c r="B1586" s="32" t="s">
        <v>1690</v>
      </c>
      <c r="C1586" s="33" t="s">
        <v>24</v>
      </c>
      <c r="D1586" s="34">
        <v>1994</v>
      </c>
      <c r="E1586" s="41"/>
      <c r="F1586" s="6"/>
      <c r="G1586" s="6">
        <v>7</v>
      </c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35">
        <f>SUM(F1586:R1586)</f>
        <v>7</v>
      </c>
      <c r="T1586" s="35">
        <f>COUNT(F1586:R1586)</f>
        <v>1</v>
      </c>
      <c r="U1586" s="36">
        <f>IF(T1586&gt;=2,ROUND((IF(T1586=2,0.55,IF(T1586&lt;=4,0.7,IF(T1586&lt;=6,0.8,IF(T1586&lt;=9,0.9,1))))*(S1586/T1586)+(1-(IF(T1586=2,0.55,IF(T1586&lt;=4,0.7,IF(T1586&lt;=6,0.8,IF(T1586&lt;=9,0.9,1))))))*$Y$1),1),"")</f>
      </c>
      <c r="V1586" s="37">
        <v>7.2</v>
      </c>
      <c r="W1586" s="38"/>
    </row>
    <row r="1587" ht="24" customHeight="1" spans="1:23" x14ac:dyDescent="0.25">
      <c r="A1587" s="31">
        <v>1540</v>
      </c>
      <c r="B1587" s="32" t="s">
        <v>1691</v>
      </c>
      <c r="C1587" s="33" t="s">
        <v>24</v>
      </c>
      <c r="D1587" s="34">
        <v>2022</v>
      </c>
      <c r="E1587" s="34" t="s">
        <v>30</v>
      </c>
      <c r="F1587" s="6"/>
      <c r="G1587" s="6"/>
      <c r="H1587" s="6"/>
      <c r="I1587" s="6"/>
      <c r="J1587" s="6"/>
      <c r="K1587" s="6">
        <v>7</v>
      </c>
      <c r="L1587" s="6"/>
      <c r="M1587" s="6"/>
      <c r="N1587" s="6"/>
      <c r="O1587" s="6"/>
      <c r="P1587" s="6"/>
      <c r="Q1587" s="6">
        <v>7</v>
      </c>
      <c r="R1587" s="6"/>
      <c r="S1587" s="35">
        <f>SUM(F1587:R1587)</f>
        <v>14</v>
      </c>
      <c r="T1587" s="35">
        <f>COUNT(F1587:R1587)</f>
        <v>2</v>
      </c>
      <c r="U1587" s="36">
        <f>IF(T1587&gt;=2,ROUND((IF(T1587=2,0.55,IF(T1587&lt;=4,0.7,IF(T1587&lt;=6,0.8,IF(T1587&lt;=9,0.9,1))))*(S1587/T1587)+(1-(IF(T1587=2,0.55,IF(T1587&lt;=4,0.7,IF(T1587&lt;=6,0.8,IF(T1587&lt;=9,0.9,1))))))*$Y$1),1),"")</f>
        <v>7.5</v>
      </c>
      <c r="V1587" s="37">
        <v>6.4</v>
      </c>
      <c r="W1587" s="38"/>
    </row>
    <row r="1588" ht="24" customHeight="1" spans="1:23" x14ac:dyDescent="0.25">
      <c r="A1588" s="31">
        <v>41</v>
      </c>
      <c r="B1588" s="32" t="s">
        <v>1692</v>
      </c>
      <c r="C1588" s="33" t="s">
        <v>24</v>
      </c>
      <c r="D1588" s="34">
        <v>1998</v>
      </c>
      <c r="E1588" s="34" t="s">
        <v>1693</v>
      </c>
      <c r="F1588" s="6"/>
      <c r="G1588" s="6">
        <v>6</v>
      </c>
      <c r="H1588" s="6"/>
      <c r="I1588" s="6">
        <v>6</v>
      </c>
      <c r="J1588" s="6"/>
      <c r="K1588" s="6">
        <v>8</v>
      </c>
      <c r="L1588" s="6">
        <v>8</v>
      </c>
      <c r="M1588" s="6"/>
      <c r="N1588" s="6"/>
      <c r="O1588" s="6"/>
      <c r="P1588" s="6"/>
      <c r="Q1588" s="6">
        <v>8</v>
      </c>
      <c r="R1588" s="6"/>
      <c r="S1588" s="35">
        <f>SUM(F1588:R1588)</f>
        <v>36</v>
      </c>
      <c r="T1588" s="35">
        <f>COUNT(F1588:R1588)</f>
        <v>5</v>
      </c>
      <c r="U1588" s="36">
        <f>IF(T1588&gt;=2,ROUND((IF(T1588=2,0.55,IF(T1588&lt;=4,0.7,IF(T1588&lt;=6,0.8,IF(T1588&lt;=9,0.9,1))))*(S1588/T1588)+(1-(IF(T1588=2,0.55,IF(T1588&lt;=4,0.7,IF(T1588&lt;=6,0.8,IF(T1588&lt;=9,0.9,1))))))*$Y$1),1),"")</f>
        <v>7.4</v>
      </c>
      <c r="V1588" s="37">
        <v>7.6</v>
      </c>
      <c r="W1588" s="38"/>
    </row>
    <row r="1589" ht="24" customHeight="1" spans="1:23" x14ac:dyDescent="0.25">
      <c r="A1589" s="31">
        <v>486</v>
      </c>
      <c r="B1589" s="32" t="s">
        <v>1694</v>
      </c>
      <c r="C1589" s="33" t="s">
        <v>24</v>
      </c>
      <c r="D1589" s="34">
        <v>2017</v>
      </c>
      <c r="E1589" s="34" t="s">
        <v>92</v>
      </c>
      <c r="F1589" s="6"/>
      <c r="G1589" s="6">
        <v>8</v>
      </c>
      <c r="H1589" s="6"/>
      <c r="I1589" s="6"/>
      <c r="J1589" s="6"/>
      <c r="K1589" s="6"/>
      <c r="L1589" s="6">
        <v>8</v>
      </c>
      <c r="M1589" s="6"/>
      <c r="N1589" s="6"/>
      <c r="O1589" s="6">
        <v>8</v>
      </c>
      <c r="P1589" s="6">
        <v>8</v>
      </c>
      <c r="Q1589" s="6"/>
      <c r="R1589" s="6"/>
      <c r="S1589" s="35">
        <f>SUM(F1589:R1589)</f>
        <v>32</v>
      </c>
      <c r="T1589" s="35">
        <f>COUNT(F1589:R1589)</f>
        <v>4</v>
      </c>
      <c r="U1589" s="36">
        <f>IF(T1589&gt;=2,ROUND((IF(T1589=2,0.55,IF(T1589&lt;=4,0.7,IF(T1589&lt;=6,0.8,IF(T1589&lt;=9,0.9,1))))*(S1589/T1589)+(1-(IF(T1589=2,0.55,IF(T1589&lt;=4,0.7,IF(T1589&lt;=6,0.8,IF(T1589&lt;=9,0.9,1))))))*$Y$1),1),"")</f>
        <v>8</v>
      </c>
      <c r="V1589" s="37">
        <v>7.8</v>
      </c>
      <c r="W1589" s="38"/>
    </row>
    <row r="1590" ht="24" customHeight="1" spans="1:23" x14ac:dyDescent="0.25">
      <c r="A1590" s="31">
        <v>340</v>
      </c>
      <c r="B1590" s="32" t="s">
        <v>1695</v>
      </c>
      <c r="C1590" s="33" t="s">
        <v>24</v>
      </c>
      <c r="D1590" s="34">
        <v>1981</v>
      </c>
      <c r="E1590" s="34" t="s">
        <v>179</v>
      </c>
      <c r="F1590" s="6"/>
      <c r="G1590" s="6"/>
      <c r="H1590" s="6"/>
      <c r="I1590" s="6"/>
      <c r="J1590" s="6"/>
      <c r="K1590" s="6">
        <v>8</v>
      </c>
      <c r="L1590" s="6">
        <v>10</v>
      </c>
      <c r="M1590" s="6"/>
      <c r="N1590" s="6"/>
      <c r="O1590" s="6"/>
      <c r="P1590" s="6"/>
      <c r="Q1590" s="6">
        <v>8</v>
      </c>
      <c r="R1590" s="6"/>
      <c r="S1590" s="35">
        <f>SUM(F1590:R1590)</f>
        <v>26</v>
      </c>
      <c r="T1590" s="35">
        <f>COUNT(F1590:R1590)</f>
        <v>3</v>
      </c>
      <c r="U1590" s="36">
        <f>IF(T1590&gt;=2,ROUND((IF(T1590=2,0.55,IF(T1590&lt;=4,0.7,IF(T1590&lt;=6,0.8,IF(T1590&lt;=9,0.9,1))))*(S1590/T1590)+(1-(IF(T1590=2,0.55,IF(T1590&lt;=4,0.7,IF(T1590&lt;=6,0.8,IF(T1590&lt;=9,0.9,1))))))*$Y$1),1),"")</f>
        <v>8.5</v>
      </c>
      <c r="V1590" s="37">
        <v>7.4</v>
      </c>
      <c r="W1590" s="38"/>
    </row>
    <row r="1591" ht="24" customHeight="1" spans="1:23" x14ac:dyDescent="0.25">
      <c r="A1591" s="40">
        <v>2392</v>
      </c>
      <c r="B1591" s="32" t="s">
        <v>1696</v>
      </c>
      <c r="C1591" s="33" t="s">
        <v>29</v>
      </c>
      <c r="D1591" s="34">
        <v>2023</v>
      </c>
      <c r="E1591" s="41"/>
      <c r="F1591" s="6"/>
      <c r="G1591" s="6"/>
      <c r="H1591" s="6">
        <v>7</v>
      </c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35">
        <f>SUM(F1591:R1591)</f>
        <v>7</v>
      </c>
      <c r="T1591" s="35">
        <f>COUNT(F1591:R1591)</f>
        <v>1</v>
      </c>
      <c r="U1591" s="36">
        <f>IF(T1591&gt;=2,ROUND((IF(T1591=2,0.55,IF(T1591&lt;=4,0.7,IF(T1591&lt;=6,0.8,IF(T1591&lt;=9,0.9,1))))*(S1591/T1591)+(1-(IF(T1591=2,0.55,IF(T1591&lt;=4,0.7,IF(T1591&lt;=6,0.8,IF(T1591&lt;=9,0.9,1))))))*$Y$1),1),"")</f>
      </c>
      <c r="V1591" s="37">
        <v>6.7</v>
      </c>
      <c r="W1591" s="38"/>
    </row>
    <row r="1592" ht="24" customHeight="1" spans="1:23" s="39" customFormat="1" x14ac:dyDescent="0.25">
      <c r="A1592" s="31">
        <v>1853</v>
      </c>
      <c r="B1592" s="32" t="s">
        <v>1697</v>
      </c>
      <c r="C1592" s="33" t="s">
        <v>24</v>
      </c>
      <c r="D1592" s="34">
        <v>2017</v>
      </c>
      <c r="E1592" s="34" t="s">
        <v>25</v>
      </c>
      <c r="F1592" s="6"/>
      <c r="G1592" s="6">
        <v>7</v>
      </c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35">
        <f>SUM(F1592:R1592)</f>
        <v>7</v>
      </c>
      <c r="T1592" s="35">
        <f>COUNT(F1592:R1592)</f>
        <v>1</v>
      </c>
      <c r="U1592" s="36">
        <f>IF(T1592&gt;=2,ROUND((IF(T1592=2,0.55,IF(T1592&lt;=4,0.7,IF(T1592&lt;=6,0.8,IF(T1592&lt;=9,0.9,1))))*(S1592/T1592)+(1-(IF(T1592=2,0.55,IF(T1592&lt;=4,0.7,IF(T1592&lt;=6,0.8,IF(T1592&lt;=9,0.9,1))))))*$Y$1),1),"")</f>
      </c>
      <c r="V1592" s="37">
        <v>7.5</v>
      </c>
      <c r="W1592" s="38"/>
    </row>
    <row r="1593" ht="24" customHeight="1" spans="1:23" x14ac:dyDescent="0.25">
      <c r="A1593" s="31">
        <v>1931</v>
      </c>
      <c r="B1593" s="32" t="s">
        <v>1698</v>
      </c>
      <c r="C1593" s="33" t="s">
        <v>24</v>
      </c>
      <c r="D1593" s="34">
        <v>2024</v>
      </c>
      <c r="E1593" s="34" t="s">
        <v>25</v>
      </c>
      <c r="F1593" s="6"/>
      <c r="G1593" s="6"/>
      <c r="H1593" s="6"/>
      <c r="I1593" s="6"/>
      <c r="J1593" s="6"/>
      <c r="K1593" s="6"/>
      <c r="L1593" s="6">
        <v>4</v>
      </c>
      <c r="M1593" s="6"/>
      <c r="N1593" s="6"/>
      <c r="O1593" s="6"/>
      <c r="P1593" s="6"/>
      <c r="Q1593" s="6"/>
      <c r="R1593" s="6"/>
      <c r="S1593" s="35">
        <f>SUM(F1593:R1593)</f>
        <v>4</v>
      </c>
      <c r="T1593" s="35">
        <f>COUNT(F1593:R1593)</f>
        <v>1</v>
      </c>
      <c r="U1593" s="36">
        <f>IF(T1593&gt;=2,ROUND((IF(T1593=2,0.55,IF(T1593&lt;=4,0.7,IF(T1593&lt;=6,0.8,IF(T1593&lt;=9,0.9,1))))*(S1593/T1593)+(1-(IF(T1593=2,0.55,IF(T1593&lt;=4,0.7,IF(T1593&lt;=6,0.8,IF(T1593&lt;=9,0.9,1))))))*$Y$1),1),"")</f>
      </c>
      <c r="V1593" s="37">
        <v>5.2</v>
      </c>
      <c r="W1593" s="38"/>
    </row>
    <row r="1594" ht="24" customHeight="1" spans="1:23" x14ac:dyDescent="0.25">
      <c r="A1594" s="31">
        <v>90</v>
      </c>
      <c r="B1594" s="32" t="s">
        <v>1699</v>
      </c>
      <c r="C1594" s="33" t="s">
        <v>24</v>
      </c>
      <c r="D1594" s="34">
        <v>2019</v>
      </c>
      <c r="E1594" s="34" t="s">
        <v>1700</v>
      </c>
      <c r="F1594" s="6">
        <v>8</v>
      </c>
      <c r="G1594" s="6">
        <v>9</v>
      </c>
      <c r="H1594" s="6">
        <v>10</v>
      </c>
      <c r="I1594" s="6">
        <v>10</v>
      </c>
      <c r="J1594" s="6">
        <v>10</v>
      </c>
      <c r="K1594" s="6">
        <v>8</v>
      </c>
      <c r="L1594" s="6">
        <v>10</v>
      </c>
      <c r="M1594" s="6">
        <v>8</v>
      </c>
      <c r="N1594" s="6"/>
      <c r="O1594" s="6">
        <v>8</v>
      </c>
      <c r="P1594" s="6">
        <v>10</v>
      </c>
      <c r="Q1594" s="6">
        <v>8</v>
      </c>
      <c r="R1594" s="6">
        <v>10</v>
      </c>
      <c r="S1594" s="35">
        <f>SUM(F1594:R1594)</f>
        <v>109</v>
      </c>
      <c r="T1594" s="35">
        <f>COUNT(F1594:R1594)</f>
        <v>12</v>
      </c>
      <c r="U1594" s="36">
        <f>IF(T1594&gt;=2,ROUND((IF(T1594=2,0.55,IF(T1594&lt;=4,0.7,IF(T1594&lt;=6,0.8,IF(T1594&lt;=9,0.9,1))))*(S1594/T1594)+(1-(IF(T1594=2,0.55,IF(T1594&lt;=4,0.7,IF(T1594&lt;=6,0.8,IF(T1594&lt;=9,0.9,1))))))*$Y$1),1),"")</f>
        <v>9.1</v>
      </c>
      <c r="V1594" s="37">
        <v>8.3</v>
      </c>
      <c r="W1594" s="38"/>
    </row>
    <row r="1595" ht="24" customHeight="1" spans="1:23" x14ac:dyDescent="0.25">
      <c r="A1595" s="31">
        <v>1568</v>
      </c>
      <c r="B1595" s="32" t="s">
        <v>1701</v>
      </c>
      <c r="C1595" s="33" t="s">
        <v>24</v>
      </c>
      <c r="D1595" s="34">
        <v>2014</v>
      </c>
      <c r="E1595" s="34" t="s">
        <v>30</v>
      </c>
      <c r="F1595" s="6">
        <v>8</v>
      </c>
      <c r="G1595" s="6">
        <v>8</v>
      </c>
      <c r="H1595" s="6">
        <v>8</v>
      </c>
      <c r="I1595" s="6">
        <v>8</v>
      </c>
      <c r="J1595" s="6">
        <v>9</v>
      </c>
      <c r="K1595" s="6">
        <v>8</v>
      </c>
      <c r="L1595" s="6"/>
      <c r="M1595" s="6"/>
      <c r="N1595" s="6">
        <v>8</v>
      </c>
      <c r="O1595" s="6">
        <v>8</v>
      </c>
      <c r="P1595" s="6">
        <v>8</v>
      </c>
      <c r="Q1595" s="6">
        <v>8</v>
      </c>
      <c r="R1595" s="6"/>
      <c r="S1595" s="35">
        <f>SUM(F1595:R1595)</f>
        <v>81</v>
      </c>
      <c r="T1595" s="35">
        <f>COUNT(F1595:R1595)</f>
        <v>10</v>
      </c>
      <c r="U1595" s="36">
        <f>IF(T1595&gt;=2,ROUND((IF(T1595=2,0.55,IF(T1595&lt;=4,0.7,IF(T1595&lt;=6,0.8,IF(T1595&lt;=9,0.9,1))))*(S1595/T1595)+(1-(IF(T1595=2,0.55,IF(T1595&lt;=4,0.7,IF(T1595&lt;=6,0.8,IF(T1595&lt;=9,0.9,1))))))*$Y$1),1),"")</f>
        <v>8.1</v>
      </c>
      <c r="V1595" s="37">
        <v>7.6</v>
      </c>
      <c r="W1595" s="38"/>
    </row>
    <row r="1596" ht="24" customHeight="1" spans="1:23" x14ac:dyDescent="0.25">
      <c r="A1596" s="31">
        <v>211</v>
      </c>
      <c r="B1596" s="32" t="s">
        <v>1702</v>
      </c>
      <c r="C1596" s="33" t="s">
        <v>24</v>
      </c>
      <c r="D1596" s="34">
        <v>1995</v>
      </c>
      <c r="E1596" s="34" t="s">
        <v>179</v>
      </c>
      <c r="F1596" s="6">
        <v>10</v>
      </c>
      <c r="G1596" s="6">
        <v>10</v>
      </c>
      <c r="H1596" s="6">
        <v>10</v>
      </c>
      <c r="I1596" s="6">
        <v>10</v>
      </c>
      <c r="J1596" s="6">
        <v>10</v>
      </c>
      <c r="K1596" s="6">
        <v>10</v>
      </c>
      <c r="L1596" s="6">
        <v>8</v>
      </c>
      <c r="M1596" s="6">
        <v>10</v>
      </c>
      <c r="N1596" s="6">
        <v>10</v>
      </c>
      <c r="O1596" s="6"/>
      <c r="P1596" s="6">
        <v>10</v>
      </c>
      <c r="Q1596" s="6">
        <v>10</v>
      </c>
      <c r="R1596" s="6">
        <v>10</v>
      </c>
      <c r="S1596" s="35">
        <f>SUM(F1596:R1596)</f>
        <v>118</v>
      </c>
      <c r="T1596" s="35">
        <f>COUNT(F1596:R1596)</f>
        <v>12</v>
      </c>
      <c r="U1596" s="36">
        <f>IF(T1596&gt;=2,ROUND((IF(T1596=2,0.55,IF(T1596&lt;=4,0.7,IF(T1596&lt;=6,0.8,IF(T1596&lt;=9,0.9,1))))*(S1596/T1596)+(1-(IF(T1596=2,0.55,IF(T1596&lt;=4,0.7,IF(T1596&lt;=6,0.8,IF(T1596&lt;=9,0.9,1))))))*$Y$1),1),"")</f>
        <v>9.8</v>
      </c>
      <c r="V1596" s="37">
        <v>8.3</v>
      </c>
      <c r="W1596" s="38"/>
    </row>
    <row r="1597" ht="24" customHeight="1" spans="1:23" x14ac:dyDescent="0.25">
      <c r="A1597" s="31">
        <v>485</v>
      </c>
      <c r="B1597" s="32" t="s">
        <v>1703</v>
      </c>
      <c r="C1597" s="33" t="s">
        <v>24</v>
      </c>
      <c r="D1597" s="34">
        <v>2010</v>
      </c>
      <c r="E1597" s="34" t="s">
        <v>52</v>
      </c>
      <c r="F1597" s="6"/>
      <c r="G1597" s="6">
        <v>8</v>
      </c>
      <c r="H1597" s="6"/>
      <c r="I1597" s="6"/>
      <c r="J1597" s="6"/>
      <c r="K1597" s="6"/>
      <c r="L1597" s="6"/>
      <c r="M1597" s="6"/>
      <c r="N1597" s="6"/>
      <c r="O1597" s="6"/>
      <c r="P1597" s="6">
        <v>8</v>
      </c>
      <c r="Q1597" s="6"/>
      <c r="R1597" s="6"/>
      <c r="S1597" s="35">
        <f>SUM(F1597:R1597)</f>
        <v>16</v>
      </c>
      <c r="T1597" s="35">
        <f>COUNT(F1597:R1597)</f>
        <v>2</v>
      </c>
      <c r="U1597" s="36">
        <f>IF(T1597&gt;=2,ROUND((IF(T1597=2,0.55,IF(T1597&lt;=4,0.7,IF(T1597&lt;=6,0.8,IF(T1597&lt;=9,0.9,1))))*(S1597/T1597)+(1-(IF(T1597=2,0.55,IF(T1597&lt;=4,0.7,IF(T1597&lt;=6,0.8,IF(T1597&lt;=9,0.9,1))))))*$Y$1),1),"")</f>
        <v>8</v>
      </c>
      <c r="V1597" s="37">
        <v>7.2</v>
      </c>
      <c r="W1597" s="38"/>
    </row>
    <row r="1598" ht="24" customHeight="1" spans="1:23" x14ac:dyDescent="0.25">
      <c r="A1598" s="40">
        <v>2260</v>
      </c>
      <c r="B1598" s="32" t="s">
        <v>1704</v>
      </c>
      <c r="C1598" s="33" t="s">
        <v>24</v>
      </c>
      <c r="D1598" s="34">
        <v>2010</v>
      </c>
      <c r="E1598" s="41"/>
      <c r="F1598" s="6"/>
      <c r="G1598" s="6">
        <v>7</v>
      </c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35">
        <f>SUM(F1598:R1598)</f>
        <v>7</v>
      </c>
      <c r="T1598" s="35">
        <f>COUNT(F1598:R1598)</f>
        <v>1</v>
      </c>
      <c r="U1598" s="36">
        <f>IF(T1598&gt;=2,ROUND((IF(T1598=2,0.55,IF(T1598&lt;=4,0.7,IF(T1598&lt;=6,0.8,IF(T1598&lt;=9,0.9,1))))*(S1598/T1598)+(1-(IF(T1598=2,0.55,IF(T1598&lt;=4,0.7,IF(T1598&lt;=6,0.8,IF(T1598&lt;=9,0.9,1))))))*$Y$1),1),"")</f>
      </c>
      <c r="V1598" s="37">
        <v>6.7</v>
      </c>
      <c r="W1598" s="38"/>
    </row>
    <row r="1599" ht="24" customHeight="1" spans="1:23" x14ac:dyDescent="0.25">
      <c r="A1599" s="31">
        <v>1347</v>
      </c>
      <c r="B1599" s="32" t="s">
        <v>1705</v>
      </c>
      <c r="C1599" s="33" t="s">
        <v>24</v>
      </c>
      <c r="D1599" s="34">
        <v>2021</v>
      </c>
      <c r="E1599" s="34" t="s">
        <v>48</v>
      </c>
      <c r="F1599" s="6"/>
      <c r="G1599" s="6"/>
      <c r="H1599" s="6"/>
      <c r="I1599" s="6"/>
      <c r="J1599" s="6"/>
      <c r="K1599" s="6"/>
      <c r="L1599" s="6"/>
      <c r="M1599" s="6"/>
      <c r="N1599" s="6"/>
      <c r="O1599" s="6">
        <v>7</v>
      </c>
      <c r="P1599" s="6"/>
      <c r="Q1599" s="6"/>
      <c r="R1599" s="6"/>
      <c r="S1599" s="35">
        <f>SUM(F1599:R1599)</f>
        <v>7</v>
      </c>
      <c r="T1599" s="35">
        <f>COUNT(F1599:R1599)</f>
        <v>1</v>
      </c>
      <c r="U1599" s="36">
        <f>IF(T1599&gt;=2,ROUND((IF(T1599=2,0.55,IF(T1599&lt;=4,0.7,IF(T1599&lt;=6,0.8,IF(T1599&lt;=9,0.9,1))))*(S1599/T1599)+(1-(IF(T1599=2,0.55,IF(T1599&lt;=4,0.7,IF(T1599&lt;=6,0.8,IF(T1599&lt;=9,0.9,1))))))*$Y$1),1),"")</f>
      </c>
      <c r="V1599" s="37">
        <v>7.4</v>
      </c>
      <c r="W1599" s="38"/>
    </row>
    <row r="1600" ht="24" customHeight="1" spans="1:23" x14ac:dyDescent="0.25">
      <c r="A1600" s="31">
        <v>1840</v>
      </c>
      <c r="B1600" s="32" t="s">
        <v>1706</v>
      </c>
      <c r="C1600" s="33" t="s">
        <v>24</v>
      </c>
      <c r="D1600" s="34">
        <v>2011</v>
      </c>
      <c r="E1600" s="34" t="s">
        <v>48</v>
      </c>
      <c r="F1600" s="6">
        <v>6</v>
      </c>
      <c r="G1600" s="6"/>
      <c r="H1600" s="6"/>
      <c r="I1600" s="6"/>
      <c r="J1600" s="6"/>
      <c r="K1600" s="6">
        <v>6</v>
      </c>
      <c r="L1600" s="6">
        <v>9</v>
      </c>
      <c r="M1600" s="6"/>
      <c r="N1600" s="6"/>
      <c r="O1600" s="6"/>
      <c r="P1600" s="6"/>
      <c r="Q1600" s="6">
        <v>6</v>
      </c>
      <c r="R1600" s="6"/>
      <c r="S1600" s="35">
        <f>SUM(F1600:R1600)</f>
        <v>27</v>
      </c>
      <c r="T1600" s="35">
        <f>COUNT(F1600:R1600)</f>
        <v>4</v>
      </c>
      <c r="U1600" s="36">
        <f>IF(T1600&gt;=2,ROUND((IF(T1600=2,0.55,IF(T1600&lt;=4,0.7,IF(T1600&lt;=6,0.8,IF(T1600&lt;=9,0.9,1))))*(S1600/T1600)+(1-(IF(T1600=2,0.55,IF(T1600&lt;=4,0.7,IF(T1600&lt;=6,0.8,IF(T1600&lt;=9,0.9,1))))))*$Y$1),1),"")</f>
        <v>7.2</v>
      </c>
      <c r="V1600" s="37">
        <v>7.5</v>
      </c>
      <c r="W1600" s="38"/>
    </row>
    <row r="1601" ht="24" customHeight="1" spans="1:23" x14ac:dyDescent="0.25">
      <c r="A1601" s="40">
        <v>2144</v>
      </c>
      <c r="B1601" s="32" t="s">
        <v>1707</v>
      </c>
      <c r="C1601" s="33" t="s">
        <v>24</v>
      </c>
      <c r="D1601" s="34">
        <v>2004</v>
      </c>
      <c r="E1601" s="41"/>
      <c r="F1601" s="6"/>
      <c r="G1601" s="6">
        <v>7</v>
      </c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35">
        <f>SUM(F1601:R1601)</f>
        <v>7</v>
      </c>
      <c r="T1601" s="35">
        <f>COUNT(F1601:R1601)</f>
        <v>1</v>
      </c>
      <c r="U1601" s="36">
        <f>IF(T1601&gt;=2,ROUND((IF(T1601=2,0.55,IF(T1601&lt;=4,0.7,IF(T1601&lt;=6,0.8,IF(T1601&lt;=9,0.9,1))))*(S1601/T1601)+(1-(IF(T1601=2,0.55,IF(T1601&lt;=4,0.7,IF(T1601&lt;=6,0.8,IF(T1601&lt;=9,0.9,1))))))*$Y$1),1),"")</f>
      </c>
      <c r="V1601" s="37">
        <v>7.8</v>
      </c>
      <c r="W1601" s="38"/>
    </row>
    <row r="1602" ht="24" customHeight="1" spans="1:23" x14ac:dyDescent="0.25">
      <c r="A1602" s="31">
        <v>905</v>
      </c>
      <c r="B1602" s="32" t="s">
        <v>1708</v>
      </c>
      <c r="C1602" s="33" t="s">
        <v>24</v>
      </c>
      <c r="D1602" s="34">
        <v>2017</v>
      </c>
      <c r="E1602" s="34" t="s">
        <v>27</v>
      </c>
      <c r="F1602" s="6"/>
      <c r="G1602" s="6"/>
      <c r="H1602" s="6"/>
      <c r="I1602" s="6">
        <v>6</v>
      </c>
      <c r="J1602" s="6"/>
      <c r="K1602" s="6"/>
      <c r="L1602" s="6"/>
      <c r="M1602" s="6"/>
      <c r="N1602" s="6"/>
      <c r="O1602" s="6"/>
      <c r="P1602" s="6"/>
      <c r="Q1602" s="6"/>
      <c r="R1602" s="6"/>
      <c r="S1602" s="35">
        <f>SUM(F1602:R1602)</f>
        <v>6</v>
      </c>
      <c r="T1602" s="35">
        <f>COUNT(F1602:R1602)</f>
        <v>1</v>
      </c>
      <c r="U1602" s="36">
        <f>IF(T1602&gt;=2,ROUND((IF(T1602=2,0.55,IF(T1602&lt;=4,0.7,IF(T1602&lt;=6,0.8,IF(T1602&lt;=9,0.9,1))))*(S1602/T1602)+(1-(IF(T1602=2,0.55,IF(T1602&lt;=4,0.7,IF(T1602&lt;=6,0.8,IF(T1602&lt;=9,0.9,1))))))*$Y$1),1),"")</f>
      </c>
      <c r="V1602" s="37">
        <v>4.8</v>
      </c>
      <c r="W1602" s="38"/>
    </row>
    <row r="1603" ht="24" customHeight="1" spans="1:23" x14ac:dyDescent="0.25">
      <c r="A1603" s="40">
        <v>2241</v>
      </c>
      <c r="B1603" s="32" t="s">
        <v>1709</v>
      </c>
      <c r="C1603" s="33" t="s">
        <v>24</v>
      </c>
      <c r="D1603" s="34">
        <v>2009</v>
      </c>
      <c r="E1603" s="41"/>
      <c r="F1603" s="6"/>
      <c r="G1603" s="6">
        <v>7</v>
      </c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35">
        <f>SUM(F1603:R1603)</f>
        <v>7</v>
      </c>
      <c r="T1603" s="35">
        <f>COUNT(F1603:R1603)</f>
        <v>1</v>
      </c>
      <c r="U1603" s="36">
        <f>IF(T1603&gt;=2,ROUND((IF(T1603=2,0.55,IF(T1603&lt;=4,0.7,IF(T1603&lt;=6,0.8,IF(T1603&lt;=9,0.9,1))))*(S1603/T1603)+(1-(IF(T1603=2,0.55,IF(T1603&lt;=4,0.7,IF(T1603&lt;=6,0.8,IF(T1603&lt;=9,0.9,1))))))*$Y$1),1),"")</f>
      </c>
      <c r="V1603" s="37">
        <v>5.9</v>
      </c>
      <c r="W1603" s="38"/>
    </row>
    <row r="1604" ht="24" customHeight="1" spans="1:23" x14ac:dyDescent="0.25">
      <c r="A1604" s="31">
        <v>40</v>
      </c>
      <c r="B1604" s="32" t="s">
        <v>1710</v>
      </c>
      <c r="C1604" s="33" t="s">
        <v>24</v>
      </c>
      <c r="D1604" s="34">
        <v>1997</v>
      </c>
      <c r="E1604" s="34" t="s">
        <v>92</v>
      </c>
      <c r="F1604" s="6"/>
      <c r="G1604" s="6"/>
      <c r="H1604" s="6"/>
      <c r="I1604" s="6">
        <v>10</v>
      </c>
      <c r="J1604" s="6"/>
      <c r="K1604" s="6">
        <v>10</v>
      </c>
      <c r="L1604" s="6"/>
      <c r="M1604" s="6"/>
      <c r="N1604" s="6"/>
      <c r="O1604" s="6"/>
      <c r="P1604" s="6"/>
      <c r="Q1604" s="6">
        <v>10</v>
      </c>
      <c r="R1604" s="6"/>
      <c r="S1604" s="35">
        <f>SUM(F1604:R1604)</f>
        <v>30</v>
      </c>
      <c r="T1604" s="35">
        <f>COUNT(F1604:R1604)</f>
        <v>3</v>
      </c>
      <c r="U1604" s="36">
        <f>IF(T1604&gt;=2,ROUND((IF(T1604=2,0.55,IF(T1604&lt;=4,0.7,IF(T1604&lt;=6,0.8,IF(T1604&lt;=9,0.9,1))))*(S1604/T1604)+(1-(IF(T1604=2,0.55,IF(T1604&lt;=4,0.7,IF(T1604&lt;=6,0.8,IF(T1604&lt;=9,0.9,1))))))*$Y$1),1),"")</f>
        <v>9.4</v>
      </c>
      <c r="V1604" s="37">
        <v>7.5</v>
      </c>
      <c r="W1604" s="38"/>
    </row>
    <row r="1605" ht="24" customHeight="1" spans="1:23" x14ac:dyDescent="0.25">
      <c r="A1605" s="31">
        <v>1554</v>
      </c>
      <c r="B1605" s="32" t="s">
        <v>1711</v>
      </c>
      <c r="C1605" s="33" t="s">
        <v>24</v>
      </c>
      <c r="D1605" s="34">
        <v>1986</v>
      </c>
      <c r="E1605" s="34" t="s">
        <v>30</v>
      </c>
      <c r="F1605" s="6"/>
      <c r="G1605" s="6">
        <v>7</v>
      </c>
      <c r="H1605" s="6"/>
      <c r="I1605" s="6"/>
      <c r="J1605" s="6">
        <v>8</v>
      </c>
      <c r="K1605" s="6"/>
      <c r="L1605" s="6"/>
      <c r="M1605" s="6"/>
      <c r="N1605" s="6"/>
      <c r="O1605" s="6"/>
      <c r="P1605" s="6"/>
      <c r="Q1605" s="6"/>
      <c r="R1605" s="6"/>
      <c r="S1605" s="35">
        <f>SUM(F1605:R1605)</f>
        <v>15</v>
      </c>
      <c r="T1605" s="35">
        <f>COUNT(F1605:R1605)</f>
        <v>2</v>
      </c>
      <c r="U1605" s="36">
        <f>IF(T1605&gt;=2,ROUND((IF(T1605=2,0.55,IF(T1605&lt;=4,0.7,IF(T1605&lt;=6,0.8,IF(T1605&lt;=9,0.9,1))))*(S1605/T1605)+(1-(IF(T1605=2,0.55,IF(T1605&lt;=4,0.7,IF(T1605&lt;=6,0.8,IF(T1605&lt;=9,0.9,1))))))*$Y$1),1),"")</f>
        <v>7.8</v>
      </c>
      <c r="V1605" s="37">
        <v>8.1</v>
      </c>
      <c r="W1605" s="38"/>
    </row>
    <row r="1606" ht="24" customHeight="1" spans="1:23" x14ac:dyDescent="0.25">
      <c r="A1606" s="31">
        <v>2502</v>
      </c>
      <c r="B1606" s="32" t="s">
        <v>1712</v>
      </c>
      <c r="C1606" s="33" t="s">
        <v>24</v>
      </c>
      <c r="D1606" s="34">
        <v>2026</v>
      </c>
      <c r="E1606" s="34"/>
      <c r="F1606" s="6"/>
      <c r="G1606" s="6"/>
      <c r="H1606" s="6"/>
      <c r="I1606" s="6"/>
      <c r="J1606" s="6"/>
      <c r="K1606" s="6"/>
      <c r="L1606" s="6"/>
      <c r="M1606" s="6"/>
      <c r="N1606" s="6"/>
      <c r="O1606" s="6">
        <v>7</v>
      </c>
      <c r="P1606" s="6"/>
      <c r="Q1606" s="6"/>
      <c r="R1606" s="6"/>
      <c r="S1606" s="35">
        <f>SUM(F1606:R1606)</f>
        <v>7</v>
      </c>
      <c r="T1606" s="35">
        <f>COUNT(F1606:R1606)</f>
        <v>1</v>
      </c>
      <c r="U1606" s="36">
        <f>IF(T1606&gt;=2,ROUND((IF(T1606=2,0.55,IF(T1606&lt;=4,0.7,IF(T1606&lt;=6,0.8,IF(T1606&lt;=9,0.9,1))))*(S1606/T1606)+(1-(IF(T1606=2,0.55,IF(T1606&lt;=4,0.7,IF(T1606&lt;=6,0.8,IF(T1606&lt;=9,0.9,1))))))*$Y$1),1),"")</f>
      </c>
      <c r="V1606" s="37"/>
      <c r="W1606" s="38"/>
    </row>
    <row r="1607" ht="24" customHeight="1" spans="1:23" x14ac:dyDescent="0.25">
      <c r="A1607" s="31">
        <v>484</v>
      </c>
      <c r="B1607" s="32" t="s">
        <v>1713</v>
      </c>
      <c r="C1607" s="33" t="s">
        <v>24</v>
      </c>
      <c r="D1607" s="34">
        <v>2002</v>
      </c>
      <c r="E1607" s="34" t="s">
        <v>25</v>
      </c>
      <c r="F1607" s="6"/>
      <c r="G1607" s="6">
        <v>8</v>
      </c>
      <c r="H1607" s="6"/>
      <c r="I1607" s="6"/>
      <c r="J1607" s="6"/>
      <c r="K1607" s="6"/>
      <c r="L1607" s="6"/>
      <c r="M1607" s="6"/>
      <c r="N1607" s="6"/>
      <c r="O1607" s="6"/>
      <c r="P1607" s="6">
        <v>8</v>
      </c>
      <c r="Q1607" s="6"/>
      <c r="R1607" s="6"/>
      <c r="S1607" s="35">
        <f>SUM(F1607:R1607)</f>
        <v>16</v>
      </c>
      <c r="T1607" s="35">
        <f>COUNT(F1607:R1607)</f>
        <v>2</v>
      </c>
      <c r="U1607" s="36">
        <f>IF(T1607&gt;=2,ROUND((IF(T1607=2,0.55,IF(T1607&lt;=4,0.7,IF(T1607&lt;=6,0.8,IF(T1607&lt;=9,0.9,1))))*(S1607/T1607)+(1-(IF(T1607=2,0.55,IF(T1607&lt;=4,0.7,IF(T1607&lt;=6,0.8,IF(T1607&lt;=9,0.9,1))))))*$Y$1),1),"")</f>
        <v>8</v>
      </c>
      <c r="V1607" s="37">
        <v>6.5</v>
      </c>
      <c r="W1607" s="38"/>
    </row>
    <row r="1608" ht="24" customHeight="1" spans="1:23" x14ac:dyDescent="0.25">
      <c r="A1608" s="31">
        <v>1307</v>
      </c>
      <c r="B1608" s="32" t="s">
        <v>1714</v>
      </c>
      <c r="C1608" s="33" t="s">
        <v>29</v>
      </c>
      <c r="D1608" s="34">
        <v>2022</v>
      </c>
      <c r="E1608" s="34" t="s">
        <v>30</v>
      </c>
      <c r="F1608" s="6"/>
      <c r="G1608" s="6"/>
      <c r="H1608" s="6"/>
      <c r="I1608" s="6"/>
      <c r="J1608" s="6"/>
      <c r="K1608" s="6"/>
      <c r="L1608" s="6">
        <v>7</v>
      </c>
      <c r="M1608" s="6"/>
      <c r="N1608" s="6">
        <v>7</v>
      </c>
      <c r="O1608" s="6"/>
      <c r="P1608" s="6"/>
      <c r="Q1608" s="6"/>
      <c r="R1608" s="6"/>
      <c r="S1608" s="35">
        <f>SUM(F1608:R1608)</f>
        <v>14</v>
      </c>
      <c r="T1608" s="35">
        <f>COUNT(F1608:R1608)</f>
        <v>2</v>
      </c>
      <c r="U1608" s="36">
        <f>IF(T1608&gt;=2,ROUND((IF(T1608=2,0.55,IF(T1608&lt;=4,0.7,IF(T1608&lt;=6,0.8,IF(T1608&lt;=9,0.9,1))))*(S1608/T1608)+(1-(IF(T1608=2,0.55,IF(T1608&lt;=4,0.7,IF(T1608&lt;=6,0.8,IF(T1608&lt;=9,0.9,1))))))*$Y$1),1),"")</f>
        <v>7.5</v>
      </c>
      <c r="V1608" s="37">
        <v>6.2</v>
      </c>
      <c r="W1608" s="38"/>
    </row>
    <row r="1609" ht="24" customHeight="1" spans="1:23" x14ac:dyDescent="0.25">
      <c r="A1609" s="31">
        <v>1011</v>
      </c>
      <c r="B1609" s="32" t="s">
        <v>1715</v>
      </c>
      <c r="C1609" s="33" t="s">
        <v>24</v>
      </c>
      <c r="D1609" s="34">
        <v>2003</v>
      </c>
      <c r="E1609" s="34" t="s">
        <v>27</v>
      </c>
      <c r="F1609" s="6">
        <v>6</v>
      </c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35">
        <f>SUM(F1609:R1609)</f>
        <v>6</v>
      </c>
      <c r="T1609" s="35">
        <f>COUNT(F1609:R1609)</f>
        <v>1</v>
      </c>
      <c r="U1609" s="36">
        <f>IF(T1609&gt;=2,ROUND((IF(T1609=2,0.55,IF(T1609&lt;=4,0.7,IF(T1609&lt;=6,0.8,IF(T1609&lt;=9,0.9,1))))*(S1609/T1609)+(1-(IF(T1609=2,0.55,IF(T1609&lt;=4,0.7,IF(T1609&lt;=6,0.8,IF(T1609&lt;=9,0.9,1))))))*$Y$1),1),"")</f>
      </c>
      <c r="V1609" s="37">
        <v>6.6</v>
      </c>
      <c r="W1609" s="38"/>
    </row>
    <row r="1610" ht="24" customHeight="1" spans="1:23" s="39" customFormat="1" x14ac:dyDescent="0.25">
      <c r="A1610" s="31">
        <v>150</v>
      </c>
      <c r="B1610" s="32" t="s">
        <v>1716</v>
      </c>
      <c r="C1610" s="33" t="s">
        <v>24</v>
      </c>
      <c r="D1610" s="34">
        <v>1989</v>
      </c>
      <c r="E1610" s="34" t="s">
        <v>526</v>
      </c>
      <c r="F1610" s="6">
        <v>10</v>
      </c>
      <c r="G1610" s="6">
        <v>8</v>
      </c>
      <c r="H1610" s="6">
        <v>10</v>
      </c>
      <c r="I1610" s="6">
        <v>10</v>
      </c>
      <c r="J1610" s="6">
        <v>8</v>
      </c>
      <c r="K1610" s="6">
        <v>10</v>
      </c>
      <c r="L1610" s="6">
        <v>8</v>
      </c>
      <c r="M1610" s="6">
        <v>8</v>
      </c>
      <c r="N1610" s="6">
        <v>8</v>
      </c>
      <c r="O1610" s="6">
        <v>10</v>
      </c>
      <c r="P1610" s="6">
        <v>8</v>
      </c>
      <c r="Q1610" s="6">
        <v>10</v>
      </c>
      <c r="R1610" s="6">
        <v>10</v>
      </c>
      <c r="S1610" s="35">
        <f>SUM(F1610:R1610)</f>
        <v>118</v>
      </c>
      <c r="T1610" s="35">
        <f>COUNT(F1610:R1610)</f>
        <v>13</v>
      </c>
      <c r="U1610" s="36">
        <f>IF(T1610&gt;=2,ROUND((IF(T1610=2,0.55,IF(T1610&lt;=4,0.7,IF(T1610&lt;=6,0.8,IF(T1610&lt;=9,0.9,1))))*(S1610/T1610)+(1-(IF(T1610=2,0.55,IF(T1610&lt;=4,0.7,IF(T1610&lt;=6,0.8,IF(T1610&lt;=9,0.9,1))))))*$Y$1),1),"")</f>
        <v>9.1</v>
      </c>
      <c r="V1610" s="37">
        <v>7.3</v>
      </c>
      <c r="W1610" s="38"/>
    </row>
    <row r="1611" ht="24" customHeight="1" spans="1:23" x14ac:dyDescent="0.25">
      <c r="A1611" s="31">
        <v>1689</v>
      </c>
      <c r="B1611" s="32" t="s">
        <v>1717</v>
      </c>
      <c r="C1611" s="33" t="s">
        <v>24</v>
      </c>
      <c r="D1611" s="34">
        <v>2022</v>
      </c>
      <c r="E1611" s="34" t="s">
        <v>777</v>
      </c>
      <c r="F1611" s="6"/>
      <c r="G1611" s="6"/>
      <c r="H1611" s="6"/>
      <c r="I1611" s="6"/>
      <c r="J1611" s="6">
        <v>9</v>
      </c>
      <c r="K1611" s="6"/>
      <c r="L1611" s="6"/>
      <c r="M1611" s="6"/>
      <c r="N1611" s="6"/>
      <c r="O1611" s="6"/>
      <c r="P1611" s="6"/>
      <c r="Q1611" s="6"/>
      <c r="R1611" s="6"/>
      <c r="S1611" s="35">
        <f>SUM(F1611:R1611)</f>
        <v>9</v>
      </c>
      <c r="T1611" s="35">
        <f>COUNT(F1611:R1611)</f>
        <v>1</v>
      </c>
      <c r="U1611" s="36">
        <f>IF(T1611&gt;=2,ROUND((IF(T1611=2,0.55,IF(T1611&lt;=4,0.7,IF(T1611&lt;=6,0.8,IF(T1611&lt;=9,0.9,1))))*(S1611/T1611)+(1-(IF(T1611=2,0.55,IF(T1611&lt;=4,0.7,IF(T1611&lt;=6,0.8,IF(T1611&lt;=9,0.9,1))))))*$Y$1),1),"")</f>
      </c>
      <c r="V1611" s="37">
        <v>7.2</v>
      </c>
      <c r="W1611" s="38"/>
    </row>
    <row r="1612" ht="24" customHeight="1" spans="1:23" x14ac:dyDescent="0.25">
      <c r="A1612" s="40">
        <v>2199</v>
      </c>
      <c r="B1612" s="32" t="s">
        <v>1718</v>
      </c>
      <c r="C1612" s="33" t="s">
        <v>24</v>
      </c>
      <c r="D1612" s="34">
        <v>2007</v>
      </c>
      <c r="E1612" s="41"/>
      <c r="F1612" s="6"/>
      <c r="G1612" s="6">
        <v>7</v>
      </c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35">
        <f>SUM(F1612:R1612)</f>
        <v>7</v>
      </c>
      <c r="T1612" s="35">
        <f>COUNT(F1612:R1612)</f>
        <v>1</v>
      </c>
      <c r="U1612" s="36">
        <f>IF(T1612&gt;=2,ROUND((IF(T1612=2,0.55,IF(T1612&lt;=4,0.7,IF(T1612&lt;=6,0.8,IF(T1612&lt;=9,0.9,1))))*(S1612/T1612)+(1-(IF(T1612=2,0.55,IF(T1612&lt;=4,0.7,IF(T1612&lt;=6,0.8,IF(T1612&lt;=9,0.9,1))))))*$Y$1),1),"")</f>
      </c>
      <c r="V1612" s="37">
        <v>7.2</v>
      </c>
      <c r="W1612" s="38"/>
    </row>
    <row r="1613" ht="24" customHeight="1" spans="1:23" x14ac:dyDescent="0.25">
      <c r="A1613" s="31">
        <v>1960</v>
      </c>
      <c r="B1613" s="32" t="s">
        <v>1719</v>
      </c>
      <c r="C1613" s="33" t="s">
        <v>114</v>
      </c>
      <c r="D1613" s="34">
        <v>2024</v>
      </c>
      <c r="E1613" s="34" t="s">
        <v>48</v>
      </c>
      <c r="F1613" s="6">
        <v>9</v>
      </c>
      <c r="G1613" s="6">
        <v>8</v>
      </c>
      <c r="H1613" s="6">
        <v>8</v>
      </c>
      <c r="I1613" s="6">
        <v>8</v>
      </c>
      <c r="J1613" s="6">
        <v>9</v>
      </c>
      <c r="K1613" s="6">
        <v>9</v>
      </c>
      <c r="L1613" s="6">
        <v>9</v>
      </c>
      <c r="M1613" s="6">
        <v>8</v>
      </c>
      <c r="N1613" s="6">
        <v>8</v>
      </c>
      <c r="O1613" s="6">
        <v>9</v>
      </c>
      <c r="P1613" s="6">
        <v>9</v>
      </c>
      <c r="Q1613" s="6">
        <v>9</v>
      </c>
      <c r="R1613" s="6">
        <v>10</v>
      </c>
      <c r="S1613" s="35">
        <f>SUM(F1613:R1613)</f>
        <v>113</v>
      </c>
      <c r="T1613" s="35">
        <f>COUNT(F1613:R1613)</f>
        <v>13</v>
      </c>
      <c r="U1613" s="36">
        <f>IF(T1613&gt;=2,ROUND((IF(T1613=2,0.55,IF(T1613&lt;=4,0.7,IF(T1613&lt;=6,0.8,IF(T1613&lt;=9,0.9,1))))*(S1613/T1613)+(1-(IF(T1613=2,0.55,IF(T1613&lt;=4,0.7,IF(T1613&lt;=6,0.8,IF(T1613&lt;=9,0.9,1))))))*$Y$1),1),"")</f>
        <v>8.7</v>
      </c>
      <c r="V1613" s="37">
        <v>7.4</v>
      </c>
      <c r="W1613" s="38"/>
    </row>
    <row r="1614" ht="24" customHeight="1" spans="1:23" x14ac:dyDescent="0.25">
      <c r="A1614" s="31">
        <v>1659</v>
      </c>
      <c r="B1614" s="32" t="s">
        <v>1720</v>
      </c>
      <c r="C1614" s="33" t="s">
        <v>29</v>
      </c>
      <c r="D1614" s="34">
        <v>2023</v>
      </c>
      <c r="E1614" s="34" t="s">
        <v>30</v>
      </c>
      <c r="F1614" s="6"/>
      <c r="G1614" s="6"/>
      <c r="H1614" s="6"/>
      <c r="I1614" s="6"/>
      <c r="J1614" s="6">
        <v>10</v>
      </c>
      <c r="K1614" s="6"/>
      <c r="L1614" s="6"/>
      <c r="M1614" s="6"/>
      <c r="N1614" s="6"/>
      <c r="O1614" s="6"/>
      <c r="P1614" s="6"/>
      <c r="Q1614" s="6"/>
      <c r="R1614" s="6"/>
      <c r="S1614" s="35">
        <f>SUM(F1614:R1614)</f>
        <v>10</v>
      </c>
      <c r="T1614" s="35">
        <f>COUNT(F1614:R1614)</f>
        <v>1</v>
      </c>
      <c r="U1614" s="36">
        <f>IF(T1614&gt;=2,ROUND((IF(T1614=2,0.55,IF(T1614&lt;=4,0.7,IF(T1614&lt;=6,0.8,IF(T1614&lt;=9,0.9,1))))*(S1614/T1614)+(1-(IF(T1614=2,0.55,IF(T1614&lt;=4,0.7,IF(T1614&lt;=6,0.8,IF(T1614&lt;=9,0.9,1))))))*$Y$1),1),"")</f>
      </c>
      <c r="V1614" s="37">
        <v>7.8</v>
      </c>
      <c r="W1614" s="38"/>
    </row>
    <row r="1615" ht="24" customHeight="1" spans="1:23" x14ac:dyDescent="0.25">
      <c r="A1615" s="40">
        <v>2379</v>
      </c>
      <c r="B1615" s="32" t="s">
        <v>1721</v>
      </c>
      <c r="C1615" s="33" t="s">
        <v>29</v>
      </c>
      <c r="D1615" s="34">
        <v>2025</v>
      </c>
      <c r="E1615" s="41"/>
      <c r="F1615" s="6">
        <v>7</v>
      </c>
      <c r="G1615" s="6"/>
      <c r="H1615" s="6"/>
      <c r="I1615" s="6"/>
      <c r="J1615" s="6"/>
      <c r="K1615" s="6"/>
      <c r="L1615" s="6">
        <v>8</v>
      </c>
      <c r="M1615" s="6"/>
      <c r="N1615" s="6"/>
      <c r="O1615" s="6"/>
      <c r="P1615" s="6"/>
      <c r="Q1615" s="6"/>
      <c r="R1615" s="6"/>
      <c r="S1615" s="35">
        <f>SUM(F1615:R1615)</f>
        <v>15</v>
      </c>
      <c r="T1615" s="35">
        <f>COUNT(F1615:R1615)</f>
        <v>2</v>
      </c>
      <c r="U1615" s="36">
        <f>IF(T1615&gt;=2,ROUND((IF(T1615=2,0.55,IF(T1615&lt;=4,0.7,IF(T1615&lt;=6,0.8,IF(T1615&lt;=9,0.9,1))))*(S1615/T1615)+(1-(IF(T1615=2,0.55,IF(T1615&lt;=4,0.7,IF(T1615&lt;=6,0.8,IF(T1615&lt;=9,0.9,1))))))*$Y$1),1),"")</f>
        <v>7.8</v>
      </c>
      <c r="V1615" s="37">
        <v>7.6</v>
      </c>
      <c r="W1615" s="38"/>
    </row>
    <row r="1616" ht="24" customHeight="1" spans="1:23" x14ac:dyDescent="0.25">
      <c r="A1616" s="31">
        <v>482</v>
      </c>
      <c r="B1616" s="32" t="s">
        <v>1722</v>
      </c>
      <c r="C1616" s="33" t="s">
        <v>24</v>
      </c>
      <c r="D1616" s="34">
        <v>2004</v>
      </c>
      <c r="E1616" s="34" t="s">
        <v>52</v>
      </c>
      <c r="F1616" s="6"/>
      <c r="G1616" s="6">
        <v>8</v>
      </c>
      <c r="H1616" s="6"/>
      <c r="I1616" s="6"/>
      <c r="J1616" s="6"/>
      <c r="K1616" s="6">
        <v>8</v>
      </c>
      <c r="L1616" s="6"/>
      <c r="M1616" s="6"/>
      <c r="N1616" s="6"/>
      <c r="O1616" s="6"/>
      <c r="P1616" s="6">
        <v>8</v>
      </c>
      <c r="Q1616" s="6">
        <v>8</v>
      </c>
      <c r="R1616" s="6"/>
      <c r="S1616" s="35">
        <f>SUM(F1616:R1616)</f>
        <v>32</v>
      </c>
      <c r="T1616" s="35">
        <f>COUNT(F1616:R1616)</f>
        <v>4</v>
      </c>
      <c r="U1616" s="36">
        <f>IF(T1616&gt;=2,ROUND((IF(T1616=2,0.55,IF(T1616&lt;=4,0.7,IF(T1616&lt;=6,0.8,IF(T1616&lt;=9,0.9,1))))*(S1616/T1616)+(1-(IF(T1616=2,0.55,IF(T1616&lt;=4,0.7,IF(T1616&lt;=6,0.8,IF(T1616&lt;=9,0.9,1))))))*$Y$1),1),"")</f>
        <v>8</v>
      </c>
      <c r="V1616" s="37">
        <v>6.8</v>
      </c>
      <c r="W1616" s="38"/>
    </row>
    <row r="1617" ht="24" customHeight="1" spans="1:23" x14ac:dyDescent="0.25">
      <c r="A1617" s="31">
        <v>1995</v>
      </c>
      <c r="B1617" s="32" t="s">
        <v>1723</v>
      </c>
      <c r="C1617" s="33" t="s">
        <v>24</v>
      </c>
      <c r="D1617" s="34">
        <v>2017</v>
      </c>
      <c r="E1617" s="34" t="s">
        <v>30</v>
      </c>
      <c r="F1617" s="6"/>
      <c r="G1617" s="6"/>
      <c r="H1617" s="6"/>
      <c r="I1617" s="6"/>
      <c r="J1617" s="6"/>
      <c r="K1617" s="6">
        <v>6</v>
      </c>
      <c r="L1617" s="6"/>
      <c r="M1617" s="6"/>
      <c r="N1617" s="6"/>
      <c r="O1617" s="6"/>
      <c r="P1617" s="6"/>
      <c r="Q1617" s="6">
        <v>6</v>
      </c>
      <c r="R1617" s="6"/>
      <c r="S1617" s="35">
        <f>SUM(F1617:R1617)</f>
        <v>12</v>
      </c>
      <c r="T1617" s="35">
        <f>COUNT(F1617:R1617)</f>
        <v>2</v>
      </c>
      <c r="U1617" s="36">
        <f>IF(T1617&gt;=2,ROUND((IF(T1617=2,0.55,IF(T1617&lt;=4,0.7,IF(T1617&lt;=6,0.8,IF(T1617&lt;=9,0.9,1))))*(S1617/T1617)+(1-(IF(T1617=2,0.55,IF(T1617&lt;=4,0.7,IF(T1617&lt;=6,0.8,IF(T1617&lt;=9,0.9,1))))))*$Y$1),1),"")</f>
        <v>6.9</v>
      </c>
      <c r="V1617" s="37">
        <v>7.2</v>
      </c>
      <c r="W1617" s="38"/>
    </row>
    <row r="1618" ht="24" customHeight="1" spans="1:23" x14ac:dyDescent="0.25">
      <c r="A1618" s="47">
        <v>2050</v>
      </c>
      <c r="B1618" s="32" t="s">
        <v>1724</v>
      </c>
      <c r="C1618" s="48" t="s">
        <v>24</v>
      </c>
      <c r="D1618" s="49">
        <v>2024</v>
      </c>
      <c r="E1618" s="41"/>
      <c r="F1618" s="6">
        <v>8</v>
      </c>
      <c r="G1618" s="6">
        <v>8</v>
      </c>
      <c r="H1618" s="6">
        <v>8</v>
      </c>
      <c r="I1618" s="6">
        <v>8</v>
      </c>
      <c r="J1618" s="6">
        <v>8</v>
      </c>
      <c r="K1618" s="6">
        <v>8</v>
      </c>
      <c r="L1618" s="6">
        <v>9</v>
      </c>
      <c r="M1618" s="6">
        <v>8</v>
      </c>
      <c r="N1618" s="6"/>
      <c r="O1618" s="6">
        <v>9</v>
      </c>
      <c r="P1618" s="6">
        <v>8</v>
      </c>
      <c r="Q1618" s="6">
        <v>8</v>
      </c>
      <c r="R1618" s="6">
        <v>10</v>
      </c>
      <c r="S1618" s="35">
        <f>SUM(F1618:R1618)</f>
        <v>100</v>
      </c>
      <c r="T1618" s="35">
        <f>COUNT(F1618:R1618)</f>
        <v>12</v>
      </c>
      <c r="U1618" s="36">
        <f>IF(T1618&gt;=2,ROUND((IF(T1618=2,0.55,IF(T1618&lt;=4,0.7,IF(T1618&lt;=6,0.8,IF(T1618&lt;=9,0.9,1))))*(S1618/T1618)+(1-(IF(T1618=2,0.55,IF(T1618&lt;=4,0.7,IF(T1618&lt;=6,0.8,IF(T1618&lt;=9,0.9,1))))))*$Y$1),1),"")</f>
        <v>8.3</v>
      </c>
      <c r="V1618" s="37">
        <v>7.9</v>
      </c>
      <c r="W1618" s="38" t="s">
        <v>44</v>
      </c>
    </row>
    <row r="1619" ht="24" customHeight="1" spans="1:23" x14ac:dyDescent="0.25">
      <c r="A1619" s="31">
        <v>39</v>
      </c>
      <c r="B1619" s="32" t="s">
        <v>1725</v>
      </c>
      <c r="C1619" s="33" t="s">
        <v>24</v>
      </c>
      <c r="D1619" s="34">
        <v>2016</v>
      </c>
      <c r="E1619" s="34" t="s">
        <v>30</v>
      </c>
      <c r="F1619" s="6">
        <v>10</v>
      </c>
      <c r="G1619" s="6">
        <v>8</v>
      </c>
      <c r="H1619" s="6">
        <v>10</v>
      </c>
      <c r="I1619" s="6">
        <v>6</v>
      </c>
      <c r="J1619" s="6">
        <v>6</v>
      </c>
      <c r="K1619" s="6">
        <v>10</v>
      </c>
      <c r="L1619" s="6">
        <v>10</v>
      </c>
      <c r="M1619" s="6">
        <v>10</v>
      </c>
      <c r="N1619" s="6">
        <v>10</v>
      </c>
      <c r="O1619" s="6">
        <v>8</v>
      </c>
      <c r="P1619" s="6">
        <v>8</v>
      </c>
      <c r="Q1619" s="6">
        <v>10</v>
      </c>
      <c r="R1619" s="6">
        <v>10</v>
      </c>
      <c r="S1619" s="35">
        <f>SUM(F1619:R1619)</f>
        <v>116</v>
      </c>
      <c r="T1619" s="35">
        <f>COUNT(F1619:R1619)</f>
        <v>13</v>
      </c>
      <c r="U1619" s="36">
        <f>IF(T1619&gt;=2,ROUND((IF(T1619=2,0.55,IF(T1619&lt;=4,0.7,IF(T1619&lt;=6,0.8,IF(T1619&lt;=9,0.9,1))))*(S1619/T1619)+(1-(IF(T1619=2,0.55,IF(T1619&lt;=4,0.7,IF(T1619&lt;=6,0.8,IF(T1619&lt;=9,0.9,1))))))*$Y$1),1),"")</f>
        <v>8.9</v>
      </c>
      <c r="V1619" s="37">
        <v>7.4</v>
      </c>
      <c r="W1619" s="38"/>
    </row>
    <row r="1620" ht="24" customHeight="1" spans="1:23" x14ac:dyDescent="0.25">
      <c r="A1620" s="31">
        <v>481</v>
      </c>
      <c r="B1620" s="32" t="s">
        <v>1726</v>
      </c>
      <c r="C1620" s="33" t="s">
        <v>24</v>
      </c>
      <c r="D1620" s="34">
        <v>2007</v>
      </c>
      <c r="E1620" s="34" t="s">
        <v>30</v>
      </c>
      <c r="F1620" s="6">
        <v>10</v>
      </c>
      <c r="G1620" s="6">
        <v>8</v>
      </c>
      <c r="H1620" s="6">
        <v>10</v>
      </c>
      <c r="I1620" s="6">
        <v>10</v>
      </c>
      <c r="J1620" s="6">
        <v>10</v>
      </c>
      <c r="K1620" s="6">
        <v>10</v>
      </c>
      <c r="L1620" s="6">
        <v>8</v>
      </c>
      <c r="M1620" s="6">
        <v>10</v>
      </c>
      <c r="N1620" s="6"/>
      <c r="O1620" s="6"/>
      <c r="P1620" s="6">
        <v>8</v>
      </c>
      <c r="Q1620" s="6">
        <v>10</v>
      </c>
      <c r="R1620" s="6"/>
      <c r="S1620" s="35">
        <f>SUM(F1620:R1620)</f>
        <v>94</v>
      </c>
      <c r="T1620" s="35">
        <f>COUNT(F1620:R1620)</f>
        <v>10</v>
      </c>
      <c r="U1620" s="36">
        <f>IF(T1620&gt;=2,ROUND((IF(T1620=2,0.55,IF(T1620&lt;=4,0.7,IF(T1620&lt;=6,0.8,IF(T1620&lt;=9,0.9,1))))*(S1620/T1620)+(1-(IF(T1620=2,0.55,IF(T1620&lt;=4,0.7,IF(T1620&lt;=6,0.8,IF(T1620&lt;=9,0.9,1))))))*$Y$1),1),"")</f>
        <v>9.4</v>
      </c>
      <c r="V1620" s="37">
        <v>8.3</v>
      </c>
      <c r="W1620" s="38"/>
    </row>
    <row r="1621" ht="24" customHeight="1" spans="1:23" x14ac:dyDescent="0.25">
      <c r="A1621" s="40">
        <v>2059</v>
      </c>
      <c r="B1621" s="32" t="s">
        <v>1727</v>
      </c>
      <c r="C1621" s="33" t="s">
        <v>24</v>
      </c>
      <c r="D1621" s="34">
        <v>1941</v>
      </c>
      <c r="E1621" s="41"/>
      <c r="F1621" s="6"/>
      <c r="G1621" s="6">
        <v>6</v>
      </c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35">
        <f>SUM(F1621:R1621)</f>
        <v>6</v>
      </c>
      <c r="T1621" s="35">
        <f>COUNT(F1621:R1621)</f>
        <v>1</v>
      </c>
      <c r="U1621" s="36">
        <f>IF(T1621&gt;=2,ROUND((IF(T1621=2,0.55,IF(T1621&lt;=4,0.7,IF(T1621&lt;=6,0.8,IF(T1621&lt;=9,0.9,1))))*(S1621/T1621)+(1-(IF(T1621=2,0.55,IF(T1621&lt;=4,0.7,IF(T1621&lt;=6,0.8,IF(T1621&lt;=9,0.9,1))))))*$Y$1),1),"")</f>
      </c>
      <c r="V1621" s="37">
        <v>7.7</v>
      </c>
      <c r="W1621" s="38"/>
    </row>
    <row r="1622" ht="24" customHeight="1" spans="1:23" x14ac:dyDescent="0.25">
      <c r="A1622" s="31">
        <v>1542</v>
      </c>
      <c r="B1622" s="32" t="s">
        <v>1728</v>
      </c>
      <c r="C1622" s="33" t="s">
        <v>24</v>
      </c>
      <c r="D1622" s="34">
        <v>2022</v>
      </c>
      <c r="E1622" s="34" t="s">
        <v>30</v>
      </c>
      <c r="F1622" s="6">
        <v>8</v>
      </c>
      <c r="G1622" s="6"/>
      <c r="H1622" s="6"/>
      <c r="I1622" s="6">
        <v>8</v>
      </c>
      <c r="J1622" s="6">
        <v>8</v>
      </c>
      <c r="K1622" s="6">
        <v>9</v>
      </c>
      <c r="L1622" s="6"/>
      <c r="M1622" s="6"/>
      <c r="N1622" s="6"/>
      <c r="O1622" s="6"/>
      <c r="P1622" s="6"/>
      <c r="Q1622" s="6">
        <v>9</v>
      </c>
      <c r="R1622" s="6">
        <v>9</v>
      </c>
      <c r="S1622" s="35">
        <f>SUM(F1622:R1622)</f>
        <v>51</v>
      </c>
      <c r="T1622" s="35">
        <f>COUNT(F1622:R1622)</f>
        <v>6</v>
      </c>
      <c r="U1622" s="36">
        <f>IF(T1622&gt;=2,ROUND((IF(T1622=2,0.55,IF(T1622&lt;=4,0.7,IF(T1622&lt;=6,0.8,IF(T1622&lt;=9,0.9,1))))*(S1622/T1622)+(1-(IF(T1622=2,0.55,IF(T1622&lt;=4,0.7,IF(T1622&lt;=6,0.8,IF(T1622&lt;=9,0.9,1))))))*$Y$1),1),"")</f>
        <v>8.4</v>
      </c>
      <c r="V1622" s="37">
        <v>7.5</v>
      </c>
      <c r="W1622" s="38"/>
    </row>
    <row r="1623" ht="24" customHeight="1" spans="1:23" x14ac:dyDescent="0.25">
      <c r="A1623" s="40">
        <v>2389</v>
      </c>
      <c r="B1623" s="32" t="s">
        <v>1729</v>
      </c>
      <c r="C1623" s="33" t="s">
        <v>24</v>
      </c>
      <c r="D1623" s="34">
        <v>1992</v>
      </c>
      <c r="E1623" s="41"/>
      <c r="F1623" s="6"/>
      <c r="G1623" s="6"/>
      <c r="H1623" s="6"/>
      <c r="I1623" s="6"/>
      <c r="J1623" s="6"/>
      <c r="K1623" s="6">
        <v>8</v>
      </c>
      <c r="L1623" s="6"/>
      <c r="M1623" s="6"/>
      <c r="N1623" s="6"/>
      <c r="O1623" s="6"/>
      <c r="P1623" s="6"/>
      <c r="Q1623" s="6">
        <v>8</v>
      </c>
      <c r="R1623" s="6"/>
      <c r="S1623" s="35">
        <f>SUM(F1623:R1623)</f>
        <v>16</v>
      </c>
      <c r="T1623" s="35">
        <f>COUNT(F1623:R1623)</f>
        <v>2</v>
      </c>
      <c r="U1623" s="36">
        <f>IF(T1623&gt;=2,ROUND((IF(T1623=2,0.55,IF(T1623&lt;=4,0.7,IF(T1623&lt;=6,0.8,IF(T1623&lt;=9,0.9,1))))*(S1623/T1623)+(1-(IF(T1623=2,0.55,IF(T1623&lt;=4,0.7,IF(T1623&lt;=6,0.8,IF(T1623&lt;=9,0.9,1))))))*$Y$1),1),"")</f>
        <v>8</v>
      </c>
      <c r="V1623" s="37">
        <v>7.1</v>
      </c>
      <c r="W1623" s="38"/>
    </row>
    <row r="1624" ht="24" customHeight="1" spans="1:23" x14ac:dyDescent="0.25">
      <c r="A1624" s="31">
        <v>38</v>
      </c>
      <c r="B1624" s="32" t="s">
        <v>1730</v>
      </c>
      <c r="C1624" s="33" t="s">
        <v>24</v>
      </c>
      <c r="D1624" s="34">
        <v>2010</v>
      </c>
      <c r="E1624" s="34" t="s">
        <v>1731</v>
      </c>
      <c r="F1624" s="6">
        <v>8</v>
      </c>
      <c r="G1624" s="6">
        <v>7</v>
      </c>
      <c r="H1624" s="6">
        <v>8</v>
      </c>
      <c r="I1624" s="6">
        <v>6</v>
      </c>
      <c r="J1624" s="6">
        <v>6</v>
      </c>
      <c r="K1624" s="6">
        <v>10</v>
      </c>
      <c r="L1624" s="6">
        <v>6</v>
      </c>
      <c r="M1624" s="6">
        <v>8</v>
      </c>
      <c r="N1624" s="6">
        <v>8</v>
      </c>
      <c r="O1624" s="6"/>
      <c r="P1624" s="6">
        <v>6</v>
      </c>
      <c r="Q1624" s="6">
        <v>10</v>
      </c>
      <c r="R1624" s="6">
        <v>10</v>
      </c>
      <c r="S1624" s="35">
        <f>SUM(F1624:R1624)</f>
        <v>93</v>
      </c>
      <c r="T1624" s="35">
        <f>COUNT(F1624:R1624)</f>
        <v>12</v>
      </c>
      <c r="U1624" s="36">
        <f>IF(T1624&gt;=2,ROUND((IF(T1624=2,0.55,IF(T1624&lt;=4,0.7,IF(T1624&lt;=6,0.8,IF(T1624&lt;=9,0.9,1))))*(S1624/T1624)+(1-(IF(T1624=2,0.55,IF(T1624&lt;=4,0.7,IF(T1624&lt;=6,0.8,IF(T1624&lt;=9,0.9,1))))))*$Y$1),1),"")</f>
        <v>7.8</v>
      </c>
      <c r="V1624" s="37">
        <v>5.9</v>
      </c>
      <c r="W1624" s="38"/>
    </row>
    <row r="1625" ht="24" customHeight="1" spans="1:23" x14ac:dyDescent="0.25">
      <c r="A1625" s="31">
        <v>1320</v>
      </c>
      <c r="B1625" s="32" t="s">
        <v>1732</v>
      </c>
      <c r="C1625" s="33" t="s">
        <v>24</v>
      </c>
      <c r="D1625" s="34">
        <v>2022</v>
      </c>
      <c r="E1625" s="34" t="s">
        <v>30</v>
      </c>
      <c r="F1625" s="6"/>
      <c r="G1625" s="6"/>
      <c r="H1625" s="6"/>
      <c r="I1625" s="6"/>
      <c r="J1625" s="6"/>
      <c r="K1625" s="6"/>
      <c r="L1625" s="6">
        <v>7</v>
      </c>
      <c r="M1625" s="6">
        <v>8</v>
      </c>
      <c r="N1625" s="6"/>
      <c r="O1625" s="6">
        <v>8</v>
      </c>
      <c r="P1625" s="6"/>
      <c r="Q1625" s="6"/>
      <c r="R1625" s="6"/>
      <c r="S1625" s="35">
        <f>SUM(F1625:R1625)</f>
        <v>23</v>
      </c>
      <c r="T1625" s="35">
        <f>COUNT(F1625:R1625)</f>
        <v>3</v>
      </c>
      <c r="U1625" s="36">
        <f>IF(T1625&gt;=2,ROUND((IF(T1625=2,0.55,IF(T1625&lt;=4,0.7,IF(T1625&lt;=6,0.8,IF(T1625&lt;=9,0.9,1))))*(S1625/T1625)+(1-(IF(T1625=2,0.55,IF(T1625&lt;=4,0.7,IF(T1625&lt;=6,0.8,IF(T1625&lt;=9,0.9,1))))))*$Y$1),1),"")</f>
        <v>7.8</v>
      </c>
      <c r="V1625" s="37">
        <v>6.1</v>
      </c>
      <c r="W1625" s="38"/>
    </row>
    <row r="1626" ht="24" customHeight="1" spans="1:23" x14ac:dyDescent="0.25">
      <c r="A1626" s="31">
        <v>1430</v>
      </c>
      <c r="B1626" s="32" t="s">
        <v>1733</v>
      </c>
      <c r="C1626" s="33" t="s">
        <v>24</v>
      </c>
      <c r="D1626" s="34">
        <v>2022</v>
      </c>
      <c r="E1626" s="34" t="s">
        <v>141</v>
      </c>
      <c r="F1626" s="6"/>
      <c r="G1626" s="6"/>
      <c r="H1626" s="6"/>
      <c r="I1626" s="6"/>
      <c r="J1626" s="6"/>
      <c r="K1626" s="6"/>
      <c r="L1626" s="6">
        <v>6</v>
      </c>
      <c r="M1626" s="6"/>
      <c r="N1626" s="6"/>
      <c r="O1626" s="6">
        <v>6</v>
      </c>
      <c r="P1626" s="6"/>
      <c r="Q1626" s="6"/>
      <c r="R1626" s="6"/>
      <c r="S1626" s="35">
        <f>SUM(F1626:R1626)</f>
        <v>12</v>
      </c>
      <c r="T1626" s="35">
        <f>COUNT(F1626:R1626)</f>
        <v>2</v>
      </c>
      <c r="U1626" s="36">
        <f>IF(T1626&gt;=2,ROUND((IF(T1626=2,0.55,IF(T1626&lt;=4,0.7,IF(T1626&lt;=6,0.8,IF(T1626&lt;=9,0.9,1))))*(S1626/T1626)+(1-(IF(T1626=2,0.55,IF(T1626&lt;=4,0.7,IF(T1626&lt;=6,0.8,IF(T1626&lt;=9,0.9,1))))))*$Y$1),1),"")</f>
        <v>6.9</v>
      </c>
      <c r="V1626" s="37">
        <v>6.1</v>
      </c>
      <c r="W1626" s="38"/>
    </row>
    <row r="1627" ht="24" customHeight="1" spans="1:23" x14ac:dyDescent="0.25">
      <c r="A1627" s="31">
        <v>978</v>
      </c>
      <c r="B1627" s="32" t="s">
        <v>1734</v>
      </c>
      <c r="C1627" s="33" t="s">
        <v>260</v>
      </c>
      <c r="D1627" s="34">
        <v>2018</v>
      </c>
      <c r="E1627" s="34" t="s">
        <v>30</v>
      </c>
      <c r="F1627" s="6">
        <v>8</v>
      </c>
      <c r="G1627" s="6"/>
      <c r="H1627" s="6"/>
      <c r="I1627" s="6"/>
      <c r="J1627" s="6"/>
      <c r="K1627" s="6">
        <v>8</v>
      </c>
      <c r="L1627" s="6"/>
      <c r="M1627" s="6"/>
      <c r="N1627" s="6"/>
      <c r="O1627" s="6">
        <v>8</v>
      </c>
      <c r="P1627" s="6"/>
      <c r="Q1627" s="6">
        <v>8</v>
      </c>
      <c r="R1627" s="6"/>
      <c r="S1627" s="35">
        <f>SUM(F1627:R1627)</f>
        <v>32</v>
      </c>
      <c r="T1627" s="35">
        <f>COUNT(F1627:R1627)</f>
        <v>4</v>
      </c>
      <c r="U1627" s="36">
        <f>IF(T1627&gt;=2,ROUND((IF(T1627=2,0.55,IF(T1627&lt;=4,0.7,IF(T1627&lt;=6,0.8,IF(T1627&lt;=9,0.9,1))))*(S1627/T1627)+(1-(IF(T1627=2,0.55,IF(T1627&lt;=4,0.7,IF(T1627&lt;=6,0.8,IF(T1627&lt;=9,0.9,1))))))*$Y$1),1),"")</f>
        <v>8</v>
      </c>
      <c r="V1627" s="37">
        <v>6.8</v>
      </c>
      <c r="W1627" s="38"/>
    </row>
    <row r="1628" ht="24" customHeight="1" spans="1:23" x14ac:dyDescent="0.25">
      <c r="A1628" s="31">
        <v>1869</v>
      </c>
      <c r="B1628" s="32" t="s">
        <v>1735</v>
      </c>
      <c r="C1628" s="33" t="s">
        <v>24</v>
      </c>
      <c r="D1628" s="34">
        <v>2003</v>
      </c>
      <c r="E1628" s="34" t="s">
        <v>30</v>
      </c>
      <c r="F1628" s="6">
        <v>8</v>
      </c>
      <c r="G1628" s="6">
        <v>7</v>
      </c>
      <c r="H1628" s="6">
        <v>8</v>
      </c>
      <c r="I1628" s="6"/>
      <c r="J1628" s="6"/>
      <c r="K1628" s="6">
        <v>8</v>
      </c>
      <c r="L1628" s="6">
        <v>9</v>
      </c>
      <c r="M1628" s="6"/>
      <c r="N1628" s="6"/>
      <c r="O1628" s="6"/>
      <c r="P1628" s="6"/>
      <c r="Q1628" s="6">
        <v>8</v>
      </c>
      <c r="R1628" s="6"/>
      <c r="S1628" s="35">
        <f>SUM(F1628:R1628)</f>
        <v>48</v>
      </c>
      <c r="T1628" s="35">
        <f>COUNT(F1628:R1628)</f>
        <v>6</v>
      </c>
      <c r="U1628" s="36">
        <f>IF(T1628&gt;=2,ROUND((IF(T1628=2,0.55,IF(T1628&lt;=4,0.7,IF(T1628&lt;=6,0.8,IF(T1628&lt;=9,0.9,1))))*(S1628/T1628)+(1-(IF(T1628=2,0.55,IF(T1628&lt;=4,0.7,IF(T1628&lt;=6,0.8,IF(T1628&lt;=9,0.9,1))))))*$Y$1),1),"")</f>
        <v>8</v>
      </c>
      <c r="V1628" s="37">
        <v>7.2</v>
      </c>
      <c r="W1628" s="38"/>
    </row>
    <row r="1629" ht="24" customHeight="1" spans="1:23" x14ac:dyDescent="0.25">
      <c r="A1629" s="31">
        <v>480</v>
      </c>
      <c r="B1629" s="32" t="s">
        <v>1736</v>
      </c>
      <c r="C1629" s="33" t="s">
        <v>24</v>
      </c>
      <c r="D1629" s="34">
        <v>1995</v>
      </c>
      <c r="E1629" s="34" t="s">
        <v>374</v>
      </c>
      <c r="F1629" s="6"/>
      <c r="G1629" s="6">
        <v>8</v>
      </c>
      <c r="H1629" s="6">
        <v>8</v>
      </c>
      <c r="I1629" s="6"/>
      <c r="J1629" s="6"/>
      <c r="K1629" s="6">
        <v>8</v>
      </c>
      <c r="L1629" s="6"/>
      <c r="M1629" s="6">
        <v>8</v>
      </c>
      <c r="N1629" s="6"/>
      <c r="O1629" s="6"/>
      <c r="P1629" s="6">
        <v>8</v>
      </c>
      <c r="Q1629" s="6">
        <v>8</v>
      </c>
      <c r="R1629" s="6"/>
      <c r="S1629" s="35">
        <f>SUM(F1629:R1629)</f>
        <v>48</v>
      </c>
      <c r="T1629" s="35">
        <f>COUNT(F1629:R1629)</f>
        <v>6</v>
      </c>
      <c r="U1629" s="36">
        <f>IF(T1629&gt;=2,ROUND((IF(T1629=2,0.55,IF(T1629&lt;=4,0.7,IF(T1629&lt;=6,0.8,IF(T1629&lt;=9,0.9,1))))*(S1629/T1629)+(1-(IF(T1629=2,0.55,IF(T1629&lt;=4,0.7,IF(T1629&lt;=6,0.8,IF(T1629&lt;=9,0.9,1))))))*$Y$1),1),"")</f>
        <v>8</v>
      </c>
      <c r="V1629" s="37">
        <v>6.3</v>
      </c>
      <c r="W1629" s="38"/>
    </row>
    <row r="1630" ht="24" customHeight="1" spans="1:23" x14ac:dyDescent="0.25">
      <c r="A1630" s="31">
        <v>653</v>
      </c>
      <c r="B1630" s="32" t="s">
        <v>1737</v>
      </c>
      <c r="C1630" s="33" t="s">
        <v>24</v>
      </c>
      <c r="D1630" s="34">
        <v>2004</v>
      </c>
      <c r="E1630" s="34" t="s">
        <v>30</v>
      </c>
      <c r="F1630" s="6"/>
      <c r="G1630" s="6"/>
      <c r="H1630" s="6"/>
      <c r="I1630" s="6"/>
      <c r="J1630" s="6">
        <v>6</v>
      </c>
      <c r="K1630" s="6"/>
      <c r="L1630" s="6"/>
      <c r="M1630" s="6"/>
      <c r="N1630" s="6"/>
      <c r="O1630" s="6"/>
      <c r="P1630" s="6"/>
      <c r="Q1630" s="6"/>
      <c r="R1630" s="6"/>
      <c r="S1630" s="35">
        <f>SUM(F1630:R1630)</f>
        <v>6</v>
      </c>
      <c r="T1630" s="35">
        <f>COUNT(F1630:R1630)</f>
        <v>1</v>
      </c>
      <c r="U1630" s="36">
        <f>IF(T1630&gt;=2,ROUND((IF(T1630=2,0.55,IF(T1630&lt;=4,0.7,IF(T1630&lt;=6,0.8,IF(T1630&lt;=9,0.9,1))))*(S1630/T1630)+(1-(IF(T1630=2,0.55,IF(T1630&lt;=4,0.7,IF(T1630&lt;=6,0.8,IF(T1630&lt;=9,0.9,1))))))*$Y$1),1),"")</f>
      </c>
      <c r="V1630" s="37">
        <v>7.5</v>
      </c>
      <c r="W1630" s="38"/>
    </row>
    <row r="1631" ht="24" customHeight="1" spans="1:23" x14ac:dyDescent="0.25">
      <c r="A1631" s="31">
        <v>86</v>
      </c>
      <c r="B1631" s="32" t="s">
        <v>1738</v>
      </c>
      <c r="C1631" s="33" t="s">
        <v>29</v>
      </c>
      <c r="D1631" s="34">
        <v>2019</v>
      </c>
      <c r="E1631" s="34" t="s">
        <v>30</v>
      </c>
      <c r="F1631" s="6">
        <v>8</v>
      </c>
      <c r="G1631" s="6"/>
      <c r="H1631" s="6">
        <v>8</v>
      </c>
      <c r="I1631" s="6">
        <v>10</v>
      </c>
      <c r="J1631" s="6">
        <v>8</v>
      </c>
      <c r="K1631" s="6">
        <v>8</v>
      </c>
      <c r="L1631" s="6">
        <v>8</v>
      </c>
      <c r="M1631" s="6"/>
      <c r="N1631" s="6"/>
      <c r="O1631" s="6">
        <v>8</v>
      </c>
      <c r="P1631" s="6"/>
      <c r="Q1631" s="6">
        <v>8</v>
      </c>
      <c r="R1631" s="6">
        <v>10</v>
      </c>
      <c r="S1631" s="35">
        <f>SUM(F1631:R1631)</f>
        <v>76</v>
      </c>
      <c r="T1631" s="35">
        <f>COUNT(F1631:R1631)</f>
        <v>9</v>
      </c>
      <c r="U1631" s="36">
        <f>IF(T1631&gt;=2,ROUND((IF(T1631=2,0.55,IF(T1631&lt;=4,0.7,IF(T1631&lt;=6,0.8,IF(T1631&lt;=9,0.9,1))))*(S1631/T1631)+(1-(IF(T1631=2,0.55,IF(T1631&lt;=4,0.7,IF(T1631&lt;=6,0.8,IF(T1631&lt;=9,0.9,1))))))*$Y$1),1),"")</f>
        <v>8.4</v>
      </c>
      <c r="V1631" s="37">
        <v>7.8</v>
      </c>
      <c r="W1631" s="38"/>
    </row>
    <row r="1632" ht="47.25" customHeight="1" spans="1:23" x14ac:dyDescent="0.25">
      <c r="A1632" s="31">
        <v>2514</v>
      </c>
      <c r="B1632" s="32" t="s">
        <v>1739</v>
      </c>
      <c r="C1632" s="33" t="s">
        <v>24</v>
      </c>
      <c r="D1632" s="34">
        <v>2013</v>
      </c>
      <c r="E1632" s="34" t="s">
        <v>1740</v>
      </c>
      <c r="F1632" s="53"/>
      <c r="G1632" s="54"/>
      <c r="H1632" s="55">
        <v>7</v>
      </c>
      <c r="I1632" s="56"/>
      <c r="J1632" s="57"/>
      <c r="K1632" s="58"/>
      <c r="L1632" s="59"/>
      <c r="M1632" s="60"/>
      <c r="N1632" s="61"/>
      <c r="O1632" s="62"/>
      <c r="P1632" s="63"/>
      <c r="Q1632" s="64"/>
      <c r="R1632" s="65"/>
      <c r="S1632" s="35">
        <f>SUM(F1632:R1632)</f>
        <v>7</v>
      </c>
      <c r="T1632" s="35">
        <f>COUNT(F1632:R1632)</f>
        <v>1</v>
      </c>
      <c r="U1632" s="66"/>
      <c r="V1632" s="37">
        <v>7.2</v>
      </c>
      <c r="W1632" s="38"/>
    </row>
    <row r="1633" ht="24" customHeight="1" spans="1:23" x14ac:dyDescent="0.25">
      <c r="A1633" s="40">
        <v>2127</v>
      </c>
      <c r="B1633" s="32" t="s">
        <v>1741</v>
      </c>
      <c r="C1633" s="33" t="s">
        <v>24</v>
      </c>
      <c r="D1633" s="34">
        <v>2002</v>
      </c>
      <c r="E1633" s="41"/>
      <c r="F1633" s="6"/>
      <c r="G1633" s="6">
        <v>7</v>
      </c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35">
        <f>SUM(F1633:R1633)</f>
        <v>7</v>
      </c>
      <c r="T1633" s="35">
        <f>COUNT(F1633:R1633)</f>
        <v>1</v>
      </c>
      <c r="U1633" s="36">
        <f>IF(T1633&gt;=2,ROUND((IF(T1633=2,0.55,IF(T1633&lt;=4,0.7,IF(T1633&lt;=6,0.8,IF(T1633&lt;=9,0.9,1))))*(S1633/T1633)+(1-(IF(T1633=2,0.55,IF(T1633&lt;=4,0.7,IF(T1633&lt;=6,0.8,IF(T1633&lt;=9,0.9,1))))))*$Y$1),1),"")</f>
      </c>
      <c r="V1633" s="37">
        <v>6.1</v>
      </c>
      <c r="W1633" s="38"/>
    </row>
    <row r="1634" ht="24" customHeight="1" spans="1:23" x14ac:dyDescent="0.25">
      <c r="A1634" s="31">
        <v>241</v>
      </c>
      <c r="B1634" s="32" t="s">
        <v>1742</v>
      </c>
      <c r="C1634" s="33" t="s">
        <v>114</v>
      </c>
      <c r="D1634" s="34">
        <v>1998</v>
      </c>
      <c r="E1634" s="34" t="s">
        <v>30</v>
      </c>
      <c r="F1634" s="6"/>
      <c r="G1634" s="6"/>
      <c r="H1634" s="6"/>
      <c r="I1634" s="6"/>
      <c r="J1634" s="6"/>
      <c r="K1634" s="6">
        <v>6</v>
      </c>
      <c r="L1634" s="6"/>
      <c r="M1634" s="6"/>
      <c r="N1634" s="6"/>
      <c r="O1634" s="6"/>
      <c r="P1634" s="6"/>
      <c r="Q1634" s="6">
        <v>6</v>
      </c>
      <c r="R1634" s="6"/>
      <c r="S1634" s="35">
        <f>SUM(F1634:R1634)</f>
        <v>12</v>
      </c>
      <c r="T1634" s="35">
        <f>COUNT(F1634:R1634)</f>
        <v>2</v>
      </c>
      <c r="U1634" s="36">
        <f>IF(T1634&gt;=2,ROUND((IF(T1634=2,0.55,IF(T1634&lt;=4,0.7,IF(T1634&lt;=6,0.8,IF(T1634&lt;=9,0.9,1))))*(S1634/T1634)+(1-(IF(T1634=2,0.55,IF(T1634&lt;=4,0.7,IF(T1634&lt;=6,0.8,IF(T1634&lt;=9,0.9,1))))))*$Y$1),1),"")</f>
        <v>6.9</v>
      </c>
      <c r="V1634" s="37">
        <v>6.1</v>
      </c>
      <c r="W1634" s="38"/>
    </row>
    <row r="1635" ht="24" customHeight="1" spans="1:23" x14ac:dyDescent="0.25">
      <c r="A1635" s="31">
        <v>1004</v>
      </c>
      <c r="B1635" s="32" t="s">
        <v>1743</v>
      </c>
      <c r="C1635" s="33" t="s">
        <v>24</v>
      </c>
      <c r="D1635" s="34">
        <v>2019</v>
      </c>
      <c r="E1635" s="34" t="s">
        <v>30</v>
      </c>
      <c r="F1635" s="6"/>
      <c r="G1635" s="6"/>
      <c r="H1635" s="6"/>
      <c r="I1635" s="6"/>
      <c r="J1635" s="6">
        <v>8</v>
      </c>
      <c r="K1635" s="6">
        <v>8</v>
      </c>
      <c r="L1635" s="6"/>
      <c r="M1635" s="6"/>
      <c r="N1635" s="6"/>
      <c r="O1635" s="6">
        <v>8</v>
      </c>
      <c r="P1635" s="6"/>
      <c r="Q1635" s="6">
        <v>8</v>
      </c>
      <c r="R1635" s="6"/>
      <c r="S1635" s="35">
        <f>SUM(F1635:R1635)</f>
        <v>32</v>
      </c>
      <c r="T1635" s="35">
        <f>COUNT(F1635:R1635)</f>
        <v>4</v>
      </c>
      <c r="U1635" s="36">
        <f>IF(T1635&gt;=2,ROUND((IF(T1635=2,0.55,IF(T1635&lt;=4,0.7,IF(T1635&lt;=6,0.8,IF(T1635&lt;=9,0.9,1))))*(S1635/T1635)+(1-(IF(T1635=2,0.55,IF(T1635&lt;=4,0.7,IF(T1635&lt;=6,0.8,IF(T1635&lt;=9,0.9,1))))))*$Y$1),1),"")</f>
        <v>8</v>
      </c>
      <c r="V1635" s="37"/>
      <c r="W1635" s="38"/>
    </row>
    <row r="1636" ht="24" customHeight="1" spans="1:23" x14ac:dyDescent="0.25">
      <c r="A1636" s="40">
        <v>2240</v>
      </c>
      <c r="B1636" s="67" t="s">
        <v>1744</v>
      </c>
      <c r="C1636" s="33" t="s">
        <v>24</v>
      </c>
      <c r="D1636" s="34">
        <v>2009</v>
      </c>
      <c r="E1636" s="41"/>
      <c r="F1636" s="6"/>
      <c r="G1636" s="6">
        <v>7</v>
      </c>
      <c r="H1636" s="6"/>
      <c r="I1636" s="6"/>
      <c r="J1636" s="6"/>
      <c r="K1636" s="6"/>
      <c r="L1636" s="6"/>
      <c r="M1636" s="6"/>
      <c r="N1636" s="6"/>
      <c r="O1636" s="6">
        <v>8</v>
      </c>
      <c r="P1636" s="6"/>
      <c r="Q1636" s="6"/>
      <c r="R1636" s="6"/>
      <c r="S1636" s="35">
        <f>SUM(F1636:R1636)</f>
        <v>15</v>
      </c>
      <c r="T1636" s="35">
        <f>COUNT(F1636:R1636)</f>
        <v>2</v>
      </c>
      <c r="U1636" s="36">
        <f>IF(T1636&gt;=2,ROUND((IF(T1636=2,0.55,IF(T1636&lt;=4,0.7,IF(T1636&lt;=6,0.8,IF(T1636&lt;=9,0.9,1))))*(S1636/T1636)+(1-(IF(T1636=2,0.55,IF(T1636&lt;=4,0.7,IF(T1636&lt;=6,0.8,IF(T1636&lt;=9,0.9,1))))))*$Y$1),1),"")</f>
        <v>7.8</v>
      </c>
      <c r="V1636" s="37">
        <v>6.6</v>
      </c>
      <c r="W1636" s="38"/>
    </row>
    <row r="1637" ht="24" customHeight="1" spans="1:23" x14ac:dyDescent="0.25">
      <c r="A1637" s="31">
        <v>479</v>
      </c>
      <c r="B1637" s="32" t="s">
        <v>1745</v>
      </c>
      <c r="C1637" s="33" t="s">
        <v>24</v>
      </c>
      <c r="D1637" s="34">
        <v>2013</v>
      </c>
      <c r="E1637" s="34" t="s">
        <v>52</v>
      </c>
      <c r="F1637" s="6"/>
      <c r="G1637" s="6">
        <v>8</v>
      </c>
      <c r="H1637" s="6"/>
      <c r="I1637" s="6"/>
      <c r="J1637" s="6"/>
      <c r="K1637" s="6"/>
      <c r="L1637" s="6">
        <v>8</v>
      </c>
      <c r="M1637" s="6"/>
      <c r="N1637" s="6"/>
      <c r="O1637" s="6"/>
      <c r="P1637" s="6">
        <v>8</v>
      </c>
      <c r="Q1637" s="6"/>
      <c r="R1637" s="6"/>
      <c r="S1637" s="35">
        <f>SUM(F1637:R1637)</f>
        <v>24</v>
      </c>
      <c r="T1637" s="35">
        <f>COUNT(F1637:R1637)</f>
        <v>3</v>
      </c>
      <c r="U1637" s="36">
        <f>IF(T1637&gt;=2,ROUND((IF(T1637=2,0.55,IF(T1637&lt;=4,0.7,IF(T1637&lt;=6,0.8,IF(T1637&lt;=9,0.9,1))))*(S1637/T1637)+(1-(IF(T1637=2,0.55,IF(T1637&lt;=4,0.7,IF(T1637&lt;=6,0.8,IF(T1637&lt;=9,0.9,1))))))*$Y$1),1),"")</f>
        <v>8</v>
      </c>
      <c r="V1637" s="37">
        <v>7.9</v>
      </c>
      <c r="W1637" s="38"/>
    </row>
    <row r="1638" ht="24" customHeight="1" spans="1:23" x14ac:dyDescent="0.25">
      <c r="A1638" s="47">
        <v>388</v>
      </c>
      <c r="B1638" s="32" t="s">
        <v>1746</v>
      </c>
      <c r="C1638" s="48" t="s">
        <v>24</v>
      </c>
      <c r="D1638" s="49">
        <v>1999</v>
      </c>
      <c r="E1638" s="49" t="s">
        <v>25</v>
      </c>
      <c r="F1638" s="6">
        <v>8</v>
      </c>
      <c r="G1638" s="6">
        <v>8</v>
      </c>
      <c r="H1638" s="6"/>
      <c r="I1638" s="6">
        <v>8</v>
      </c>
      <c r="J1638" s="6">
        <v>8</v>
      </c>
      <c r="K1638" s="6"/>
      <c r="L1638" s="6"/>
      <c r="M1638" s="6">
        <v>8</v>
      </c>
      <c r="N1638" s="6">
        <v>8</v>
      </c>
      <c r="O1638" s="6"/>
      <c r="P1638" s="6">
        <v>8</v>
      </c>
      <c r="Q1638" s="6"/>
      <c r="R1638" s="6"/>
      <c r="S1638" s="35">
        <f>SUM(F1638:R1638)</f>
        <v>56</v>
      </c>
      <c r="T1638" s="35">
        <f>COUNT(F1638:R1638)</f>
        <v>7</v>
      </c>
      <c r="U1638" s="36">
        <f>IF(T1638&gt;=2,ROUND((IF(T1638=2,0.55,IF(T1638&lt;=4,0.7,IF(T1638&lt;=6,0.8,IF(T1638&lt;=9,0.9,1))))*(S1638/T1638)+(1-(IF(T1638=2,0.55,IF(T1638&lt;=4,0.7,IF(T1638&lt;=6,0.8,IF(T1638&lt;=9,0.9,1))))))*$Y$1),1),"")</f>
        <v>8</v>
      </c>
      <c r="V1638" s="37">
        <v>8.8</v>
      </c>
      <c r="W1638" s="38" t="s">
        <v>44</v>
      </c>
    </row>
    <row r="1639" ht="24" customHeight="1" spans="1:23" x14ac:dyDescent="0.25">
      <c r="A1639" s="31">
        <v>1982</v>
      </c>
      <c r="B1639" s="32" t="s">
        <v>1747</v>
      </c>
      <c r="C1639" s="33" t="s">
        <v>24</v>
      </c>
      <c r="D1639" s="34">
        <v>1990</v>
      </c>
      <c r="E1639" s="34" t="s">
        <v>25</v>
      </c>
      <c r="F1639" s="6"/>
      <c r="G1639" s="6">
        <v>8</v>
      </c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35">
        <f>SUM(F1639:R1639)</f>
        <v>8</v>
      </c>
      <c r="T1639" s="35">
        <f>COUNT(F1639:R1639)</f>
        <v>1</v>
      </c>
      <c r="U1639" s="36">
        <f>IF(T1639&gt;=2,ROUND((IF(T1639=2,0.55,IF(T1639&lt;=4,0.7,IF(T1639&lt;=6,0.8,IF(T1639&lt;=9,0.9,1))))*(S1639/T1639)+(1-(IF(T1639=2,0.55,IF(T1639&lt;=4,0.7,IF(T1639&lt;=6,0.8,IF(T1639&lt;=9,0.9,1))))))*$Y$1),1),"")</f>
      </c>
      <c r="V1639" s="37">
        <v>8.2</v>
      </c>
      <c r="W1639" s="38"/>
    </row>
    <row r="1640" ht="24" customHeight="1" spans="1:23" x14ac:dyDescent="0.25">
      <c r="A1640" s="31">
        <v>582</v>
      </c>
      <c r="B1640" s="32" t="s">
        <v>1748</v>
      </c>
      <c r="C1640" s="33" t="s">
        <v>24</v>
      </c>
      <c r="D1640" s="34">
        <v>2004</v>
      </c>
      <c r="E1640" s="34" t="s">
        <v>43</v>
      </c>
      <c r="F1640" s="6"/>
      <c r="G1640" s="6">
        <v>7</v>
      </c>
      <c r="H1640" s="6">
        <v>6</v>
      </c>
      <c r="I1640" s="6"/>
      <c r="J1640" s="6"/>
      <c r="K1640" s="6">
        <v>6</v>
      </c>
      <c r="L1640" s="6">
        <v>6</v>
      </c>
      <c r="M1640" s="6"/>
      <c r="N1640" s="6"/>
      <c r="O1640" s="6"/>
      <c r="P1640" s="6">
        <v>8</v>
      </c>
      <c r="Q1640" s="6">
        <v>6</v>
      </c>
      <c r="R1640" s="6"/>
      <c r="S1640" s="35">
        <f>SUM(F1640:R1640)</f>
        <v>39</v>
      </c>
      <c r="T1640" s="35">
        <f>COUNT(F1640:R1640)</f>
        <v>6</v>
      </c>
      <c r="U1640" s="36">
        <f>IF(T1640&gt;=2,ROUND((IF(T1640=2,0.55,IF(T1640&lt;=4,0.7,IF(T1640&lt;=6,0.8,IF(T1640&lt;=9,0.9,1))))*(S1640/T1640)+(1-(IF(T1640=2,0.55,IF(T1640&lt;=4,0.7,IF(T1640&lt;=6,0.8,IF(T1640&lt;=9,0.9,1))))))*$Y$1),1),"")</f>
        <v>6.8</v>
      </c>
      <c r="V1640" s="37">
        <v>7.1</v>
      </c>
      <c r="W1640" s="38"/>
    </row>
    <row r="1641" ht="47.25" customHeight="1" spans="1:23" x14ac:dyDescent="0.25">
      <c r="A1641" s="31">
        <v>1618</v>
      </c>
      <c r="B1641" s="32" t="s">
        <v>1749</v>
      </c>
      <c r="C1641" s="33" t="s">
        <v>24</v>
      </c>
      <c r="D1641" s="34">
        <v>2022</v>
      </c>
      <c r="E1641" s="34" t="s">
        <v>1750</v>
      </c>
      <c r="F1641" s="6">
        <v>8</v>
      </c>
      <c r="G1641" s="6">
        <v>8</v>
      </c>
      <c r="H1641" s="6">
        <v>8</v>
      </c>
      <c r="I1641" s="6"/>
      <c r="J1641" s="6">
        <v>8</v>
      </c>
      <c r="K1641" s="6">
        <v>8</v>
      </c>
      <c r="L1641" s="6">
        <v>8</v>
      </c>
      <c r="M1641" s="6">
        <v>8</v>
      </c>
      <c r="N1641" s="6">
        <v>8</v>
      </c>
      <c r="O1641" s="6">
        <v>8</v>
      </c>
      <c r="P1641" s="6">
        <v>9</v>
      </c>
      <c r="Q1641" s="6">
        <v>8</v>
      </c>
      <c r="R1641" s="6"/>
      <c r="S1641" s="35">
        <f>SUM(F1641:R1641)</f>
        <v>89</v>
      </c>
      <c r="T1641" s="35">
        <f>COUNT(F1641:R1641)</f>
        <v>11</v>
      </c>
      <c r="U1641" s="36">
        <f>IF(T1641&gt;=2,ROUND((IF(T1641=2,0.55,IF(T1641&lt;=4,0.7,IF(T1641&lt;=6,0.8,IF(T1641&lt;=9,0.9,1))))*(S1641/T1641)+(1-(IF(T1641=2,0.55,IF(T1641&lt;=4,0.7,IF(T1641&lt;=6,0.8,IF(T1641&lt;=9,0.9,1))))))*$Y$1),1),"")</f>
        <v>8.1</v>
      </c>
      <c r="V1641" s="37"/>
      <c r="W1641" s="38"/>
    </row>
    <row r="1642" ht="24" customHeight="1" spans="1:23" x14ac:dyDescent="0.25">
      <c r="A1642" s="31">
        <v>739</v>
      </c>
      <c r="B1642" s="32" t="s">
        <v>1749</v>
      </c>
      <c r="C1642" s="33" t="s">
        <v>24</v>
      </c>
      <c r="D1642" s="34">
        <v>2019</v>
      </c>
      <c r="E1642" s="34" t="s">
        <v>30</v>
      </c>
      <c r="F1642" s="6"/>
      <c r="G1642" s="6"/>
      <c r="H1642" s="6"/>
      <c r="I1642" s="6"/>
      <c r="J1642" s="6"/>
      <c r="K1642" s="6">
        <v>8</v>
      </c>
      <c r="L1642" s="6"/>
      <c r="M1642" s="6"/>
      <c r="N1642" s="6"/>
      <c r="O1642" s="6"/>
      <c r="P1642" s="6"/>
      <c r="Q1642" s="6">
        <v>8</v>
      </c>
      <c r="R1642" s="6"/>
      <c r="S1642" s="35">
        <f>SUM(F1642:R1642)</f>
        <v>16</v>
      </c>
      <c r="T1642" s="35">
        <f>COUNT(F1642:R1642)</f>
        <v>2</v>
      </c>
      <c r="U1642" s="36">
        <f>IF(T1642&gt;=2,ROUND((IF(T1642=2,0.55,IF(T1642&lt;=4,0.7,IF(T1642&lt;=6,0.8,IF(T1642&lt;=9,0.9,1))))*(S1642/T1642)+(1-(IF(T1642=2,0.55,IF(T1642&lt;=4,0.7,IF(T1642&lt;=6,0.8,IF(T1642&lt;=9,0.9,1))))))*$Y$1),1),"")</f>
        <v>8</v>
      </c>
      <c r="V1642" s="37">
        <v>5.7</v>
      </c>
      <c r="W1642" s="38"/>
    </row>
    <row r="1643" ht="24" customHeight="1" spans="1:23" x14ac:dyDescent="0.25">
      <c r="A1643" s="31">
        <v>1101</v>
      </c>
      <c r="B1643" s="32" t="s">
        <v>1751</v>
      </c>
      <c r="C1643" s="33" t="s">
        <v>29</v>
      </c>
      <c r="D1643" s="34">
        <v>2021</v>
      </c>
      <c r="E1643" s="34" t="s">
        <v>30</v>
      </c>
      <c r="F1643" s="6"/>
      <c r="G1643" s="6"/>
      <c r="H1643" s="6"/>
      <c r="I1643" s="6"/>
      <c r="J1643" s="6"/>
      <c r="K1643" s="6"/>
      <c r="L1643" s="6">
        <v>8</v>
      </c>
      <c r="M1643" s="6">
        <v>8</v>
      </c>
      <c r="N1643" s="6"/>
      <c r="O1643" s="6"/>
      <c r="P1643" s="6"/>
      <c r="Q1643" s="6"/>
      <c r="R1643" s="6"/>
      <c r="S1643" s="35">
        <f>SUM(F1643:R1643)</f>
        <v>16</v>
      </c>
      <c r="T1643" s="35">
        <f>COUNT(F1643:R1643)</f>
        <v>2</v>
      </c>
      <c r="U1643" s="36">
        <f>IF(T1643&gt;=2,ROUND((IF(T1643=2,0.55,IF(T1643&lt;=4,0.7,IF(T1643&lt;=6,0.8,IF(T1643&lt;=9,0.9,1))))*(S1643/T1643)+(1-(IF(T1643=2,0.55,IF(T1643&lt;=4,0.7,IF(T1643&lt;=6,0.8,IF(T1643&lt;=9,0.9,1))))))*$Y$1),1),"")</f>
        <v>8</v>
      </c>
      <c r="V1643" s="37">
        <v>7.2</v>
      </c>
      <c r="W1643" s="38"/>
    </row>
    <row r="1644" ht="24" customHeight="1" spans="1:23" x14ac:dyDescent="0.25">
      <c r="A1644" s="31">
        <v>806</v>
      </c>
      <c r="B1644" s="32" t="s">
        <v>1752</v>
      </c>
      <c r="C1644" s="33" t="s">
        <v>24</v>
      </c>
      <c r="D1644" s="34">
        <v>2020</v>
      </c>
      <c r="E1644" s="34" t="s">
        <v>30</v>
      </c>
      <c r="F1644" s="6"/>
      <c r="G1644" s="6"/>
      <c r="H1644" s="6"/>
      <c r="I1644" s="6"/>
      <c r="J1644" s="6"/>
      <c r="K1644" s="6"/>
      <c r="L1644" s="6">
        <v>4</v>
      </c>
      <c r="M1644" s="6"/>
      <c r="N1644" s="6"/>
      <c r="O1644" s="6"/>
      <c r="P1644" s="6"/>
      <c r="Q1644" s="6"/>
      <c r="R1644" s="6"/>
      <c r="S1644" s="35">
        <f>SUM(F1644:R1644)</f>
        <v>4</v>
      </c>
      <c r="T1644" s="35">
        <f>COUNT(F1644:R1644)</f>
        <v>1</v>
      </c>
      <c r="U1644" s="36">
        <f>IF(T1644&gt;=2,ROUND((IF(T1644=2,0.55,IF(T1644&lt;=4,0.7,IF(T1644&lt;=6,0.8,IF(T1644&lt;=9,0.9,1))))*(S1644/T1644)+(1-(IF(T1644=2,0.55,IF(T1644&lt;=4,0.7,IF(T1644&lt;=6,0.8,IF(T1644&lt;=9,0.9,1))))))*$Y$1),1),"")</f>
      </c>
      <c r="V1644" s="37">
        <v>6.1</v>
      </c>
      <c r="W1644" s="38"/>
    </row>
    <row r="1645" ht="24" customHeight="1" spans="1:23" x14ac:dyDescent="0.25">
      <c r="A1645" s="31">
        <v>283</v>
      </c>
      <c r="B1645" s="32" t="s">
        <v>1753</v>
      </c>
      <c r="C1645" s="33" t="s">
        <v>24</v>
      </c>
      <c r="D1645" s="34">
        <v>2010</v>
      </c>
      <c r="E1645" s="34" t="s">
        <v>92</v>
      </c>
      <c r="F1645" s="6">
        <v>10</v>
      </c>
      <c r="G1645" s="6">
        <v>8</v>
      </c>
      <c r="H1645" s="6">
        <v>8</v>
      </c>
      <c r="I1645" s="6">
        <v>10</v>
      </c>
      <c r="J1645" s="6">
        <v>10</v>
      </c>
      <c r="K1645" s="6">
        <v>10</v>
      </c>
      <c r="L1645" s="6">
        <v>10</v>
      </c>
      <c r="M1645" s="6">
        <v>10</v>
      </c>
      <c r="N1645" s="6"/>
      <c r="O1645" s="6"/>
      <c r="P1645" s="6">
        <v>8</v>
      </c>
      <c r="Q1645" s="6">
        <v>10</v>
      </c>
      <c r="R1645" s="6">
        <v>8</v>
      </c>
      <c r="S1645" s="35">
        <f>SUM(F1645:R1645)</f>
        <v>102</v>
      </c>
      <c r="T1645" s="35">
        <f>COUNT(F1645:R1645)</f>
        <v>11</v>
      </c>
      <c r="U1645" s="36">
        <f>IF(T1645&gt;=2,ROUND((IF(T1645=2,0.55,IF(T1645&lt;=4,0.7,IF(T1645&lt;=6,0.8,IF(T1645&lt;=9,0.9,1))))*(S1645/T1645)+(1-(IF(T1645=2,0.55,IF(T1645&lt;=4,0.7,IF(T1645&lt;=6,0.8,IF(T1645&lt;=9,0.9,1))))))*$Y$1),1),"")</f>
        <v>9.3</v>
      </c>
      <c r="V1645" s="37">
        <v>8</v>
      </c>
      <c r="W1645" s="38"/>
    </row>
    <row r="1646" ht="47.25" customHeight="1" spans="1:23" x14ac:dyDescent="0.25">
      <c r="A1646" s="31">
        <v>2014</v>
      </c>
      <c r="B1646" s="32" t="s">
        <v>1754</v>
      </c>
      <c r="C1646" s="33" t="s">
        <v>24</v>
      </c>
      <c r="D1646" s="34">
        <v>2001</v>
      </c>
      <c r="E1646" s="34"/>
      <c r="F1646" s="6"/>
      <c r="G1646" s="6"/>
      <c r="H1646" s="6"/>
      <c r="I1646" s="6"/>
      <c r="J1646" s="6"/>
      <c r="K1646" s="6"/>
      <c r="L1646" s="6"/>
      <c r="M1646" s="6"/>
      <c r="N1646" s="6">
        <v>8</v>
      </c>
      <c r="O1646" s="6"/>
      <c r="P1646" s="6"/>
      <c r="Q1646" s="6"/>
      <c r="R1646" s="6"/>
      <c r="S1646" s="35">
        <f>SUM(F1646:R1646)</f>
        <v>8</v>
      </c>
      <c r="T1646" s="35">
        <f>COUNT(F1646:R1646)</f>
        <v>1</v>
      </c>
      <c r="U1646" s="36">
        <f>IF(T1646&gt;=2,ROUND((IF(T1646=2,0.55,IF(T1646&lt;=4,0.7,IF(T1646&lt;=6,0.8,IF(T1646&lt;=9,0.9,1))))*(S1646/T1646)+(1-(IF(T1646=2,0.55,IF(T1646&lt;=4,0.7,IF(T1646&lt;=6,0.8,IF(T1646&lt;=9,0.9,1))))))*$Y$1),1),"")</f>
      </c>
      <c r="V1646" s="37">
        <v>7.5</v>
      </c>
      <c r="W1646" s="38"/>
    </row>
    <row r="1647" ht="24" customHeight="1" spans="1:23" x14ac:dyDescent="0.25">
      <c r="A1647" s="40">
        <v>2304</v>
      </c>
      <c r="B1647" s="32" t="s">
        <v>1755</v>
      </c>
      <c r="C1647" s="33" t="s">
        <v>24</v>
      </c>
      <c r="D1647" s="34">
        <v>2015</v>
      </c>
      <c r="E1647" s="41"/>
      <c r="F1647" s="6"/>
      <c r="G1647" s="6">
        <v>6</v>
      </c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35">
        <f>SUM(F1647:R1647)</f>
        <v>6</v>
      </c>
      <c r="T1647" s="35">
        <f>COUNT(F1647:R1647)</f>
        <v>1</v>
      </c>
      <c r="U1647" s="36">
        <f>IF(T1647&gt;=2,ROUND((IF(T1647=2,0.55,IF(T1647&lt;=4,0.7,IF(T1647&lt;=6,0.8,IF(T1647&lt;=9,0.9,1))))*(S1647/T1647)+(1-(IF(T1647=2,0.55,IF(T1647&lt;=4,0.7,IF(T1647&lt;=6,0.8,IF(T1647&lt;=9,0.9,1))))))*$Y$1),1),"")</f>
      </c>
      <c r="V1647" s="37">
        <v>4.2</v>
      </c>
      <c r="W1647" s="38"/>
    </row>
    <row r="1648" ht="24" customHeight="1" spans="1:23" s="39" customFormat="1" x14ac:dyDescent="0.25">
      <c r="A1648" s="31">
        <v>37</v>
      </c>
      <c r="B1648" s="32" t="s">
        <v>1756</v>
      </c>
      <c r="C1648" s="33" t="s">
        <v>24</v>
      </c>
      <c r="D1648" s="34">
        <v>1988</v>
      </c>
      <c r="E1648" s="34" t="s">
        <v>137</v>
      </c>
      <c r="F1648" s="6">
        <v>10</v>
      </c>
      <c r="G1648" s="6">
        <v>8</v>
      </c>
      <c r="H1648" s="6">
        <v>8</v>
      </c>
      <c r="I1648" s="6">
        <v>10</v>
      </c>
      <c r="J1648" s="6">
        <v>10</v>
      </c>
      <c r="K1648" s="6">
        <v>10</v>
      </c>
      <c r="L1648" s="6">
        <v>10</v>
      </c>
      <c r="M1648" s="6">
        <v>8</v>
      </c>
      <c r="N1648" s="6">
        <v>10</v>
      </c>
      <c r="O1648" s="6">
        <v>10</v>
      </c>
      <c r="P1648" s="6">
        <v>10</v>
      </c>
      <c r="Q1648" s="6">
        <v>10</v>
      </c>
      <c r="R1648" s="6">
        <v>8</v>
      </c>
      <c r="S1648" s="35">
        <f>SUM(F1648:R1648)</f>
        <v>122</v>
      </c>
      <c r="T1648" s="35">
        <f>COUNT(F1648:R1648)</f>
        <v>13</v>
      </c>
      <c r="U1648" s="36">
        <f>IF(T1648&gt;=2,ROUND((IF(T1648=2,0.55,IF(T1648&lt;=4,0.7,IF(T1648&lt;=6,0.8,IF(T1648&lt;=9,0.9,1))))*(S1648/T1648)+(1-(IF(T1648=2,0.55,IF(T1648&lt;=4,0.7,IF(T1648&lt;=6,0.8,IF(T1648&lt;=9,0.9,1))))))*$Y$1),1),"")</f>
        <v>9.4</v>
      </c>
      <c r="V1648" s="37">
        <v>8.5</v>
      </c>
      <c r="W1648" s="38"/>
    </row>
    <row r="1649" ht="24" customHeight="1" spans="1:23" x14ac:dyDescent="0.25">
      <c r="A1649" s="31">
        <v>1901</v>
      </c>
      <c r="B1649" s="32" t="s">
        <v>1757</v>
      </c>
      <c r="C1649" s="33" t="s">
        <v>24</v>
      </c>
      <c r="D1649" s="34">
        <v>2015</v>
      </c>
      <c r="E1649" s="34" t="s">
        <v>25</v>
      </c>
      <c r="F1649" s="6">
        <v>7</v>
      </c>
      <c r="G1649" s="6">
        <v>8</v>
      </c>
      <c r="H1649" s="6"/>
      <c r="I1649" s="6"/>
      <c r="J1649" s="6"/>
      <c r="K1649" s="6"/>
      <c r="L1649" s="6"/>
      <c r="M1649" s="6"/>
      <c r="N1649" s="6"/>
      <c r="O1649" s="6"/>
      <c r="P1649" s="6">
        <v>7</v>
      </c>
      <c r="Q1649" s="6"/>
      <c r="R1649" s="6"/>
      <c r="S1649" s="35">
        <f>SUM(F1649:R1649)</f>
        <v>22</v>
      </c>
      <c r="T1649" s="35">
        <f>COUNT(F1649:R1649)</f>
        <v>3</v>
      </c>
      <c r="U1649" s="36">
        <f>IF(T1649&gt;=2,ROUND((IF(T1649=2,0.55,IF(T1649&lt;=4,0.7,IF(T1649&lt;=6,0.8,IF(T1649&lt;=9,0.9,1))))*(S1649/T1649)+(1-(IF(T1649=2,0.55,IF(T1649&lt;=4,0.7,IF(T1649&lt;=6,0.8,IF(T1649&lt;=9,0.9,1))))))*$Y$1),1),"")</f>
        <v>7.6</v>
      </c>
      <c r="V1649" s="37">
        <v>7.6</v>
      </c>
      <c r="W1649" s="38"/>
    </row>
    <row r="1650" ht="24" customHeight="1" spans="1:23" x14ac:dyDescent="0.25">
      <c r="A1650" s="31">
        <v>2011</v>
      </c>
      <c r="B1650" s="32" t="s">
        <v>1758</v>
      </c>
      <c r="C1650" s="33" t="s">
        <v>29</v>
      </c>
      <c r="D1650" s="34">
        <v>2025</v>
      </c>
      <c r="E1650" s="34"/>
      <c r="F1650" s="6">
        <v>7</v>
      </c>
      <c r="G1650" s="6"/>
      <c r="H1650" s="6"/>
      <c r="I1650" s="6"/>
      <c r="J1650" s="6"/>
      <c r="K1650" s="6">
        <v>8</v>
      </c>
      <c r="L1650" s="6"/>
      <c r="M1650" s="6"/>
      <c r="N1650" s="6"/>
      <c r="O1650" s="6">
        <v>9</v>
      </c>
      <c r="P1650" s="6"/>
      <c r="Q1650" s="6">
        <v>8</v>
      </c>
      <c r="R1650" s="6"/>
      <c r="S1650" s="35">
        <f>SUM(F1650:R1650)</f>
        <v>32</v>
      </c>
      <c r="T1650" s="35">
        <f>COUNT(F1650:R1650)</f>
        <v>4</v>
      </c>
      <c r="U1650" s="36">
        <f>IF(T1650&gt;=2,ROUND((IF(T1650=2,0.55,IF(T1650&lt;=4,0.7,IF(T1650&lt;=6,0.8,IF(T1650&lt;=9,0.9,1))))*(S1650/T1650)+(1-(IF(T1650=2,0.55,IF(T1650&lt;=4,0.7,IF(T1650&lt;=6,0.8,IF(T1650&lt;=9,0.9,1))))))*$Y$1),1),"")</f>
        <v>8</v>
      </c>
      <c r="V1650" s="37">
        <v>6.5</v>
      </c>
      <c r="W1650" s="38"/>
    </row>
    <row r="1651" ht="24" customHeight="1" spans="1:23" x14ac:dyDescent="0.25">
      <c r="A1651" s="31">
        <v>1090</v>
      </c>
      <c r="B1651" s="32" t="s">
        <v>1759</v>
      </c>
      <c r="C1651" s="33" t="s">
        <v>24</v>
      </c>
      <c r="D1651" s="34">
        <v>2001</v>
      </c>
      <c r="E1651" s="34" t="s">
        <v>25</v>
      </c>
      <c r="F1651" s="6"/>
      <c r="G1651" s="6">
        <v>8</v>
      </c>
      <c r="H1651" s="6"/>
      <c r="I1651" s="6"/>
      <c r="J1651" s="6"/>
      <c r="K1651" s="6"/>
      <c r="L1651" s="6"/>
      <c r="M1651" s="6"/>
      <c r="N1651" s="6"/>
      <c r="O1651" s="6"/>
      <c r="P1651" s="6">
        <v>8</v>
      </c>
      <c r="Q1651" s="6"/>
      <c r="R1651" s="6"/>
      <c r="S1651" s="35">
        <f>SUM(F1651:R1651)</f>
        <v>16</v>
      </c>
      <c r="T1651" s="35">
        <f>COUNT(F1651:R1651)</f>
        <v>2</v>
      </c>
      <c r="U1651" s="36">
        <f>IF(T1651&gt;=2,ROUND((IF(T1651=2,0.55,IF(T1651&lt;=4,0.7,IF(T1651&lt;=6,0.8,IF(T1651&lt;=9,0.9,1))))*(S1651/T1651)+(1-(IF(T1651=2,0.55,IF(T1651&lt;=4,0.7,IF(T1651&lt;=6,0.8,IF(T1651&lt;=9,0.9,1))))))*$Y$1),1),"")</f>
        <v>8</v>
      </c>
      <c r="V1651" s="37">
        <v>7.9</v>
      </c>
      <c r="W1651" s="38"/>
    </row>
    <row r="1652" ht="24" customHeight="1" spans="1:23" x14ac:dyDescent="0.25">
      <c r="A1652" s="31">
        <v>1046</v>
      </c>
      <c r="B1652" s="32" t="s">
        <v>1760</v>
      </c>
      <c r="C1652" s="33" t="s">
        <v>24</v>
      </c>
      <c r="D1652" s="34">
        <v>2020</v>
      </c>
      <c r="E1652" s="34" t="s">
        <v>30</v>
      </c>
      <c r="F1652" s="6"/>
      <c r="G1652" s="6"/>
      <c r="H1652" s="6">
        <v>10</v>
      </c>
      <c r="I1652" s="6">
        <v>6</v>
      </c>
      <c r="J1652" s="6">
        <v>8</v>
      </c>
      <c r="K1652" s="6">
        <v>6</v>
      </c>
      <c r="L1652" s="6"/>
      <c r="M1652" s="6">
        <v>8</v>
      </c>
      <c r="N1652" s="6"/>
      <c r="O1652" s="6">
        <v>10</v>
      </c>
      <c r="P1652" s="6"/>
      <c r="Q1652" s="6">
        <v>6</v>
      </c>
      <c r="R1652" s="6"/>
      <c r="S1652" s="35">
        <f>SUM(F1652:R1652)</f>
        <v>54</v>
      </c>
      <c r="T1652" s="35">
        <f>COUNT(F1652:R1652)</f>
        <v>7</v>
      </c>
      <c r="U1652" s="36">
        <f>IF(T1652&gt;=2,ROUND((IF(T1652=2,0.55,IF(T1652&lt;=4,0.7,IF(T1652&lt;=6,0.8,IF(T1652&lt;=9,0.9,1))))*(S1652/T1652)+(1-(IF(T1652=2,0.55,IF(T1652&lt;=4,0.7,IF(T1652&lt;=6,0.8,IF(T1652&lt;=9,0.9,1))))))*$Y$1),1),"")</f>
        <v>7.8</v>
      </c>
      <c r="V1652" s="37">
        <v>7.1</v>
      </c>
      <c r="W1652" s="38"/>
    </row>
    <row r="1653" ht="24" customHeight="1" spans="1:23" x14ac:dyDescent="0.25">
      <c r="A1653" s="31">
        <v>477</v>
      </c>
      <c r="B1653" s="32" t="s">
        <v>1761</v>
      </c>
      <c r="C1653" s="33" t="s">
        <v>24</v>
      </c>
      <c r="D1653" s="34">
        <v>1941</v>
      </c>
      <c r="E1653" s="34" t="s">
        <v>92</v>
      </c>
      <c r="F1653" s="6"/>
      <c r="G1653" s="6">
        <v>8</v>
      </c>
      <c r="H1653" s="6"/>
      <c r="I1653" s="6"/>
      <c r="J1653" s="6"/>
      <c r="K1653" s="6"/>
      <c r="L1653" s="6">
        <v>8</v>
      </c>
      <c r="M1653" s="6">
        <v>8</v>
      </c>
      <c r="N1653" s="6">
        <v>8</v>
      </c>
      <c r="O1653" s="6"/>
      <c r="P1653" s="6">
        <v>8</v>
      </c>
      <c r="Q1653" s="6"/>
      <c r="R1653" s="6"/>
      <c r="S1653" s="35">
        <f>SUM(F1653:R1653)</f>
        <v>40</v>
      </c>
      <c r="T1653" s="35">
        <f>COUNT(F1653:R1653)</f>
        <v>5</v>
      </c>
      <c r="U1653" s="36">
        <f>IF(T1653&gt;=2,ROUND((IF(T1653=2,0.55,IF(T1653&lt;=4,0.7,IF(T1653&lt;=6,0.8,IF(T1653&lt;=9,0.9,1))))*(S1653/T1653)+(1-(IF(T1653=2,0.55,IF(T1653&lt;=4,0.7,IF(T1653&lt;=6,0.8,IF(T1653&lt;=9,0.9,1))))))*$Y$1),1),"")</f>
        <v>8</v>
      </c>
      <c r="V1653" s="37">
        <v>8.2</v>
      </c>
      <c r="W1653" s="38"/>
    </row>
    <row r="1654" ht="24" customHeight="1" spans="1:23" x14ac:dyDescent="0.25">
      <c r="A1654" s="31">
        <v>36</v>
      </c>
      <c r="B1654" s="32" t="s">
        <v>1762</v>
      </c>
      <c r="C1654" s="33" t="s">
        <v>24</v>
      </c>
      <c r="D1654" s="34">
        <v>1989</v>
      </c>
      <c r="E1654" s="34" t="s">
        <v>1763</v>
      </c>
      <c r="F1654" s="6"/>
      <c r="G1654" s="6"/>
      <c r="H1654" s="6"/>
      <c r="I1654" s="6"/>
      <c r="J1654" s="6"/>
      <c r="K1654" s="6">
        <v>10</v>
      </c>
      <c r="L1654" s="6">
        <v>10</v>
      </c>
      <c r="M1654" s="6"/>
      <c r="N1654" s="6"/>
      <c r="O1654" s="6"/>
      <c r="P1654" s="6"/>
      <c r="Q1654" s="6">
        <v>10</v>
      </c>
      <c r="R1654" s="6"/>
      <c r="S1654" s="35">
        <f>SUM(F1654:R1654)</f>
        <v>30</v>
      </c>
      <c r="T1654" s="35">
        <f>COUNT(F1654:R1654)</f>
        <v>3</v>
      </c>
      <c r="U1654" s="36">
        <f>IF(T1654&gt;=2,ROUND((IF(T1654=2,0.55,IF(T1654&lt;=4,0.7,IF(T1654&lt;=6,0.8,IF(T1654&lt;=9,0.9,1))))*(S1654/T1654)+(1-(IF(T1654=2,0.55,IF(T1654&lt;=4,0.7,IF(T1654&lt;=6,0.8,IF(T1654&lt;=9,0.9,1))))))*$Y$1),1),"")</f>
        <v>9.4</v>
      </c>
      <c r="V1654" s="37">
        <v>6.6</v>
      </c>
      <c r="W1654" s="38"/>
    </row>
    <row r="1655" ht="24" customHeight="1" spans="1:23" x14ac:dyDescent="0.25">
      <c r="A1655" s="31">
        <v>1009</v>
      </c>
      <c r="B1655" s="32" t="s">
        <v>1764</v>
      </c>
      <c r="C1655" s="33" t="s">
        <v>24</v>
      </c>
      <c r="D1655" s="34">
        <v>2007</v>
      </c>
      <c r="E1655" s="34" t="s">
        <v>25</v>
      </c>
      <c r="F1655" s="6"/>
      <c r="G1655" s="6">
        <v>8</v>
      </c>
      <c r="H1655" s="6"/>
      <c r="I1655" s="6"/>
      <c r="J1655" s="6"/>
      <c r="K1655" s="6"/>
      <c r="L1655" s="6"/>
      <c r="M1655" s="6"/>
      <c r="N1655" s="6"/>
      <c r="O1655" s="6"/>
      <c r="P1655" s="6">
        <v>6</v>
      </c>
      <c r="Q1655" s="6"/>
      <c r="R1655" s="6"/>
      <c r="S1655" s="35">
        <f>SUM(F1655:R1655)</f>
        <v>14</v>
      </c>
      <c r="T1655" s="35">
        <f>COUNT(F1655:R1655)</f>
        <v>2</v>
      </c>
      <c r="U1655" s="36">
        <f>IF(T1655&gt;=2,ROUND((IF(T1655=2,0.55,IF(T1655&lt;=4,0.7,IF(T1655&lt;=6,0.8,IF(T1655&lt;=9,0.9,1))))*(S1655/T1655)+(1-(IF(T1655=2,0.55,IF(T1655&lt;=4,0.7,IF(T1655&lt;=6,0.8,IF(T1655&lt;=9,0.9,1))))))*$Y$1),1),"")</f>
        <v>7.5</v>
      </c>
      <c r="V1655" s="37">
        <v>7.8</v>
      </c>
      <c r="W1655" s="38"/>
    </row>
    <row r="1656" ht="24" customHeight="1" spans="1:23" x14ac:dyDescent="0.25">
      <c r="A1656" s="31">
        <v>262</v>
      </c>
      <c r="B1656" s="32" t="s">
        <v>1765</v>
      </c>
      <c r="C1656" s="33" t="s">
        <v>24</v>
      </c>
      <c r="D1656" s="34">
        <v>2000</v>
      </c>
      <c r="E1656" s="34" t="s">
        <v>1505</v>
      </c>
      <c r="F1656" s="6">
        <v>10</v>
      </c>
      <c r="G1656" s="6">
        <v>8</v>
      </c>
      <c r="H1656" s="6">
        <v>8</v>
      </c>
      <c r="I1656" s="6">
        <v>10</v>
      </c>
      <c r="J1656" s="6">
        <v>8</v>
      </c>
      <c r="K1656" s="6">
        <v>10</v>
      </c>
      <c r="L1656" s="6">
        <v>10</v>
      </c>
      <c r="M1656" s="6">
        <v>8</v>
      </c>
      <c r="N1656" s="6"/>
      <c r="O1656" s="6">
        <v>8</v>
      </c>
      <c r="P1656" s="6">
        <v>10</v>
      </c>
      <c r="Q1656" s="6">
        <v>10</v>
      </c>
      <c r="R1656" s="6">
        <v>10</v>
      </c>
      <c r="S1656" s="35">
        <f>SUM(F1656:R1656)</f>
        <v>110</v>
      </c>
      <c r="T1656" s="35">
        <f>COUNT(F1656:R1656)</f>
        <v>12</v>
      </c>
      <c r="U1656" s="36">
        <f>IF(T1656&gt;=2,ROUND((IF(T1656=2,0.55,IF(T1656&lt;=4,0.7,IF(T1656&lt;=6,0.8,IF(T1656&lt;=9,0.9,1))))*(S1656/T1656)+(1-(IF(T1656=2,0.55,IF(T1656&lt;=4,0.7,IF(T1656&lt;=6,0.8,IF(T1656&lt;=9,0.9,1))))))*$Y$1),1),"")</f>
        <v>9.2</v>
      </c>
      <c r="V1656" s="37">
        <v>7.2</v>
      </c>
      <c r="W1656" s="38"/>
    </row>
    <row r="1657" ht="24" customHeight="1" spans="1:23" x14ac:dyDescent="0.25">
      <c r="A1657" s="47">
        <v>1087</v>
      </c>
      <c r="B1657" s="32" t="s">
        <v>1766</v>
      </c>
      <c r="C1657" s="48" t="s">
        <v>24</v>
      </c>
      <c r="D1657" s="49">
        <v>2016</v>
      </c>
      <c r="E1657" s="49" t="s">
        <v>69</v>
      </c>
      <c r="F1657" s="6">
        <v>8</v>
      </c>
      <c r="G1657" s="6"/>
      <c r="H1657" s="6">
        <v>8</v>
      </c>
      <c r="I1657" s="6"/>
      <c r="J1657" s="6"/>
      <c r="K1657" s="6">
        <v>8</v>
      </c>
      <c r="L1657" s="6">
        <v>8</v>
      </c>
      <c r="M1657" s="6">
        <v>10</v>
      </c>
      <c r="N1657" s="6">
        <v>10</v>
      </c>
      <c r="O1657" s="6"/>
      <c r="P1657" s="6">
        <v>8</v>
      </c>
      <c r="Q1657" s="6">
        <v>8</v>
      </c>
      <c r="R1657" s="6"/>
      <c r="S1657" s="35">
        <f>SUM(F1657:R1657)</f>
        <v>68</v>
      </c>
      <c r="T1657" s="35">
        <f>COUNT(F1657:R1657)</f>
        <v>8</v>
      </c>
      <c r="U1657" s="36">
        <f>IF(T1657&gt;=2,ROUND((IF(T1657=2,0.55,IF(T1657&lt;=4,0.7,IF(T1657&lt;=6,0.8,IF(T1657&lt;=9,0.9,1))))*(S1657/T1657)+(1-(IF(T1657=2,0.55,IF(T1657&lt;=4,0.7,IF(T1657&lt;=6,0.8,IF(T1657&lt;=9,0.9,1))))))*$Y$1),1),"")</f>
        <v>8.5</v>
      </c>
      <c r="V1657" s="37">
        <v>7</v>
      </c>
      <c r="W1657" s="38" t="s">
        <v>44</v>
      </c>
    </row>
    <row r="1658" ht="24" customHeight="1" spans="1:23" x14ac:dyDescent="0.25">
      <c r="A1658" s="31">
        <v>1229</v>
      </c>
      <c r="B1658" s="32" t="s">
        <v>1767</v>
      </c>
      <c r="C1658" s="33" t="s">
        <v>24</v>
      </c>
      <c r="D1658" s="34">
        <v>2015</v>
      </c>
      <c r="E1658" s="34" t="s">
        <v>30</v>
      </c>
      <c r="F1658" s="6"/>
      <c r="G1658" s="6"/>
      <c r="H1658" s="6"/>
      <c r="I1658" s="6"/>
      <c r="J1658" s="6"/>
      <c r="K1658" s="6">
        <v>10</v>
      </c>
      <c r="L1658" s="6"/>
      <c r="M1658" s="6"/>
      <c r="N1658" s="6"/>
      <c r="O1658" s="6"/>
      <c r="P1658" s="6"/>
      <c r="Q1658" s="6">
        <v>10</v>
      </c>
      <c r="R1658" s="6">
        <v>10</v>
      </c>
      <c r="S1658" s="35">
        <f>SUM(F1658:R1658)</f>
        <v>30</v>
      </c>
      <c r="T1658" s="35">
        <f>COUNT(F1658:R1658)</f>
        <v>3</v>
      </c>
      <c r="U1658" s="36">
        <f>IF(T1658&gt;=2,ROUND((IF(T1658=2,0.55,IF(T1658&lt;=4,0.7,IF(T1658&lt;=6,0.8,IF(T1658&lt;=9,0.9,1))))*(S1658/T1658)+(1-(IF(T1658=2,0.55,IF(T1658&lt;=4,0.7,IF(T1658&lt;=6,0.8,IF(T1658&lt;=9,0.9,1))))))*$Y$1),1),"")</f>
        <v>9.4</v>
      </c>
      <c r="V1658" s="37">
        <v>7.8</v>
      </c>
      <c r="W1658" s="38"/>
    </row>
    <row r="1659" ht="24" customHeight="1" spans="1:23" x14ac:dyDescent="0.25">
      <c r="A1659" s="31">
        <v>247</v>
      </c>
      <c r="B1659" s="32" t="s">
        <v>1768</v>
      </c>
      <c r="C1659" s="33" t="s">
        <v>24</v>
      </c>
      <c r="D1659" s="34">
        <v>2002</v>
      </c>
      <c r="E1659" s="34" t="s">
        <v>92</v>
      </c>
      <c r="F1659" s="6">
        <v>6</v>
      </c>
      <c r="G1659" s="6">
        <v>7</v>
      </c>
      <c r="H1659" s="6"/>
      <c r="I1659" s="6"/>
      <c r="J1659" s="6"/>
      <c r="K1659" s="6">
        <v>8</v>
      </c>
      <c r="L1659" s="6">
        <v>8</v>
      </c>
      <c r="M1659" s="6"/>
      <c r="N1659" s="6"/>
      <c r="O1659" s="6"/>
      <c r="P1659" s="6">
        <v>6</v>
      </c>
      <c r="Q1659" s="6">
        <v>8</v>
      </c>
      <c r="R1659" s="6"/>
      <c r="S1659" s="35">
        <f>SUM(F1659:R1659)</f>
        <v>43</v>
      </c>
      <c r="T1659" s="35">
        <f>COUNT(F1659:R1659)</f>
        <v>6</v>
      </c>
      <c r="U1659" s="36">
        <f>IF(T1659&gt;=2,ROUND((IF(T1659=2,0.55,IF(T1659&lt;=4,0.7,IF(T1659&lt;=6,0.8,IF(T1659&lt;=9,0.9,1))))*(S1659/T1659)+(1-(IF(T1659=2,0.55,IF(T1659&lt;=4,0.7,IF(T1659&lt;=6,0.8,IF(T1659&lt;=9,0.9,1))))))*$Y$1),1),"")</f>
        <v>7.4</v>
      </c>
      <c r="V1659" s="37">
        <v>7.2</v>
      </c>
      <c r="W1659" s="38"/>
    </row>
    <row r="1660" ht="24" customHeight="1" spans="1:23" x14ac:dyDescent="0.25">
      <c r="A1660" s="31">
        <v>1288</v>
      </c>
      <c r="B1660" s="32" t="s">
        <v>1769</v>
      </c>
      <c r="C1660" s="33" t="s">
        <v>29</v>
      </c>
      <c r="D1660" s="34">
        <v>2019</v>
      </c>
      <c r="E1660" s="34" t="s">
        <v>106</v>
      </c>
      <c r="F1660" s="6">
        <v>9</v>
      </c>
      <c r="G1660" s="6">
        <v>10</v>
      </c>
      <c r="H1660" s="6"/>
      <c r="I1660" s="6"/>
      <c r="J1660" s="6"/>
      <c r="K1660" s="6">
        <v>10</v>
      </c>
      <c r="L1660" s="6">
        <v>10</v>
      </c>
      <c r="M1660" s="6"/>
      <c r="N1660" s="6"/>
      <c r="O1660" s="6"/>
      <c r="P1660" s="6"/>
      <c r="Q1660" s="6">
        <v>10</v>
      </c>
      <c r="R1660" s="6"/>
      <c r="S1660" s="35">
        <f>SUM(F1660:R1660)</f>
        <v>49</v>
      </c>
      <c r="T1660" s="35">
        <f>COUNT(F1660:R1660)</f>
        <v>5</v>
      </c>
      <c r="U1660" s="36">
        <f>IF(T1660&gt;=2,ROUND((IF(T1660=2,0.55,IF(T1660&lt;=4,0.7,IF(T1660&lt;=6,0.8,IF(T1660&lt;=9,0.9,1))))*(S1660/T1660)+(1-(IF(T1660=2,0.55,IF(T1660&lt;=4,0.7,IF(T1660&lt;=6,0.8,IF(T1660&lt;=9,0.9,1))))))*$Y$1),1),"")</f>
        <v>9.5</v>
      </c>
      <c r="V1660" s="37">
        <v>9.3</v>
      </c>
      <c r="W1660" s="38"/>
    </row>
    <row r="1661" ht="24" customHeight="1" spans="1:23" x14ac:dyDescent="0.25">
      <c r="A1661" s="40">
        <v>2198</v>
      </c>
      <c r="B1661" s="32" t="s">
        <v>1770</v>
      </c>
      <c r="C1661" s="33" t="s">
        <v>24</v>
      </c>
      <c r="D1661" s="34">
        <v>2007</v>
      </c>
      <c r="E1661" s="41"/>
      <c r="F1661" s="6"/>
      <c r="G1661" s="6">
        <v>7</v>
      </c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35">
        <f>SUM(F1661:R1661)</f>
        <v>7</v>
      </c>
      <c r="T1661" s="35">
        <f>COUNT(F1661:R1661)</f>
        <v>1</v>
      </c>
      <c r="U1661" s="36">
        <f>IF(T1661&gt;=2,ROUND((IF(T1661=2,0.55,IF(T1661&lt;=4,0.7,IF(T1661&lt;=6,0.8,IF(T1661&lt;=9,0.9,1))))*(S1661/T1661)+(1-(IF(T1661=2,0.55,IF(T1661&lt;=4,0.7,IF(T1661&lt;=6,0.8,IF(T1661&lt;=9,0.9,1))))))*$Y$1),1),"")</f>
      </c>
      <c r="V1661" s="37">
        <v>7.2</v>
      </c>
      <c r="W1661" s="38"/>
    </row>
    <row r="1662" ht="24" customHeight="1" spans="1:23" x14ac:dyDescent="0.25">
      <c r="A1662" s="31">
        <v>35</v>
      </c>
      <c r="B1662" s="32" t="s">
        <v>1771</v>
      </c>
      <c r="C1662" s="33" t="s">
        <v>29</v>
      </c>
      <c r="D1662" s="34">
        <v>2019</v>
      </c>
      <c r="E1662" s="34" t="s">
        <v>30</v>
      </c>
      <c r="F1662" s="6"/>
      <c r="G1662" s="6"/>
      <c r="H1662" s="6">
        <v>8</v>
      </c>
      <c r="I1662" s="6"/>
      <c r="J1662" s="6">
        <v>8</v>
      </c>
      <c r="K1662" s="6">
        <v>10</v>
      </c>
      <c r="L1662" s="6">
        <v>10</v>
      </c>
      <c r="M1662" s="6"/>
      <c r="N1662" s="6"/>
      <c r="O1662" s="6"/>
      <c r="P1662" s="6"/>
      <c r="Q1662" s="6">
        <v>10</v>
      </c>
      <c r="R1662" s="6"/>
      <c r="S1662" s="35">
        <f>SUM(F1662:R1662)</f>
        <v>46</v>
      </c>
      <c r="T1662" s="35">
        <f>COUNT(F1662:R1662)</f>
        <v>5</v>
      </c>
      <c r="U1662" s="36">
        <f>IF(T1662&gt;=2,ROUND((IF(T1662=2,0.55,IF(T1662&lt;=4,0.7,IF(T1662&lt;=6,0.8,IF(T1662&lt;=9,0.9,1))))*(S1662/T1662)+(1-(IF(T1662=2,0.55,IF(T1662&lt;=4,0.7,IF(T1662&lt;=6,0.8,IF(T1662&lt;=9,0.9,1))))))*$Y$1),1),"")</f>
        <v>9</v>
      </c>
      <c r="V1662" s="37">
        <v>7.6</v>
      </c>
      <c r="W1662" s="38"/>
    </row>
    <row r="1663" ht="24" customHeight="1" spans="1:23" x14ac:dyDescent="0.25">
      <c r="A1663" s="31">
        <v>1208</v>
      </c>
      <c r="B1663" s="32" t="s">
        <v>1772</v>
      </c>
      <c r="C1663" s="33" t="s">
        <v>24</v>
      </c>
      <c r="D1663" s="34">
        <v>2004</v>
      </c>
      <c r="E1663" s="34" t="s">
        <v>30</v>
      </c>
      <c r="F1663" s="6">
        <v>8</v>
      </c>
      <c r="G1663" s="6"/>
      <c r="H1663" s="6">
        <v>8</v>
      </c>
      <c r="I1663" s="6"/>
      <c r="J1663" s="6">
        <v>8</v>
      </c>
      <c r="K1663" s="6"/>
      <c r="L1663" s="6">
        <v>8</v>
      </c>
      <c r="M1663" s="6"/>
      <c r="N1663" s="6"/>
      <c r="O1663" s="6">
        <v>8</v>
      </c>
      <c r="P1663" s="6"/>
      <c r="Q1663" s="6"/>
      <c r="R1663" s="6"/>
      <c r="S1663" s="35">
        <f>SUM(F1663:R1663)</f>
        <v>40</v>
      </c>
      <c r="T1663" s="35">
        <f>COUNT(F1663:R1663)</f>
        <v>5</v>
      </c>
      <c r="U1663" s="36">
        <f>IF(T1663&gt;=2,ROUND((IF(T1663=2,0.55,IF(T1663&lt;=4,0.7,IF(T1663&lt;=6,0.8,IF(T1663&lt;=9,0.9,1))))*(S1663/T1663)+(1-(IF(T1663=2,0.55,IF(T1663&lt;=4,0.7,IF(T1663&lt;=6,0.8,IF(T1663&lt;=9,0.9,1))))))*$Y$1),1),"")</f>
        <v>8</v>
      </c>
      <c r="V1663" s="37">
        <v>7.7</v>
      </c>
      <c r="W1663" s="38"/>
    </row>
    <row r="1664" ht="24" customHeight="1" spans="1:23" x14ac:dyDescent="0.25">
      <c r="A1664" s="40">
        <v>2283</v>
      </c>
      <c r="B1664" s="32" t="s">
        <v>1773</v>
      </c>
      <c r="C1664" s="33" t="s">
        <v>24</v>
      </c>
      <c r="D1664" s="34">
        <v>2012</v>
      </c>
      <c r="E1664" s="41"/>
      <c r="F1664" s="6"/>
      <c r="G1664" s="6">
        <v>8</v>
      </c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35">
        <f>SUM(F1664:R1664)</f>
        <v>8</v>
      </c>
      <c r="T1664" s="35">
        <f>COUNT(F1664:R1664)</f>
        <v>1</v>
      </c>
      <c r="U1664" s="36">
        <f>IF(T1664&gt;=2,ROUND((IF(T1664=2,0.55,IF(T1664&lt;=4,0.7,IF(T1664&lt;=6,0.8,IF(T1664&lt;=9,0.9,1))))*(S1664/T1664)+(1-(IF(T1664=2,0.55,IF(T1664&lt;=4,0.7,IF(T1664&lt;=6,0.8,IF(T1664&lt;=9,0.9,1))))))*$Y$1),1),"")</f>
      </c>
      <c r="V1664" s="37">
        <v>7.3</v>
      </c>
      <c r="W1664" s="38"/>
    </row>
    <row r="1665" ht="24" customHeight="1" spans="1:23" x14ac:dyDescent="0.25">
      <c r="A1665" s="31">
        <v>678</v>
      </c>
      <c r="B1665" s="32" t="s">
        <v>1774</v>
      </c>
      <c r="C1665" s="33" t="s">
        <v>24</v>
      </c>
      <c r="D1665" s="34">
        <v>1998</v>
      </c>
      <c r="E1665" s="34" t="s">
        <v>43</v>
      </c>
      <c r="F1665" s="6">
        <v>10</v>
      </c>
      <c r="G1665" s="6">
        <v>10</v>
      </c>
      <c r="H1665" s="6">
        <v>8</v>
      </c>
      <c r="I1665" s="6">
        <v>10</v>
      </c>
      <c r="J1665" s="6">
        <v>10</v>
      </c>
      <c r="K1665" s="6">
        <v>10</v>
      </c>
      <c r="L1665" s="6">
        <v>8</v>
      </c>
      <c r="M1665" s="6">
        <v>8</v>
      </c>
      <c r="N1665" s="6">
        <v>10</v>
      </c>
      <c r="O1665" s="6"/>
      <c r="P1665" s="6">
        <v>10</v>
      </c>
      <c r="Q1665" s="6">
        <v>10</v>
      </c>
      <c r="R1665" s="6"/>
      <c r="S1665" s="35">
        <f>SUM(F1665:R1665)</f>
        <v>104</v>
      </c>
      <c r="T1665" s="35">
        <f>COUNT(F1665:R1665)</f>
        <v>11</v>
      </c>
      <c r="U1665" s="36">
        <f>IF(T1665&gt;=2,ROUND((IF(T1665=2,0.55,IF(T1665&lt;=4,0.7,IF(T1665&lt;=6,0.8,IF(T1665&lt;=9,0.9,1))))*(S1665/T1665)+(1-(IF(T1665=2,0.55,IF(T1665&lt;=4,0.7,IF(T1665&lt;=6,0.8,IF(T1665&lt;=9,0.9,1))))))*$Y$1),1),"")</f>
        <v>9.5</v>
      </c>
      <c r="V1665" s="37">
        <v>8</v>
      </c>
      <c r="W1665" s="38"/>
    </row>
    <row r="1666" ht="24" customHeight="1" spans="1:23" x14ac:dyDescent="0.25">
      <c r="A1666" s="51">
        <v>2346</v>
      </c>
      <c r="B1666" s="32" t="s">
        <v>1775</v>
      </c>
      <c r="C1666" s="48" t="s">
        <v>29</v>
      </c>
      <c r="D1666" s="49">
        <v>2021</v>
      </c>
      <c r="E1666" s="52"/>
      <c r="F1666" s="6">
        <v>8</v>
      </c>
      <c r="G1666" s="6">
        <v>7</v>
      </c>
      <c r="H1666" s="6">
        <v>8</v>
      </c>
      <c r="I1666" s="6"/>
      <c r="J1666" s="6">
        <v>8</v>
      </c>
      <c r="K1666" s="6"/>
      <c r="L1666" s="6">
        <v>8</v>
      </c>
      <c r="M1666" s="6">
        <v>8</v>
      </c>
      <c r="N1666" s="6">
        <v>8</v>
      </c>
      <c r="O1666" s="6">
        <v>8</v>
      </c>
      <c r="P1666" s="6">
        <v>8</v>
      </c>
      <c r="Q1666" s="6"/>
      <c r="R1666" s="6">
        <v>8</v>
      </c>
      <c r="S1666" s="35">
        <f>SUM(F1666:R1666)</f>
        <v>79</v>
      </c>
      <c r="T1666" s="35">
        <f>COUNT(F1666:R1666)</f>
        <v>10</v>
      </c>
      <c r="U1666" s="36">
        <f>IF(T1666&gt;=2,ROUND((IF(T1666=2,0.55,IF(T1666&lt;=4,0.7,IF(T1666&lt;=6,0.8,IF(T1666&lt;=9,0.9,1))))*(S1666/T1666)+(1-(IF(T1666=2,0.55,IF(T1666&lt;=4,0.7,IF(T1666&lt;=6,0.8,IF(T1666&lt;=9,0.9,1))))))*$Y$1),1),"")</f>
        <v>7.9</v>
      </c>
      <c r="V1666" s="37">
        <v>8</v>
      </c>
      <c r="W1666" s="38" t="s">
        <v>44</v>
      </c>
    </row>
    <row r="1667" ht="24" customHeight="1" spans="1:23" x14ac:dyDescent="0.25">
      <c r="A1667" s="31">
        <v>1942</v>
      </c>
      <c r="B1667" s="32" t="s">
        <v>1776</v>
      </c>
      <c r="C1667" s="33" t="s">
        <v>29</v>
      </c>
      <c r="D1667" s="34">
        <v>2024</v>
      </c>
      <c r="E1667" s="34" t="s">
        <v>30</v>
      </c>
      <c r="F1667" s="6">
        <v>9</v>
      </c>
      <c r="G1667" s="6"/>
      <c r="H1667" s="6">
        <v>8</v>
      </c>
      <c r="I1667" s="6"/>
      <c r="J1667" s="6"/>
      <c r="K1667" s="6">
        <v>8</v>
      </c>
      <c r="L1667" s="6">
        <v>10</v>
      </c>
      <c r="M1667" s="6"/>
      <c r="N1667" s="6">
        <v>8</v>
      </c>
      <c r="O1667" s="6"/>
      <c r="P1667" s="6"/>
      <c r="Q1667" s="6">
        <v>8</v>
      </c>
      <c r="R1667" s="6"/>
      <c r="S1667" s="35">
        <f>SUM(F1667:R1667)</f>
        <v>51</v>
      </c>
      <c r="T1667" s="35">
        <f>COUNT(F1667:R1667)</f>
        <v>6</v>
      </c>
      <c r="U1667" s="36">
        <f>IF(T1667&gt;=2,ROUND((IF(T1667=2,0.55,IF(T1667&lt;=4,0.7,IF(T1667&lt;=6,0.8,IF(T1667&lt;=9,0.9,1))))*(S1667/T1667)+(1-(IF(T1667=2,0.55,IF(T1667&lt;=4,0.7,IF(T1667&lt;=6,0.8,IF(T1667&lt;=9,0.9,1))))))*$Y$1),1),"")</f>
        <v>8.4</v>
      </c>
      <c r="V1667" s="37">
        <v>8.3</v>
      </c>
      <c r="W1667" s="38"/>
    </row>
    <row r="1668" ht="24" customHeight="1" spans="1:23" x14ac:dyDescent="0.25">
      <c r="A1668" s="40">
        <v>2269</v>
      </c>
      <c r="B1668" s="32" t="s">
        <v>1777</v>
      </c>
      <c r="C1668" s="33" t="s">
        <v>24</v>
      </c>
      <c r="D1668" s="34">
        <v>2011</v>
      </c>
      <c r="E1668" s="41"/>
      <c r="F1668" s="6"/>
      <c r="G1668" s="6">
        <v>7</v>
      </c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35">
        <f>SUM(F1668:R1668)</f>
        <v>7</v>
      </c>
      <c r="T1668" s="35">
        <f>COUNT(F1668:R1668)</f>
        <v>1</v>
      </c>
      <c r="U1668" s="36">
        <f>IF(T1668&gt;=2,ROUND((IF(T1668=2,0.55,IF(T1668&lt;=4,0.7,IF(T1668&lt;=6,0.8,IF(T1668&lt;=9,0.9,1))))*(S1668/T1668)+(1-(IF(T1668=2,0.55,IF(T1668&lt;=4,0.7,IF(T1668&lt;=6,0.8,IF(T1668&lt;=9,0.9,1))))))*$Y$1),1),"")</f>
      </c>
      <c r="V1668" s="37">
        <v>7.2</v>
      </c>
      <c r="W1668" s="38"/>
    </row>
    <row r="1669" ht="24" customHeight="1" spans="1:23" x14ac:dyDescent="0.25">
      <c r="A1669" s="31">
        <v>1465</v>
      </c>
      <c r="B1669" s="32" t="s">
        <v>1778</v>
      </c>
      <c r="C1669" s="33" t="s">
        <v>29</v>
      </c>
      <c r="D1669" s="34">
        <v>2019</v>
      </c>
      <c r="E1669" s="34" t="s">
        <v>69</v>
      </c>
      <c r="F1669" s="6">
        <v>7</v>
      </c>
      <c r="G1669" s="6"/>
      <c r="H1669" s="6">
        <v>8</v>
      </c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35">
        <f>SUM(F1669:R1669)</f>
        <v>15</v>
      </c>
      <c r="T1669" s="35">
        <f>COUNT(F1669:R1669)</f>
        <v>2</v>
      </c>
      <c r="U1669" s="36">
        <f>IF(T1669&gt;=2,ROUND((IF(T1669=2,0.55,IF(T1669&lt;=4,0.7,IF(T1669&lt;=6,0.8,IF(T1669&lt;=9,0.9,1))))*(S1669/T1669)+(1-(IF(T1669=2,0.55,IF(T1669&lt;=4,0.7,IF(T1669&lt;=6,0.8,IF(T1669&lt;=9,0.9,1))))))*$Y$1),1),"")</f>
        <v>7.8</v>
      </c>
      <c r="V1669" s="37">
        <v>6.2</v>
      </c>
      <c r="W1669" s="38"/>
    </row>
    <row r="1670" ht="24" customHeight="1" spans="1:23" x14ac:dyDescent="0.25">
      <c r="A1670" s="40">
        <v>2340</v>
      </c>
      <c r="B1670" s="32" t="s">
        <v>1779</v>
      </c>
      <c r="C1670" s="33" t="s">
        <v>29</v>
      </c>
      <c r="D1670" s="34">
        <v>2025</v>
      </c>
      <c r="E1670" s="41"/>
      <c r="F1670" s="6"/>
      <c r="G1670" s="6"/>
      <c r="H1670" s="6"/>
      <c r="I1670" s="6"/>
      <c r="J1670" s="6"/>
      <c r="K1670" s="6"/>
      <c r="L1670" s="6"/>
      <c r="M1670" s="6">
        <v>8</v>
      </c>
      <c r="N1670" s="6"/>
      <c r="O1670" s="6"/>
      <c r="P1670" s="6"/>
      <c r="Q1670" s="6"/>
      <c r="R1670" s="6"/>
      <c r="S1670" s="35">
        <f>SUM(F1670:R1670)</f>
        <v>8</v>
      </c>
      <c r="T1670" s="35">
        <f>COUNT(F1670:R1670)</f>
        <v>1</v>
      </c>
      <c r="U1670" s="36">
        <f>IF(T1670&gt;=2,ROUND((IF(T1670=2,0.55,IF(T1670&lt;=4,0.7,IF(T1670&lt;=6,0.8,IF(T1670&lt;=9,0.9,1))))*(S1670/T1670)+(1-(IF(T1670=2,0.55,IF(T1670&lt;=4,0.7,IF(T1670&lt;=6,0.8,IF(T1670&lt;=9,0.9,1))))))*$Y$1),1),"")</f>
      </c>
      <c r="V1670" s="37">
        <v>7.6</v>
      </c>
      <c r="W1670" s="38"/>
    </row>
    <row r="1671" ht="24" customHeight="1" spans="1:23" x14ac:dyDescent="0.25">
      <c r="A1671" s="31">
        <v>1388</v>
      </c>
      <c r="B1671" s="32" t="s">
        <v>1780</v>
      </c>
      <c r="C1671" s="33" t="s">
        <v>24</v>
      </c>
      <c r="D1671" s="34">
        <v>2017</v>
      </c>
      <c r="E1671" s="34" t="s">
        <v>30</v>
      </c>
      <c r="F1671" s="6">
        <v>7</v>
      </c>
      <c r="G1671" s="6"/>
      <c r="H1671" s="6"/>
      <c r="I1671" s="6"/>
      <c r="J1671" s="6"/>
      <c r="K1671" s="6"/>
      <c r="L1671" s="6"/>
      <c r="M1671" s="6"/>
      <c r="N1671" s="6">
        <v>8</v>
      </c>
      <c r="O1671" s="6"/>
      <c r="P1671" s="6"/>
      <c r="Q1671" s="6"/>
      <c r="R1671" s="6"/>
      <c r="S1671" s="35">
        <f>SUM(F1671:R1671)</f>
        <v>15</v>
      </c>
      <c r="T1671" s="35">
        <f>COUNT(F1671:R1671)</f>
        <v>2</v>
      </c>
      <c r="U1671" s="36">
        <f>IF(T1671&gt;=2,ROUND((IF(T1671=2,0.55,IF(T1671&lt;=4,0.7,IF(T1671&lt;=6,0.8,IF(T1671&lt;=9,0.9,1))))*(S1671/T1671)+(1-(IF(T1671=2,0.55,IF(T1671&lt;=4,0.7,IF(T1671&lt;=6,0.8,IF(T1671&lt;=9,0.9,1))))))*$Y$1),1),"")</f>
        <v>7.8</v>
      </c>
      <c r="V1671" s="37">
        <v>6.3</v>
      </c>
      <c r="W1671" s="38"/>
    </row>
    <row r="1672" ht="24" customHeight="1" spans="1:23" x14ac:dyDescent="0.25">
      <c r="A1672" s="31">
        <v>688</v>
      </c>
      <c r="B1672" s="32" t="s">
        <v>1781</v>
      </c>
      <c r="C1672" s="33" t="s">
        <v>24</v>
      </c>
      <c r="D1672" s="34">
        <v>2009</v>
      </c>
      <c r="E1672" s="34" t="s">
        <v>118</v>
      </c>
      <c r="F1672" s="6"/>
      <c r="G1672" s="6"/>
      <c r="H1672" s="6"/>
      <c r="I1672" s="6"/>
      <c r="J1672" s="6"/>
      <c r="K1672" s="6"/>
      <c r="L1672" s="6">
        <v>8</v>
      </c>
      <c r="M1672" s="6"/>
      <c r="N1672" s="6"/>
      <c r="O1672" s="6"/>
      <c r="P1672" s="6"/>
      <c r="Q1672" s="6"/>
      <c r="R1672" s="6"/>
      <c r="S1672" s="35">
        <f>SUM(F1672:R1672)</f>
        <v>8</v>
      </c>
      <c r="T1672" s="35">
        <f>COUNT(F1672:R1672)</f>
        <v>1</v>
      </c>
      <c r="U1672" s="36">
        <f>IF(T1672&gt;=2,ROUND((IF(T1672=2,0.55,IF(T1672&lt;=4,0.7,IF(T1672&lt;=6,0.8,IF(T1672&lt;=9,0.9,1))))*(S1672/T1672)+(1-(IF(T1672=2,0.55,IF(T1672&lt;=4,0.7,IF(T1672&lt;=6,0.8,IF(T1672&lt;=9,0.9,1))))))*$Y$1),1),"")</f>
      </c>
      <c r="V1672" s="37">
        <v>6.2</v>
      </c>
      <c r="W1672" s="38"/>
    </row>
    <row r="1673" ht="24" customHeight="1" spans="1:23" x14ac:dyDescent="0.25">
      <c r="A1673" s="31">
        <v>218</v>
      </c>
      <c r="B1673" s="32" t="s">
        <v>1782</v>
      </c>
      <c r="C1673" s="33" t="s">
        <v>24</v>
      </c>
      <c r="D1673" s="34">
        <v>1942</v>
      </c>
      <c r="E1673" s="34" t="s">
        <v>92</v>
      </c>
      <c r="F1673" s="6">
        <v>10</v>
      </c>
      <c r="G1673" s="6">
        <v>10</v>
      </c>
      <c r="H1673" s="6">
        <v>10</v>
      </c>
      <c r="I1673" s="6">
        <v>10</v>
      </c>
      <c r="J1673" s="6">
        <v>10</v>
      </c>
      <c r="K1673" s="6">
        <v>10</v>
      </c>
      <c r="L1673" s="6">
        <v>10</v>
      </c>
      <c r="M1673" s="6">
        <v>8</v>
      </c>
      <c r="N1673" s="6">
        <v>10</v>
      </c>
      <c r="O1673" s="6">
        <v>8</v>
      </c>
      <c r="P1673" s="6">
        <v>10</v>
      </c>
      <c r="Q1673" s="6">
        <v>10</v>
      </c>
      <c r="R1673" s="6">
        <v>8</v>
      </c>
      <c r="S1673" s="35">
        <f>SUM(F1673:R1673)</f>
        <v>124</v>
      </c>
      <c r="T1673" s="35">
        <f>COUNT(F1673:R1673)</f>
        <v>13</v>
      </c>
      <c r="U1673" s="36">
        <f>IF(T1673&gt;=2,ROUND((IF(T1673=2,0.55,IF(T1673&lt;=4,0.7,IF(T1673&lt;=6,0.8,IF(T1673&lt;=9,0.9,1))))*(S1673/T1673)+(1-(IF(T1673=2,0.55,IF(T1673&lt;=4,0.7,IF(T1673&lt;=6,0.8,IF(T1673&lt;=9,0.9,1))))))*$Y$1),1),"")</f>
        <v>9.5</v>
      </c>
      <c r="V1673" s="37">
        <v>8.5</v>
      </c>
      <c r="W1673" s="38"/>
    </row>
    <row r="1674" ht="24" customHeight="1" spans="1:23" x14ac:dyDescent="0.25">
      <c r="A1674" s="31">
        <v>1089</v>
      </c>
      <c r="B1674" s="32" t="s">
        <v>1783</v>
      </c>
      <c r="C1674" s="33" t="s">
        <v>24</v>
      </c>
      <c r="D1674" s="34">
        <v>2004</v>
      </c>
      <c r="E1674" s="34" t="s">
        <v>25</v>
      </c>
      <c r="F1674" s="6"/>
      <c r="G1674" s="6">
        <v>7</v>
      </c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35">
        <f>SUM(F1674:R1674)</f>
        <v>7</v>
      </c>
      <c r="T1674" s="35">
        <f>COUNT(F1674:R1674)</f>
        <v>1</v>
      </c>
      <c r="U1674" s="36">
        <f>IF(T1674&gt;=2,ROUND((IF(T1674=2,0.55,IF(T1674&lt;=4,0.7,IF(T1674&lt;=6,0.8,IF(T1674&lt;=9,0.9,1))))*(S1674/T1674)+(1-(IF(T1674=2,0.55,IF(T1674&lt;=4,0.7,IF(T1674&lt;=6,0.8,IF(T1674&lt;=9,0.9,1))))))*$Y$1),1),"")</f>
      </c>
      <c r="V1674" s="37">
        <v>7.9</v>
      </c>
      <c r="W1674" s="38"/>
    </row>
    <row r="1675" ht="24" customHeight="1" spans="1:23" x14ac:dyDescent="0.25">
      <c r="A1675" s="40">
        <v>2328</v>
      </c>
      <c r="B1675" s="32" t="s">
        <v>1784</v>
      </c>
      <c r="C1675" s="33" t="s">
        <v>24</v>
      </c>
      <c r="D1675" s="34">
        <v>2021</v>
      </c>
      <c r="E1675" s="41"/>
      <c r="F1675" s="6"/>
      <c r="G1675" s="6">
        <v>8</v>
      </c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35">
        <f>SUM(F1675:R1675)</f>
        <v>8</v>
      </c>
      <c r="T1675" s="35">
        <f>COUNT(F1675:R1675)</f>
        <v>1</v>
      </c>
      <c r="U1675" s="36">
        <f>IF(T1675&gt;=2,ROUND((IF(T1675=2,0.55,IF(T1675&lt;=4,0.7,IF(T1675&lt;=6,0.8,IF(T1675&lt;=9,0.9,1))))*(S1675/T1675)+(1-(IF(T1675=2,0.55,IF(T1675&lt;=4,0.7,IF(T1675&lt;=6,0.8,IF(T1675&lt;=9,0.9,1))))))*$Y$1),1),"")</f>
      </c>
      <c r="V1675" s="37">
        <v>6.6</v>
      </c>
      <c r="W1675" s="38"/>
    </row>
    <row r="1676" ht="24" customHeight="1" spans="1:23" x14ac:dyDescent="0.25">
      <c r="A1676" s="31">
        <v>476</v>
      </c>
      <c r="B1676" s="32" t="s">
        <v>1785</v>
      </c>
      <c r="C1676" s="33" t="s">
        <v>24</v>
      </c>
      <c r="D1676" s="34">
        <v>2003</v>
      </c>
      <c r="E1676" s="34" t="s">
        <v>25</v>
      </c>
      <c r="F1676" s="6"/>
      <c r="G1676" s="6">
        <v>8</v>
      </c>
      <c r="H1676" s="6"/>
      <c r="I1676" s="6"/>
      <c r="J1676" s="6"/>
      <c r="K1676" s="6"/>
      <c r="L1676" s="6"/>
      <c r="M1676" s="6"/>
      <c r="N1676" s="6"/>
      <c r="O1676" s="6"/>
      <c r="P1676" s="6">
        <v>8</v>
      </c>
      <c r="Q1676" s="6"/>
      <c r="R1676" s="6"/>
      <c r="S1676" s="35">
        <f>SUM(F1676:R1676)</f>
        <v>16</v>
      </c>
      <c r="T1676" s="35">
        <f>COUNT(F1676:R1676)</f>
        <v>2</v>
      </c>
      <c r="U1676" s="36">
        <f>IF(T1676&gt;=2,ROUND((IF(T1676=2,0.55,IF(T1676&lt;=4,0.7,IF(T1676&lt;=6,0.8,IF(T1676&lt;=9,0.9,1))))*(S1676/T1676)+(1-(IF(T1676=2,0.55,IF(T1676&lt;=4,0.7,IF(T1676&lt;=6,0.8,IF(T1676&lt;=9,0.9,1))))))*$Y$1),1),"")</f>
        <v>8</v>
      </c>
      <c r="V1676" s="37">
        <v>7.5</v>
      </c>
      <c r="W1676" s="38"/>
    </row>
    <row r="1677" ht="24" customHeight="1" spans="1:23" x14ac:dyDescent="0.25">
      <c r="A1677" s="40">
        <v>2163</v>
      </c>
      <c r="B1677" s="32" t="s">
        <v>1786</v>
      </c>
      <c r="C1677" s="33" t="s">
        <v>24</v>
      </c>
      <c r="D1677" s="34">
        <v>2005</v>
      </c>
      <c r="E1677" s="41"/>
      <c r="F1677" s="6"/>
      <c r="G1677" s="6">
        <v>7</v>
      </c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35">
        <f>SUM(F1677:R1677)</f>
        <v>7</v>
      </c>
      <c r="T1677" s="35">
        <f>COUNT(F1677:R1677)</f>
        <v>1</v>
      </c>
      <c r="U1677" s="36">
        <f>IF(T1677&gt;=2,ROUND((IF(T1677=2,0.55,IF(T1677&lt;=4,0.7,IF(T1677&lt;=6,0.8,IF(T1677&lt;=9,0.9,1))))*(S1677/T1677)+(1-(IF(T1677=2,0.55,IF(T1677&lt;=4,0.7,IF(T1677&lt;=6,0.8,IF(T1677&lt;=9,0.9,1))))))*$Y$1),1),"")</f>
      </c>
      <c r="V1677" s="37">
        <v>7.4</v>
      </c>
      <c r="W1677" s="38"/>
    </row>
    <row r="1678" ht="24" customHeight="1" spans="1:23" x14ac:dyDescent="0.25">
      <c r="A1678" s="31">
        <v>581</v>
      </c>
      <c r="B1678" s="32" t="s">
        <v>1787</v>
      </c>
      <c r="C1678" s="33" t="s">
        <v>24</v>
      </c>
      <c r="D1678" s="34">
        <v>2010</v>
      </c>
      <c r="E1678" s="34" t="s">
        <v>30</v>
      </c>
      <c r="F1678" s="6"/>
      <c r="G1678" s="6"/>
      <c r="H1678" s="6"/>
      <c r="I1678" s="6"/>
      <c r="J1678" s="6"/>
      <c r="K1678" s="6">
        <v>6</v>
      </c>
      <c r="L1678" s="6">
        <v>6</v>
      </c>
      <c r="M1678" s="6">
        <v>6</v>
      </c>
      <c r="N1678" s="6"/>
      <c r="O1678" s="6"/>
      <c r="P1678" s="6"/>
      <c r="Q1678" s="6">
        <v>6</v>
      </c>
      <c r="R1678" s="6"/>
      <c r="S1678" s="35">
        <f>SUM(F1678:R1678)</f>
        <v>24</v>
      </c>
      <c r="T1678" s="35">
        <f>COUNT(F1678:R1678)</f>
        <v>4</v>
      </c>
      <c r="U1678" s="36">
        <f>IF(T1678&gt;=2,ROUND((IF(T1678=2,0.55,IF(T1678&lt;=4,0.7,IF(T1678&lt;=6,0.8,IF(T1678&lt;=9,0.9,1))))*(S1678/T1678)+(1-(IF(T1678=2,0.55,IF(T1678&lt;=4,0.7,IF(T1678&lt;=6,0.8,IF(T1678&lt;=9,0.9,1))))))*$Y$1),1),"")</f>
        <v>6.6</v>
      </c>
      <c r="V1678" s="37">
        <v>6.5</v>
      </c>
      <c r="W1678" s="38"/>
    </row>
    <row r="1679" ht="24" customHeight="1" spans="1:23" x14ac:dyDescent="0.25">
      <c r="A1679" s="31">
        <v>357</v>
      </c>
      <c r="B1679" s="32" t="s">
        <v>1788</v>
      </c>
      <c r="C1679" s="33" t="s">
        <v>24</v>
      </c>
      <c r="D1679" s="34">
        <v>2006</v>
      </c>
      <c r="E1679" s="34" t="s">
        <v>1789</v>
      </c>
      <c r="F1679" s="6"/>
      <c r="G1679" s="6"/>
      <c r="H1679" s="6"/>
      <c r="I1679" s="6"/>
      <c r="J1679" s="6"/>
      <c r="K1679" s="6">
        <v>8</v>
      </c>
      <c r="L1679" s="6"/>
      <c r="M1679" s="6"/>
      <c r="N1679" s="6"/>
      <c r="O1679" s="6"/>
      <c r="P1679" s="6">
        <v>8</v>
      </c>
      <c r="Q1679" s="6">
        <v>8</v>
      </c>
      <c r="R1679" s="6"/>
      <c r="S1679" s="35">
        <f>SUM(F1679:R1679)</f>
        <v>24</v>
      </c>
      <c r="T1679" s="35">
        <f>COUNT(F1679:R1679)</f>
        <v>3</v>
      </c>
      <c r="U1679" s="36">
        <f>IF(T1679&gt;=2,ROUND((IF(T1679=2,0.55,IF(T1679&lt;=4,0.7,IF(T1679&lt;=6,0.8,IF(T1679&lt;=9,0.9,1))))*(S1679/T1679)+(1-(IF(T1679=2,0.55,IF(T1679&lt;=4,0.7,IF(T1679&lt;=6,0.8,IF(T1679&lt;=9,0.9,1))))))*$Y$1),1),"")</f>
        <v>8</v>
      </c>
      <c r="V1679" s="37">
        <v>7.8</v>
      </c>
      <c r="W1679" s="38"/>
    </row>
    <row r="1680" ht="24" customHeight="1" spans="1:23" x14ac:dyDescent="0.25">
      <c r="A1680" s="31">
        <v>33</v>
      </c>
      <c r="B1680" s="32" t="s">
        <v>1790</v>
      </c>
      <c r="C1680" s="33" t="s">
        <v>24</v>
      </c>
      <c r="D1680" s="34">
        <v>2015</v>
      </c>
      <c r="E1680" s="34" t="s">
        <v>30</v>
      </c>
      <c r="F1680" s="6">
        <v>8</v>
      </c>
      <c r="G1680" s="6">
        <v>8</v>
      </c>
      <c r="H1680" s="6">
        <v>8</v>
      </c>
      <c r="I1680" s="6"/>
      <c r="J1680" s="6">
        <v>9</v>
      </c>
      <c r="K1680" s="6">
        <v>6</v>
      </c>
      <c r="L1680" s="6">
        <v>8</v>
      </c>
      <c r="M1680" s="6">
        <v>6</v>
      </c>
      <c r="N1680" s="6">
        <v>6</v>
      </c>
      <c r="O1680" s="6"/>
      <c r="P1680" s="6">
        <v>6</v>
      </c>
      <c r="Q1680" s="6">
        <v>6</v>
      </c>
      <c r="R1680" s="6"/>
      <c r="S1680" s="35">
        <f>SUM(F1680:R1680)</f>
        <v>71</v>
      </c>
      <c r="T1680" s="35">
        <f>COUNT(F1680:R1680)</f>
        <v>10</v>
      </c>
      <c r="U1680" s="36">
        <f>IF(T1680&gt;=2,ROUND((IF(T1680=2,0.55,IF(T1680&lt;=4,0.7,IF(T1680&lt;=6,0.8,IF(T1680&lt;=9,0.9,1))))*(S1680/T1680)+(1-(IF(T1680=2,0.55,IF(T1680&lt;=4,0.7,IF(T1680&lt;=6,0.8,IF(T1680&lt;=9,0.9,1))))))*$Y$1),1),"")</f>
        <v>7.1</v>
      </c>
      <c r="V1680" s="37">
        <v>7.3</v>
      </c>
      <c r="W1680" s="38"/>
    </row>
    <row r="1681" ht="24" customHeight="1" spans="1:23" x14ac:dyDescent="0.25">
      <c r="A1681" s="47">
        <v>32</v>
      </c>
      <c r="B1681" s="32" t="s">
        <v>1791</v>
      </c>
      <c r="C1681" s="48" t="s">
        <v>24</v>
      </c>
      <c r="D1681" s="49">
        <v>1997</v>
      </c>
      <c r="E1681" s="49" t="s">
        <v>183</v>
      </c>
      <c r="F1681" s="6">
        <v>8</v>
      </c>
      <c r="G1681" s="6">
        <v>9</v>
      </c>
      <c r="H1681" s="6">
        <v>8</v>
      </c>
      <c r="I1681" s="6">
        <v>10</v>
      </c>
      <c r="J1681" s="6">
        <v>9</v>
      </c>
      <c r="K1681" s="6">
        <v>8</v>
      </c>
      <c r="L1681" s="6">
        <v>10</v>
      </c>
      <c r="M1681" s="6">
        <v>8</v>
      </c>
      <c r="N1681" s="6">
        <v>8</v>
      </c>
      <c r="O1681" s="6">
        <v>8</v>
      </c>
      <c r="P1681" s="6">
        <v>10</v>
      </c>
      <c r="Q1681" s="6">
        <v>8</v>
      </c>
      <c r="R1681" s="6">
        <v>8</v>
      </c>
      <c r="S1681" s="35">
        <f>SUM(F1681:R1681)</f>
        <v>112</v>
      </c>
      <c r="T1681" s="35">
        <f>COUNT(F1681:R1681)</f>
        <v>13</v>
      </c>
      <c r="U1681" s="36">
        <f>IF(T1681&gt;=2,ROUND((IF(T1681=2,0.55,IF(T1681&lt;=4,0.7,IF(T1681&lt;=6,0.8,IF(T1681&lt;=9,0.9,1))))*(S1681/T1681)+(1-(IF(T1681=2,0.55,IF(T1681&lt;=4,0.7,IF(T1681&lt;=6,0.8,IF(T1681&lt;=9,0.9,1))))))*$Y$1),1),"")</f>
        <v>8.6</v>
      </c>
      <c r="V1681" s="37">
        <v>7.3</v>
      </c>
      <c r="W1681" s="38" t="s">
        <v>44</v>
      </c>
    </row>
    <row r="1682" ht="47.25" customHeight="1" spans="1:23" x14ac:dyDescent="0.25">
      <c r="A1682" s="40">
        <v>2099</v>
      </c>
      <c r="B1682" s="32" t="s">
        <v>1792</v>
      </c>
      <c r="C1682" s="33" t="s">
        <v>24</v>
      </c>
      <c r="D1682" s="34">
        <v>1997</v>
      </c>
      <c r="E1682" s="41"/>
      <c r="F1682" s="6"/>
      <c r="G1682" s="6">
        <v>7</v>
      </c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35">
        <f>SUM(F1682:R1682)</f>
        <v>7</v>
      </c>
      <c r="T1682" s="35">
        <f>COUNT(F1682:R1682)</f>
        <v>1</v>
      </c>
      <c r="U1682" s="36">
        <f>IF(T1682&gt;=2,ROUND((IF(T1682=2,0.55,IF(T1682&lt;=4,0.7,IF(T1682&lt;=6,0.8,IF(T1682&lt;=9,0.9,1))))*(S1682/T1682)+(1-(IF(T1682=2,0.55,IF(T1682&lt;=4,0.7,IF(T1682&lt;=6,0.8,IF(T1682&lt;=9,0.9,1))))))*$Y$1),1),"")</f>
      </c>
      <c r="V1682" s="37">
        <v>7.6</v>
      </c>
      <c r="W1682" s="38"/>
    </row>
    <row r="1683" ht="24" customHeight="1" spans="1:23" x14ac:dyDescent="0.25">
      <c r="A1683" s="31">
        <v>834</v>
      </c>
      <c r="B1683" s="32" t="s">
        <v>1793</v>
      </c>
      <c r="C1683" s="33" t="s">
        <v>24</v>
      </c>
      <c r="D1683" s="34">
        <v>2005</v>
      </c>
      <c r="E1683" s="34" t="s">
        <v>27</v>
      </c>
      <c r="F1683" s="6"/>
      <c r="G1683" s="6"/>
      <c r="H1683" s="6"/>
      <c r="I1683" s="6"/>
      <c r="J1683" s="6"/>
      <c r="K1683" s="6"/>
      <c r="L1683" s="6">
        <v>8</v>
      </c>
      <c r="M1683" s="6"/>
      <c r="N1683" s="6"/>
      <c r="O1683" s="6"/>
      <c r="P1683" s="6"/>
      <c r="Q1683" s="6"/>
      <c r="R1683" s="6"/>
      <c r="S1683" s="35">
        <f>SUM(F1683:R1683)</f>
        <v>8</v>
      </c>
      <c r="T1683" s="35">
        <f>COUNT(F1683:R1683)</f>
        <v>1</v>
      </c>
      <c r="U1683" s="36">
        <f>IF(T1683&gt;=2,ROUND((IF(T1683=2,0.55,IF(T1683&lt;=4,0.7,IF(T1683&lt;=6,0.8,IF(T1683&lt;=9,0.9,1))))*(S1683/T1683)+(1-(IF(T1683=2,0.55,IF(T1683&lt;=4,0.7,IF(T1683&lt;=6,0.8,IF(T1683&lt;=9,0.9,1))))))*$Y$1),1),"")</f>
      </c>
      <c r="V1683" s="37">
        <v>7.3</v>
      </c>
      <c r="W1683" s="38"/>
    </row>
    <row r="1684" ht="24" customHeight="1" spans="1:23" x14ac:dyDescent="0.25">
      <c r="A1684" s="42">
        <v>1030</v>
      </c>
      <c r="B1684" s="32" t="s">
        <v>1794</v>
      </c>
      <c r="C1684" s="43" t="s">
        <v>24</v>
      </c>
      <c r="D1684" s="44">
        <v>2013</v>
      </c>
      <c r="E1684" s="44" t="s">
        <v>27</v>
      </c>
      <c r="F1684" s="6">
        <v>8</v>
      </c>
      <c r="G1684" s="6">
        <v>8</v>
      </c>
      <c r="H1684" s="6">
        <v>10</v>
      </c>
      <c r="I1684" s="6">
        <v>8</v>
      </c>
      <c r="J1684" s="6"/>
      <c r="K1684" s="6">
        <v>8</v>
      </c>
      <c r="L1684" s="6">
        <v>10</v>
      </c>
      <c r="M1684" s="6">
        <v>8</v>
      </c>
      <c r="N1684" s="6">
        <v>8</v>
      </c>
      <c r="O1684" s="6">
        <v>8</v>
      </c>
      <c r="P1684" s="6">
        <v>6</v>
      </c>
      <c r="Q1684" s="6">
        <v>8</v>
      </c>
      <c r="R1684" s="6"/>
      <c r="S1684" s="35">
        <f>SUM(F1684:R1684)</f>
        <v>90</v>
      </c>
      <c r="T1684" s="35">
        <f>COUNT(F1684:R1684)</f>
        <v>11</v>
      </c>
      <c r="U1684" s="36">
        <f>IF(T1684&gt;=2,ROUND((IF(T1684=2,0.55,IF(T1684&lt;=4,0.7,IF(T1684&lt;=6,0.8,IF(T1684&lt;=9,0.9,1))))*(S1684/T1684)+(1-(IF(T1684=2,0.55,IF(T1684&lt;=4,0.7,IF(T1684&lt;=6,0.8,IF(T1684&lt;=9,0.9,1))))))*$Y$1),1),"")</f>
        <v>8.2</v>
      </c>
      <c r="V1684" s="37">
        <v>7.8</v>
      </c>
      <c r="W1684" s="38" t="s">
        <v>44</v>
      </c>
    </row>
    <row r="1685" ht="24" customHeight="1" spans="1:23" x14ac:dyDescent="0.25">
      <c r="A1685" s="31">
        <v>1683</v>
      </c>
      <c r="B1685" s="32" t="s">
        <v>1795</v>
      </c>
      <c r="C1685" s="33" t="s">
        <v>29</v>
      </c>
      <c r="D1685" s="34">
        <v>2008</v>
      </c>
      <c r="E1685" s="34" t="s">
        <v>27</v>
      </c>
      <c r="F1685" s="6"/>
      <c r="G1685" s="6"/>
      <c r="H1685" s="6">
        <v>9</v>
      </c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35">
        <f>SUM(F1685:R1685)</f>
        <v>9</v>
      </c>
      <c r="T1685" s="35">
        <f>COUNT(F1685:R1685)</f>
        <v>1</v>
      </c>
      <c r="U1685" s="36">
        <f>IF(T1685&gt;=2,ROUND((IF(T1685=2,0.55,IF(T1685&lt;=4,0.7,IF(T1685&lt;=6,0.8,IF(T1685&lt;=9,0.9,1))))*(S1685/T1685)+(1-(IF(T1685=2,0.55,IF(T1685&lt;=4,0.7,IF(T1685&lt;=6,0.8,IF(T1685&lt;=9,0.9,1))))))*$Y$1),1),"")</f>
      </c>
      <c r="V1685" s="37">
        <v>8.1</v>
      </c>
      <c r="W1685" s="38"/>
    </row>
    <row r="1686" ht="24" customHeight="1" spans="1:23" x14ac:dyDescent="0.25">
      <c r="A1686" s="31">
        <v>217</v>
      </c>
      <c r="B1686" s="32" t="s">
        <v>1796</v>
      </c>
      <c r="C1686" s="33" t="s">
        <v>24</v>
      </c>
      <c r="D1686" s="34">
        <v>1952</v>
      </c>
      <c r="E1686" s="34" t="s">
        <v>92</v>
      </c>
      <c r="F1686" s="6">
        <v>10</v>
      </c>
      <c r="G1686" s="6">
        <v>10</v>
      </c>
      <c r="H1686" s="6">
        <v>10</v>
      </c>
      <c r="I1686" s="6">
        <v>10</v>
      </c>
      <c r="J1686" s="6"/>
      <c r="K1686" s="6">
        <v>10</v>
      </c>
      <c r="L1686" s="6">
        <v>10</v>
      </c>
      <c r="M1686" s="6">
        <v>10</v>
      </c>
      <c r="N1686" s="6">
        <v>10</v>
      </c>
      <c r="O1686" s="6">
        <v>10</v>
      </c>
      <c r="P1686" s="6">
        <v>10</v>
      </c>
      <c r="Q1686" s="6">
        <v>10</v>
      </c>
      <c r="R1686" s="6"/>
      <c r="S1686" s="35">
        <f>SUM(F1686:R1686)</f>
        <v>110</v>
      </c>
      <c r="T1686" s="35">
        <f>COUNT(F1686:R1686)</f>
        <v>11</v>
      </c>
      <c r="U1686" s="36">
        <f>IF(T1686&gt;=2,ROUND((IF(T1686=2,0.55,IF(T1686&lt;=4,0.7,IF(T1686&lt;=6,0.8,IF(T1686&lt;=9,0.9,1))))*(S1686/T1686)+(1-(IF(T1686=2,0.55,IF(T1686&lt;=4,0.7,IF(T1686&lt;=6,0.8,IF(T1686&lt;=9,0.9,1))))))*$Y$1),1),"")</f>
        <v>10</v>
      </c>
      <c r="V1686" s="37">
        <v>8.3</v>
      </c>
      <c r="W1686" s="38"/>
    </row>
    <row r="1687" ht="24" customHeight="1" spans="1:23" x14ac:dyDescent="0.25">
      <c r="A1687" s="31">
        <v>31</v>
      </c>
      <c r="B1687" s="32" t="s">
        <v>1797</v>
      </c>
      <c r="C1687" s="33" t="s">
        <v>24</v>
      </c>
      <c r="D1687" s="34">
        <v>2017</v>
      </c>
      <c r="E1687" s="34" t="s">
        <v>30</v>
      </c>
      <c r="F1687" s="6">
        <v>8</v>
      </c>
      <c r="G1687" s="6">
        <v>8</v>
      </c>
      <c r="H1687" s="6">
        <v>6</v>
      </c>
      <c r="I1687" s="6">
        <v>8</v>
      </c>
      <c r="J1687" s="6"/>
      <c r="K1687" s="6">
        <v>10</v>
      </c>
      <c r="L1687" s="6"/>
      <c r="M1687" s="6">
        <v>6</v>
      </c>
      <c r="N1687" s="6">
        <v>6</v>
      </c>
      <c r="O1687" s="6"/>
      <c r="P1687" s="6">
        <v>8</v>
      </c>
      <c r="Q1687" s="6">
        <v>10</v>
      </c>
      <c r="R1687" s="6"/>
      <c r="S1687" s="35">
        <f>SUM(F1687:R1687)</f>
        <v>70</v>
      </c>
      <c r="T1687" s="35">
        <f>COUNT(F1687:R1687)</f>
        <v>9</v>
      </c>
      <c r="U1687" s="36">
        <f>IF(T1687&gt;=2,ROUND((IF(T1687=2,0.55,IF(T1687&lt;=4,0.7,IF(T1687&lt;=6,0.8,IF(T1687&lt;=9,0.9,1))))*(S1687/T1687)+(1-(IF(T1687=2,0.55,IF(T1687&lt;=4,0.7,IF(T1687&lt;=6,0.8,IF(T1687&lt;=9,0.9,1))))))*$Y$1),1),"")</f>
        <v>7.8</v>
      </c>
      <c r="V1687" s="37">
        <v>7.1</v>
      </c>
      <c r="W1687" s="38"/>
    </row>
    <row r="1688" ht="24" customHeight="1" spans="1:23" x14ac:dyDescent="0.25">
      <c r="A1688" s="31">
        <v>30</v>
      </c>
      <c r="B1688" s="32" t="s">
        <v>1798</v>
      </c>
      <c r="C1688" s="33" t="s">
        <v>24</v>
      </c>
      <c r="D1688" s="34">
        <v>1962</v>
      </c>
      <c r="E1688" s="34" t="s">
        <v>33</v>
      </c>
      <c r="F1688" s="6">
        <v>6</v>
      </c>
      <c r="G1688" s="6">
        <v>6</v>
      </c>
      <c r="H1688" s="6">
        <v>10</v>
      </c>
      <c r="I1688" s="6">
        <v>10</v>
      </c>
      <c r="J1688" s="6"/>
      <c r="K1688" s="6">
        <v>10</v>
      </c>
      <c r="L1688" s="6"/>
      <c r="M1688" s="6">
        <v>8</v>
      </c>
      <c r="N1688" s="6">
        <v>8</v>
      </c>
      <c r="O1688" s="6">
        <v>6</v>
      </c>
      <c r="P1688" s="6">
        <v>8</v>
      </c>
      <c r="Q1688" s="6">
        <v>10</v>
      </c>
      <c r="R1688" s="6"/>
      <c r="S1688" s="35">
        <f>SUM(F1688:R1688)</f>
        <v>82</v>
      </c>
      <c r="T1688" s="35">
        <f>COUNT(F1688:R1688)</f>
        <v>10</v>
      </c>
      <c r="U1688" s="36">
        <f>IF(T1688&gt;=2,ROUND((IF(T1688=2,0.55,IF(T1688&lt;=4,0.7,IF(T1688&lt;=6,0.8,IF(T1688&lt;=9,0.9,1))))*(S1688/T1688)+(1-(IF(T1688=2,0.55,IF(T1688&lt;=4,0.7,IF(T1688&lt;=6,0.8,IF(T1688&lt;=9,0.9,1))))))*$Y$1),1),"")</f>
        <v>8.2</v>
      </c>
      <c r="V1688" s="37">
        <v>6.4</v>
      </c>
      <c r="W1688" s="38"/>
    </row>
    <row r="1689" ht="24" customHeight="1" spans="1:23" x14ac:dyDescent="0.25">
      <c r="A1689" s="40">
        <v>2399</v>
      </c>
      <c r="B1689" s="32" t="s">
        <v>1799</v>
      </c>
      <c r="C1689" s="33" t="s">
        <v>24</v>
      </c>
      <c r="D1689" s="34">
        <v>2025</v>
      </c>
      <c r="E1689" s="41"/>
      <c r="F1689" s="6">
        <v>8</v>
      </c>
      <c r="G1689" s="6"/>
      <c r="H1689" s="6"/>
      <c r="I1689" s="6">
        <v>8</v>
      </c>
      <c r="J1689" s="6"/>
      <c r="K1689" s="6">
        <v>8</v>
      </c>
      <c r="L1689" s="6"/>
      <c r="M1689" s="6"/>
      <c r="N1689" s="6"/>
      <c r="O1689" s="6"/>
      <c r="P1689" s="6"/>
      <c r="Q1689" s="6">
        <v>8</v>
      </c>
      <c r="R1689" s="6"/>
      <c r="S1689" s="35">
        <f>SUM(F1689:R1689)</f>
        <v>32</v>
      </c>
      <c r="T1689" s="35">
        <f>COUNT(F1689:R1689)</f>
        <v>4</v>
      </c>
      <c r="U1689" s="36">
        <f>IF(T1689&gt;=2,ROUND((IF(T1689=2,0.55,IF(T1689&lt;=4,0.7,IF(T1689&lt;=6,0.8,IF(T1689&lt;=9,0.9,1))))*(S1689/T1689)+(1-(IF(T1689=2,0.55,IF(T1689&lt;=4,0.7,IF(T1689&lt;=6,0.8,IF(T1689&lt;=9,0.9,1))))))*$Y$1),1),"")</f>
        <v>8</v>
      </c>
      <c r="V1689" s="37">
        <v>5.6</v>
      </c>
      <c r="W1689" s="38"/>
    </row>
    <row r="1690" ht="24" customHeight="1" spans="1:23" x14ac:dyDescent="0.25">
      <c r="A1690" s="31">
        <v>1293</v>
      </c>
      <c r="B1690" s="32" t="s">
        <v>1800</v>
      </c>
      <c r="C1690" s="33" t="s">
        <v>24</v>
      </c>
      <c r="D1690" s="34">
        <v>2005</v>
      </c>
      <c r="E1690" s="34" t="s">
        <v>27</v>
      </c>
      <c r="F1690" s="6"/>
      <c r="G1690" s="6">
        <v>6</v>
      </c>
      <c r="H1690" s="6"/>
      <c r="I1690" s="6"/>
      <c r="J1690" s="6">
        <v>8</v>
      </c>
      <c r="K1690" s="6"/>
      <c r="L1690" s="6"/>
      <c r="M1690" s="6"/>
      <c r="N1690" s="6"/>
      <c r="O1690" s="6"/>
      <c r="P1690" s="6"/>
      <c r="Q1690" s="6"/>
      <c r="R1690" s="6"/>
      <c r="S1690" s="35">
        <f>SUM(F1690:R1690)</f>
        <v>14</v>
      </c>
      <c r="T1690" s="35">
        <f>COUNT(F1690:R1690)</f>
        <v>2</v>
      </c>
      <c r="U1690" s="36">
        <f>IF(T1690&gt;=2,ROUND((IF(T1690=2,0.55,IF(T1690&lt;=4,0.7,IF(T1690&lt;=6,0.8,IF(T1690&lt;=9,0.9,1))))*(S1690/T1690)+(1-(IF(T1690=2,0.55,IF(T1690&lt;=4,0.7,IF(T1690&lt;=6,0.8,IF(T1690&lt;=9,0.9,1))))))*$Y$1),1),"")</f>
        <v>7.5</v>
      </c>
      <c r="V1690" s="37">
        <v>7.1</v>
      </c>
      <c r="W1690" s="38"/>
    </row>
    <row r="1691" ht="24" customHeight="1" spans="1:23" x14ac:dyDescent="0.25">
      <c r="A1691" s="31">
        <v>911</v>
      </c>
      <c r="B1691" s="32" t="s">
        <v>1801</v>
      </c>
      <c r="C1691" s="33" t="s">
        <v>24</v>
      </c>
      <c r="D1691" s="34">
        <v>2010</v>
      </c>
      <c r="E1691" s="34" t="s">
        <v>27</v>
      </c>
      <c r="F1691" s="6">
        <v>8</v>
      </c>
      <c r="G1691" s="6"/>
      <c r="H1691" s="6">
        <v>8</v>
      </c>
      <c r="I1691" s="6"/>
      <c r="J1691" s="6"/>
      <c r="K1691" s="6">
        <v>8</v>
      </c>
      <c r="L1691" s="6">
        <v>8</v>
      </c>
      <c r="M1691" s="6"/>
      <c r="N1691" s="6">
        <v>8</v>
      </c>
      <c r="O1691" s="6"/>
      <c r="P1691" s="6"/>
      <c r="Q1691" s="6">
        <v>8</v>
      </c>
      <c r="R1691" s="6">
        <v>6</v>
      </c>
      <c r="S1691" s="35">
        <f>SUM(F1691:R1691)</f>
        <v>54</v>
      </c>
      <c r="T1691" s="35">
        <f>COUNT(F1691:R1691)</f>
        <v>7</v>
      </c>
      <c r="U1691" s="36">
        <f>IF(T1691&gt;=2,ROUND((IF(T1691=2,0.55,IF(T1691&lt;=4,0.7,IF(T1691&lt;=6,0.8,IF(T1691&lt;=9,0.9,1))))*(S1691/T1691)+(1-(IF(T1691=2,0.55,IF(T1691&lt;=4,0.7,IF(T1691&lt;=6,0.8,IF(T1691&lt;=9,0.9,1))))))*$Y$1),1),"")</f>
        <v>7.8</v>
      </c>
      <c r="V1691" s="37">
        <v>7.3</v>
      </c>
      <c r="W1691" s="38"/>
    </row>
    <row r="1692" ht="24" customHeight="1" spans="1:23" x14ac:dyDescent="0.25">
      <c r="A1692" s="31">
        <v>724</v>
      </c>
      <c r="B1692" s="32" t="s">
        <v>1802</v>
      </c>
      <c r="C1692" s="33" t="s">
        <v>24</v>
      </c>
      <c r="D1692" s="34">
        <v>2019</v>
      </c>
      <c r="E1692" s="34" t="s">
        <v>931</v>
      </c>
      <c r="F1692" s="6"/>
      <c r="G1692" s="6"/>
      <c r="H1692" s="6"/>
      <c r="I1692" s="6"/>
      <c r="J1692" s="6">
        <v>6</v>
      </c>
      <c r="K1692" s="6"/>
      <c r="L1692" s="6"/>
      <c r="M1692" s="6"/>
      <c r="N1692" s="6"/>
      <c r="O1692" s="6"/>
      <c r="P1692" s="6"/>
      <c r="Q1692" s="6"/>
      <c r="R1692" s="6"/>
      <c r="S1692" s="35">
        <f>SUM(F1692:R1692)</f>
        <v>6</v>
      </c>
      <c r="T1692" s="35">
        <f>COUNT(F1692:R1692)</f>
        <v>1</v>
      </c>
      <c r="U1692" s="36">
        <f>IF(T1692&gt;=2,ROUND((IF(T1692=2,0.55,IF(T1692&lt;=4,0.7,IF(T1692&lt;=6,0.8,IF(T1692&lt;=9,0.9,1))))*(S1692/T1692)+(1-(IF(T1692=2,0.55,IF(T1692&lt;=4,0.7,IF(T1692&lt;=6,0.8,IF(T1692&lt;=9,0.9,1))))))*$Y$1),1),"")</f>
      </c>
      <c r="V1692" s="37">
        <v>5.4</v>
      </c>
      <c r="W1692" s="38"/>
    </row>
    <row r="1693" ht="24" customHeight="1" spans="1:23" s="39" customFormat="1" x14ac:dyDescent="0.25">
      <c r="A1693" s="31">
        <v>277</v>
      </c>
      <c r="B1693" s="32" t="s">
        <v>1803</v>
      </c>
      <c r="C1693" s="33" t="s">
        <v>29</v>
      </c>
      <c r="D1693" s="34">
        <v>2020</v>
      </c>
      <c r="E1693" s="34" t="s">
        <v>30</v>
      </c>
      <c r="F1693" s="6">
        <v>8</v>
      </c>
      <c r="G1693" s="6"/>
      <c r="H1693" s="6"/>
      <c r="I1693" s="6"/>
      <c r="J1693" s="6">
        <v>8</v>
      </c>
      <c r="K1693" s="6">
        <v>10</v>
      </c>
      <c r="L1693" s="6">
        <v>10</v>
      </c>
      <c r="M1693" s="6">
        <v>8</v>
      </c>
      <c r="N1693" s="6">
        <v>8</v>
      </c>
      <c r="O1693" s="6"/>
      <c r="P1693" s="6"/>
      <c r="Q1693" s="6">
        <v>10</v>
      </c>
      <c r="R1693" s="6">
        <v>8</v>
      </c>
      <c r="S1693" s="35">
        <f>SUM(F1693:R1693)</f>
        <v>70</v>
      </c>
      <c r="T1693" s="35">
        <f>COUNT(F1693:R1693)</f>
        <v>8</v>
      </c>
      <c r="U1693" s="36">
        <f>IF(T1693&gt;=2,ROUND((IF(T1693=2,0.55,IF(T1693&lt;=4,0.7,IF(T1693&lt;=6,0.8,IF(T1693&lt;=9,0.9,1))))*(S1693/T1693)+(1-(IF(T1693=2,0.55,IF(T1693&lt;=4,0.7,IF(T1693&lt;=6,0.8,IF(T1693&lt;=9,0.9,1))))))*$Y$1),1),"")</f>
        <v>8.7</v>
      </c>
      <c r="V1693" s="37">
        <v>8.2</v>
      </c>
      <c r="W1693" s="38"/>
    </row>
    <row r="1694" ht="24" customHeight="1" spans="1:23" x14ac:dyDescent="0.25">
      <c r="A1694" s="31">
        <v>2049</v>
      </c>
      <c r="B1694" s="32" t="s">
        <v>1804</v>
      </c>
      <c r="C1694" s="33" t="s">
        <v>24</v>
      </c>
      <c r="D1694" s="34">
        <v>2021</v>
      </c>
      <c r="E1694" s="41"/>
      <c r="F1694" s="6"/>
      <c r="G1694" s="6"/>
      <c r="H1694" s="6"/>
      <c r="I1694" s="6"/>
      <c r="J1694" s="6"/>
      <c r="K1694" s="6"/>
      <c r="L1694" s="6">
        <v>8</v>
      </c>
      <c r="M1694" s="6"/>
      <c r="N1694" s="6"/>
      <c r="O1694" s="6"/>
      <c r="P1694" s="6"/>
      <c r="Q1694" s="6"/>
      <c r="R1694" s="6"/>
      <c r="S1694" s="35">
        <f>SUM(F1694:R1694)</f>
        <v>8</v>
      </c>
      <c r="T1694" s="35">
        <f>COUNT(F1694:R1694)</f>
        <v>1</v>
      </c>
      <c r="U1694" s="36">
        <f>IF(T1694&gt;=2,ROUND((IF(T1694=2,0.55,IF(T1694&lt;=4,0.7,IF(T1694&lt;=6,0.8,IF(T1694&lt;=9,0.9,1))))*(S1694/T1694)+(1-(IF(T1694=2,0.55,IF(T1694&lt;=4,0.7,IF(T1694&lt;=6,0.8,IF(T1694&lt;=9,0.9,1))))))*$Y$1),1),"")</f>
      </c>
      <c r="V1694" s="37">
        <v>7.2</v>
      </c>
      <c r="W1694" s="38"/>
    </row>
    <row r="1695" ht="24" customHeight="1" spans="1:23" x14ac:dyDescent="0.25">
      <c r="A1695" s="31">
        <v>1216</v>
      </c>
      <c r="B1695" s="32" t="s">
        <v>1805</v>
      </c>
      <c r="C1695" s="33" t="s">
        <v>29</v>
      </c>
      <c r="D1695" s="34">
        <v>2021</v>
      </c>
      <c r="E1695" s="34" t="s">
        <v>30</v>
      </c>
      <c r="F1695" s="6">
        <v>8</v>
      </c>
      <c r="G1695" s="6"/>
      <c r="H1695" s="6"/>
      <c r="I1695" s="6"/>
      <c r="J1695" s="6"/>
      <c r="K1695" s="6"/>
      <c r="L1695" s="6">
        <v>8</v>
      </c>
      <c r="M1695" s="6">
        <v>8</v>
      </c>
      <c r="N1695" s="6"/>
      <c r="O1695" s="6"/>
      <c r="P1695" s="6"/>
      <c r="Q1695" s="6"/>
      <c r="R1695" s="6"/>
      <c r="S1695" s="35">
        <f>SUM(F1695:R1695)</f>
        <v>24</v>
      </c>
      <c r="T1695" s="35">
        <f>COUNT(F1695:R1695)</f>
        <v>3</v>
      </c>
      <c r="U1695" s="36">
        <f>IF(T1695&gt;=2,ROUND((IF(T1695=2,0.55,IF(T1695&lt;=4,0.7,IF(T1695&lt;=6,0.8,IF(T1695&lt;=9,0.9,1))))*(S1695/T1695)+(1-(IF(T1695=2,0.55,IF(T1695&lt;=4,0.7,IF(T1695&lt;=6,0.8,IF(T1695&lt;=9,0.9,1))))))*$Y$1),1),"")</f>
        <v>8</v>
      </c>
      <c r="V1695" s="37">
        <v>7.6</v>
      </c>
      <c r="W1695" s="38"/>
    </row>
    <row r="1696" ht="24" customHeight="1" spans="1:23" x14ac:dyDescent="0.25">
      <c r="A1696" s="31">
        <v>29</v>
      </c>
      <c r="B1696" s="32" t="s">
        <v>1806</v>
      </c>
      <c r="C1696" s="33" t="s">
        <v>24</v>
      </c>
      <c r="D1696" s="34">
        <v>2018</v>
      </c>
      <c r="E1696" s="34" t="s">
        <v>92</v>
      </c>
      <c r="F1696" s="6">
        <v>9</v>
      </c>
      <c r="G1696" s="6">
        <v>8</v>
      </c>
      <c r="H1696" s="6"/>
      <c r="I1696" s="6">
        <v>8</v>
      </c>
      <c r="J1696" s="6">
        <v>10</v>
      </c>
      <c r="K1696" s="6">
        <v>8</v>
      </c>
      <c r="L1696" s="6">
        <v>10</v>
      </c>
      <c r="M1696" s="6">
        <v>8</v>
      </c>
      <c r="N1696" s="6"/>
      <c r="O1696" s="6"/>
      <c r="P1696" s="6">
        <v>10</v>
      </c>
      <c r="Q1696" s="6">
        <v>8</v>
      </c>
      <c r="R1696" s="6"/>
      <c r="S1696" s="35">
        <f>SUM(F1696:R1696)</f>
        <v>79</v>
      </c>
      <c r="T1696" s="35">
        <f>COUNT(F1696:R1696)</f>
        <v>9</v>
      </c>
      <c r="U1696" s="36">
        <f>IF(T1696&gt;=2,ROUND((IF(T1696=2,0.55,IF(T1696&lt;=4,0.7,IF(T1696&lt;=6,0.8,IF(T1696&lt;=9,0.9,1))))*(S1696/T1696)+(1-(IF(T1696=2,0.55,IF(T1696&lt;=4,0.7,IF(T1696&lt;=6,0.8,IF(T1696&lt;=9,0.9,1))))))*$Y$1),1),"")</f>
        <v>8.7</v>
      </c>
      <c r="V1696" s="37">
        <v>8.4</v>
      </c>
      <c r="W1696" s="38"/>
    </row>
    <row r="1697" ht="24" customHeight="1" spans="1:23" x14ac:dyDescent="0.25">
      <c r="A1697" s="31">
        <v>948</v>
      </c>
      <c r="B1697" s="32" t="s">
        <v>1807</v>
      </c>
      <c r="C1697" s="33" t="s">
        <v>114</v>
      </c>
      <c r="D1697" s="34">
        <v>1992</v>
      </c>
      <c r="E1697" s="34" t="s">
        <v>30</v>
      </c>
      <c r="F1697" s="6"/>
      <c r="G1697" s="6">
        <v>7</v>
      </c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35">
        <f>SUM(F1697:R1697)</f>
        <v>7</v>
      </c>
      <c r="T1697" s="35">
        <f>COUNT(F1697:R1697)</f>
        <v>1</v>
      </c>
      <c r="U1697" s="36">
        <f>IF(T1697&gt;=2,ROUND((IF(T1697=2,0.55,IF(T1697&lt;=4,0.7,IF(T1697&lt;=6,0.8,IF(T1697&lt;=9,0.9,1))))*(S1697/T1697)+(1-(IF(T1697=2,0.55,IF(T1697&lt;=4,0.7,IF(T1697&lt;=6,0.8,IF(T1697&lt;=9,0.9,1))))))*$Y$1),1),"")</f>
      </c>
      <c r="V1697" s="37">
        <v>8.2</v>
      </c>
      <c r="W1697" s="38"/>
    </row>
    <row r="1698" ht="24" customHeight="1" spans="1:23" x14ac:dyDescent="0.25">
      <c r="A1698" s="31">
        <v>687</v>
      </c>
      <c r="B1698" s="32" t="s">
        <v>1808</v>
      </c>
      <c r="C1698" s="33" t="s">
        <v>24</v>
      </c>
      <c r="D1698" s="34">
        <v>2019</v>
      </c>
      <c r="E1698" s="34" t="s">
        <v>52</v>
      </c>
      <c r="F1698" s="6"/>
      <c r="G1698" s="6"/>
      <c r="H1698" s="6"/>
      <c r="I1698" s="6"/>
      <c r="J1698" s="6"/>
      <c r="K1698" s="6">
        <v>8</v>
      </c>
      <c r="L1698" s="6"/>
      <c r="M1698" s="6"/>
      <c r="N1698" s="6"/>
      <c r="O1698" s="6"/>
      <c r="P1698" s="6"/>
      <c r="Q1698" s="6">
        <v>8</v>
      </c>
      <c r="R1698" s="6"/>
      <c r="S1698" s="35">
        <f>SUM(F1698:R1698)</f>
        <v>16</v>
      </c>
      <c r="T1698" s="35">
        <f>COUNT(F1698:R1698)</f>
        <v>2</v>
      </c>
      <c r="U1698" s="36">
        <f>IF(T1698&gt;=2,ROUND((IF(T1698=2,0.55,IF(T1698&lt;=4,0.7,IF(T1698&lt;=6,0.8,IF(T1698&lt;=9,0.9,1))))*(S1698/T1698)+(1-(IF(T1698=2,0.55,IF(T1698&lt;=4,0.7,IF(T1698&lt;=6,0.8,IF(T1698&lt;=9,0.9,1))))))*$Y$1),1),"")</f>
        <v>8</v>
      </c>
      <c r="V1698" s="37">
        <v>6.5</v>
      </c>
      <c r="W1698" s="38"/>
    </row>
    <row r="1699" ht="24" customHeight="1" spans="1:23" x14ac:dyDescent="0.25">
      <c r="A1699" s="31">
        <v>850</v>
      </c>
      <c r="B1699" s="67" t="s">
        <v>1809</v>
      </c>
      <c r="C1699" s="33" t="s">
        <v>24</v>
      </c>
      <c r="D1699" s="34">
        <v>2015</v>
      </c>
      <c r="E1699" s="34" t="s">
        <v>30</v>
      </c>
      <c r="F1699" s="6"/>
      <c r="G1699" s="6"/>
      <c r="H1699" s="6"/>
      <c r="I1699" s="6">
        <v>8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35">
        <f>SUM(F1699:R1699)</f>
        <v>8</v>
      </c>
      <c r="T1699" s="35">
        <f>COUNT(F1699:R1699)</f>
        <v>1</v>
      </c>
      <c r="U1699" s="36">
        <f>IF(T1699&gt;=2,ROUND((IF(T1699=2,0.55,IF(T1699&lt;=4,0.7,IF(T1699&lt;=6,0.8,IF(T1699&lt;=9,0.9,1))))*(S1699/T1699)+(1-(IF(T1699=2,0.55,IF(T1699&lt;=4,0.7,IF(T1699&lt;=6,0.8,IF(T1699&lt;=9,0.9,1))))))*$Y$1),1),"")</f>
      </c>
      <c r="V1699" s="37">
        <v>5.3</v>
      </c>
      <c r="W1699" s="38"/>
    </row>
    <row r="1700" ht="24" customHeight="1" spans="1:23" x14ac:dyDescent="0.25">
      <c r="A1700" s="31">
        <v>1828</v>
      </c>
      <c r="B1700" s="32" t="s">
        <v>1810</v>
      </c>
      <c r="C1700" s="33" t="s">
        <v>24</v>
      </c>
      <c r="D1700" s="34">
        <v>2024</v>
      </c>
      <c r="E1700" s="34" t="s">
        <v>25</v>
      </c>
      <c r="F1700" s="6">
        <v>8</v>
      </c>
      <c r="G1700" s="6"/>
      <c r="H1700" s="6"/>
      <c r="I1700" s="6">
        <v>10</v>
      </c>
      <c r="J1700" s="6"/>
      <c r="K1700" s="6">
        <v>9</v>
      </c>
      <c r="L1700" s="6"/>
      <c r="M1700" s="6"/>
      <c r="N1700" s="6"/>
      <c r="O1700" s="6">
        <v>8</v>
      </c>
      <c r="P1700" s="6"/>
      <c r="Q1700" s="6">
        <v>9</v>
      </c>
      <c r="R1700" s="6"/>
      <c r="S1700" s="35">
        <f>SUM(F1700:R1700)</f>
        <v>44</v>
      </c>
      <c r="T1700" s="35">
        <f>COUNT(F1700:R1700)</f>
        <v>5</v>
      </c>
      <c r="U1700" s="36">
        <f>IF(T1700&gt;=2,ROUND((IF(T1700=2,0.55,IF(T1700&lt;=4,0.7,IF(T1700&lt;=6,0.8,IF(T1700&lt;=9,0.9,1))))*(S1700/T1700)+(1-(IF(T1700=2,0.55,IF(T1700&lt;=4,0.7,IF(T1700&lt;=6,0.8,IF(T1700&lt;=9,0.9,1))))))*$Y$1),1),"")</f>
        <v>8.7</v>
      </c>
      <c r="V1700" s="37">
        <v>7.3</v>
      </c>
      <c r="W1700" s="38"/>
    </row>
    <row r="1701" ht="24" customHeight="1" spans="1:23" x14ac:dyDescent="0.25">
      <c r="A1701" s="31">
        <v>1970</v>
      </c>
      <c r="B1701" s="32" t="s">
        <v>1811</v>
      </c>
      <c r="C1701" s="33" t="s">
        <v>24</v>
      </c>
      <c r="D1701" s="34">
        <v>1995</v>
      </c>
      <c r="E1701" s="34" t="s">
        <v>25</v>
      </c>
      <c r="F1701" s="6">
        <v>7</v>
      </c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35">
        <f>SUM(F1701:R1701)</f>
        <v>7</v>
      </c>
      <c r="T1701" s="35">
        <f>COUNT(F1701:R1701)</f>
        <v>1</v>
      </c>
      <c r="U1701" s="36">
        <f>IF(T1701&gt;=2,ROUND((IF(T1701=2,0.55,IF(T1701&lt;=4,0.7,IF(T1701&lt;=6,0.8,IF(T1701&lt;=9,0.9,1))))*(S1701/T1701)+(1-(IF(T1701=2,0.55,IF(T1701&lt;=4,0.7,IF(T1701&lt;=6,0.8,IF(T1701&lt;=9,0.9,1))))))*$Y$1),1),"")</f>
      </c>
      <c r="V1701" s="37">
        <v>7.1</v>
      </c>
      <c r="W1701" s="38"/>
    </row>
    <row r="1702" ht="24" customHeight="1" spans="1:23" x14ac:dyDescent="0.25">
      <c r="A1702" s="31">
        <v>1475</v>
      </c>
      <c r="B1702" s="32" t="s">
        <v>1812</v>
      </c>
      <c r="C1702" s="33" t="s">
        <v>24</v>
      </c>
      <c r="D1702" s="34">
        <v>2005</v>
      </c>
      <c r="E1702" s="34" t="s">
        <v>25</v>
      </c>
      <c r="F1702" s="6"/>
      <c r="G1702" s="6">
        <v>7</v>
      </c>
      <c r="H1702" s="6"/>
      <c r="I1702" s="6"/>
      <c r="J1702" s="6"/>
      <c r="K1702" s="6"/>
      <c r="L1702" s="6"/>
      <c r="M1702" s="6"/>
      <c r="N1702" s="6"/>
      <c r="O1702" s="6"/>
      <c r="P1702" s="6">
        <v>6</v>
      </c>
      <c r="Q1702" s="6"/>
      <c r="R1702" s="6"/>
      <c r="S1702" s="35">
        <f>SUM(F1702:R1702)</f>
        <v>13</v>
      </c>
      <c r="T1702" s="35">
        <f>COUNT(F1702:R1702)</f>
        <v>2</v>
      </c>
      <c r="U1702" s="36">
        <f>IF(T1702&gt;=2,ROUND((IF(T1702=2,0.55,IF(T1702&lt;=4,0.7,IF(T1702&lt;=6,0.8,IF(T1702&lt;=9,0.9,1))))*(S1702/T1702)+(1-(IF(T1702=2,0.55,IF(T1702&lt;=4,0.7,IF(T1702&lt;=6,0.8,IF(T1702&lt;=9,0.9,1))))))*$Y$1),1),"")</f>
        <v>7.2</v>
      </c>
      <c r="V1702" s="37">
        <v>7.8</v>
      </c>
      <c r="W1702" s="38"/>
    </row>
    <row r="1703" ht="24" customHeight="1" spans="1:23" x14ac:dyDescent="0.25">
      <c r="A1703" s="31">
        <v>475</v>
      </c>
      <c r="B1703" s="32" t="s">
        <v>1813</v>
      </c>
      <c r="C1703" s="33" t="s">
        <v>24</v>
      </c>
      <c r="D1703" s="34">
        <v>1969</v>
      </c>
      <c r="E1703" s="34" t="s">
        <v>52</v>
      </c>
      <c r="F1703" s="6"/>
      <c r="G1703" s="6">
        <v>8</v>
      </c>
      <c r="H1703" s="6">
        <v>10</v>
      </c>
      <c r="I1703" s="6">
        <v>8</v>
      </c>
      <c r="J1703" s="6"/>
      <c r="K1703" s="6">
        <v>10</v>
      </c>
      <c r="L1703" s="6"/>
      <c r="M1703" s="6">
        <v>8</v>
      </c>
      <c r="N1703" s="6">
        <v>8</v>
      </c>
      <c r="O1703" s="6"/>
      <c r="P1703" s="6">
        <v>8</v>
      </c>
      <c r="Q1703" s="6">
        <v>10</v>
      </c>
      <c r="R1703" s="6"/>
      <c r="S1703" s="35">
        <f>SUM(F1703:R1703)</f>
        <v>70</v>
      </c>
      <c r="T1703" s="35">
        <f>COUNT(F1703:R1703)</f>
        <v>8</v>
      </c>
      <c r="U1703" s="36">
        <f>IF(T1703&gt;=2,ROUND((IF(T1703=2,0.55,IF(T1703&lt;=4,0.7,IF(T1703&lt;=6,0.8,IF(T1703&lt;=9,0.9,1))))*(S1703/T1703)+(1-(IF(T1703=2,0.55,IF(T1703&lt;=4,0.7,IF(T1703&lt;=6,0.8,IF(T1703&lt;=9,0.9,1))))))*$Y$1),1),"")</f>
        <v>8.7</v>
      </c>
      <c r="V1703" s="37">
        <v>8</v>
      </c>
      <c r="W1703" s="38"/>
    </row>
    <row r="1704" ht="47.25" customHeight="1" spans="1:23" x14ac:dyDescent="0.25">
      <c r="A1704" s="47">
        <v>2020</v>
      </c>
      <c r="B1704" s="32" t="s">
        <v>1814</v>
      </c>
      <c r="C1704" s="48" t="s">
        <v>24</v>
      </c>
      <c r="D1704" s="49">
        <v>2018</v>
      </c>
      <c r="E1704" s="49"/>
      <c r="F1704" s="6">
        <v>7</v>
      </c>
      <c r="G1704" s="6"/>
      <c r="H1704" s="6">
        <v>7</v>
      </c>
      <c r="I1704" s="6"/>
      <c r="J1704" s="6">
        <v>8</v>
      </c>
      <c r="K1704" s="6">
        <v>8</v>
      </c>
      <c r="L1704" s="6">
        <v>7</v>
      </c>
      <c r="M1704" s="6">
        <v>7</v>
      </c>
      <c r="N1704" s="6">
        <v>7</v>
      </c>
      <c r="O1704" s="6">
        <v>8</v>
      </c>
      <c r="P1704" s="6"/>
      <c r="Q1704" s="6">
        <v>8</v>
      </c>
      <c r="R1704" s="6"/>
      <c r="S1704" s="35">
        <f>SUM(F1704:R1704)</f>
        <v>67</v>
      </c>
      <c r="T1704" s="35">
        <f>COUNT(F1704:R1704)</f>
        <v>9</v>
      </c>
      <c r="U1704" s="36">
        <f>IF(T1704&gt;=2,ROUND((IF(T1704=2,0.55,IF(T1704&lt;=4,0.7,IF(T1704&lt;=6,0.8,IF(T1704&lt;=9,0.9,1))))*(S1704/T1704)+(1-(IF(T1704=2,0.55,IF(T1704&lt;=4,0.7,IF(T1704&lt;=6,0.8,IF(T1704&lt;=9,0.9,1))))))*$Y$1),1),"")</f>
        <v>7.5</v>
      </c>
      <c r="V1704" s="37">
        <v>7.6</v>
      </c>
      <c r="W1704" s="38" t="s">
        <v>44</v>
      </c>
    </row>
    <row r="1705" ht="24" customHeight="1" spans="1:23" x14ac:dyDescent="0.25">
      <c r="A1705" s="40">
        <v>2106</v>
      </c>
      <c r="B1705" s="32" t="s">
        <v>1815</v>
      </c>
      <c r="C1705" s="33" t="s">
        <v>24</v>
      </c>
      <c r="D1705" s="34">
        <v>1999</v>
      </c>
      <c r="E1705" s="41"/>
      <c r="F1705" s="6"/>
      <c r="G1705" s="6">
        <v>7</v>
      </c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35">
        <f>SUM(F1705:R1705)</f>
        <v>7</v>
      </c>
      <c r="T1705" s="35">
        <f>COUNT(F1705:R1705)</f>
        <v>1</v>
      </c>
      <c r="U1705" s="36">
        <f>IF(T1705&gt;=2,ROUND((IF(T1705=2,0.55,IF(T1705&lt;=4,0.7,IF(T1705&lt;=6,0.8,IF(T1705&lt;=9,0.9,1))))*(S1705/T1705)+(1-(IF(T1705=2,0.55,IF(T1705&lt;=4,0.7,IF(T1705&lt;=6,0.8,IF(T1705&lt;=9,0.9,1))))))*$Y$1),1),"")</f>
      </c>
      <c r="V1705" s="37">
        <v>7.6</v>
      </c>
      <c r="W1705" s="38"/>
    </row>
    <row r="1706" ht="24" customHeight="1" spans="1:23" x14ac:dyDescent="0.25">
      <c r="A1706" s="31">
        <v>386</v>
      </c>
      <c r="B1706" s="32" t="s">
        <v>1816</v>
      </c>
      <c r="C1706" s="33" t="s">
        <v>24</v>
      </c>
      <c r="D1706" s="34">
        <v>2019</v>
      </c>
      <c r="E1706" s="34" t="s">
        <v>106</v>
      </c>
      <c r="F1706" s="6"/>
      <c r="G1706" s="6"/>
      <c r="H1706" s="6"/>
      <c r="I1706" s="6"/>
      <c r="J1706" s="6">
        <v>8</v>
      </c>
      <c r="K1706" s="6"/>
      <c r="L1706" s="6">
        <v>8</v>
      </c>
      <c r="M1706" s="6"/>
      <c r="N1706" s="6"/>
      <c r="O1706" s="6"/>
      <c r="P1706" s="6"/>
      <c r="Q1706" s="6"/>
      <c r="R1706" s="6"/>
      <c r="S1706" s="35">
        <f>SUM(F1706:R1706)</f>
        <v>16</v>
      </c>
      <c r="T1706" s="35">
        <f>COUNT(F1706:R1706)</f>
        <v>2</v>
      </c>
      <c r="U1706" s="36">
        <f>IF(T1706&gt;=2,ROUND((IF(T1706=2,0.55,IF(T1706&lt;=4,0.7,IF(T1706&lt;=6,0.8,IF(T1706&lt;=9,0.9,1))))*(S1706/T1706)+(1-(IF(T1706=2,0.55,IF(T1706&lt;=4,0.7,IF(T1706&lt;=6,0.8,IF(T1706&lt;=9,0.9,1))))))*$Y$1),1),"")</f>
        <v>8</v>
      </c>
      <c r="V1706" s="37">
        <v>6.8</v>
      </c>
      <c r="W1706" s="38"/>
    </row>
    <row r="1707" ht="24" customHeight="1" spans="1:23" x14ac:dyDescent="0.25">
      <c r="A1707" s="31">
        <v>1633</v>
      </c>
      <c r="B1707" s="32" t="s">
        <v>1817</v>
      </c>
      <c r="C1707" s="33" t="s">
        <v>24</v>
      </c>
      <c r="D1707" s="34">
        <v>2020</v>
      </c>
      <c r="E1707" s="34" t="s">
        <v>30</v>
      </c>
      <c r="F1707" s="6"/>
      <c r="G1707" s="6"/>
      <c r="H1707" s="6"/>
      <c r="I1707" s="6"/>
      <c r="J1707" s="6">
        <v>7</v>
      </c>
      <c r="K1707" s="6"/>
      <c r="L1707" s="6"/>
      <c r="M1707" s="6"/>
      <c r="N1707" s="6">
        <v>8</v>
      </c>
      <c r="O1707" s="6"/>
      <c r="P1707" s="6"/>
      <c r="Q1707" s="6"/>
      <c r="R1707" s="6"/>
      <c r="S1707" s="35">
        <f>SUM(F1707:R1707)</f>
        <v>15</v>
      </c>
      <c r="T1707" s="35">
        <f>COUNT(F1707:R1707)</f>
        <v>2</v>
      </c>
      <c r="U1707" s="36">
        <f>IF(T1707&gt;=2,ROUND((IF(T1707=2,0.55,IF(T1707&lt;=4,0.7,IF(T1707&lt;=6,0.8,IF(T1707&lt;=9,0.9,1))))*(S1707/T1707)+(1-(IF(T1707=2,0.55,IF(T1707&lt;=4,0.7,IF(T1707&lt;=6,0.8,IF(T1707&lt;=9,0.9,1))))))*$Y$1),1),"")</f>
        <v>7.8</v>
      </c>
      <c r="V1707" s="37">
        <v>6.1</v>
      </c>
      <c r="W1707" s="38"/>
    </row>
    <row r="1708" ht="24" customHeight="1" spans="1:23" x14ac:dyDescent="0.25">
      <c r="A1708" s="31">
        <v>28</v>
      </c>
      <c r="B1708" s="32" t="s">
        <v>1818</v>
      </c>
      <c r="C1708" s="33" t="s">
        <v>24</v>
      </c>
      <c r="D1708" s="34">
        <v>2004</v>
      </c>
      <c r="E1708" s="34" t="s">
        <v>1819</v>
      </c>
      <c r="F1708" s="6"/>
      <c r="G1708" s="6">
        <v>8</v>
      </c>
      <c r="H1708" s="6">
        <v>6</v>
      </c>
      <c r="I1708" s="6">
        <v>10</v>
      </c>
      <c r="J1708" s="6"/>
      <c r="K1708" s="6">
        <v>10</v>
      </c>
      <c r="L1708" s="6">
        <v>8</v>
      </c>
      <c r="M1708" s="6"/>
      <c r="N1708" s="6"/>
      <c r="O1708" s="6">
        <v>8</v>
      </c>
      <c r="P1708" s="6">
        <v>6</v>
      </c>
      <c r="Q1708" s="6">
        <v>10</v>
      </c>
      <c r="R1708" s="6"/>
      <c r="S1708" s="35">
        <f>SUM(F1708:R1708)</f>
        <v>66</v>
      </c>
      <c r="T1708" s="35">
        <f>COUNT(F1708:R1708)</f>
        <v>8</v>
      </c>
      <c r="U1708" s="36">
        <f>IF(T1708&gt;=2,ROUND((IF(T1708=2,0.55,IF(T1708&lt;=4,0.7,IF(T1708&lt;=6,0.8,IF(T1708&lt;=9,0.9,1))))*(S1708/T1708)+(1-(IF(T1708=2,0.55,IF(T1708&lt;=4,0.7,IF(T1708&lt;=6,0.8,IF(T1708&lt;=9,0.9,1))))))*$Y$1),1),"")</f>
        <v>8.2</v>
      </c>
      <c r="V1708" s="37">
        <v>8.3</v>
      </c>
      <c r="W1708" s="38"/>
    </row>
    <row r="1709" ht="24" customHeight="1" spans="1:23" x14ac:dyDescent="0.25">
      <c r="A1709" s="31">
        <v>893</v>
      </c>
      <c r="B1709" s="32" t="s">
        <v>1820</v>
      </c>
      <c r="C1709" s="33" t="s">
        <v>29</v>
      </c>
      <c r="D1709" s="34">
        <v>2020</v>
      </c>
      <c r="E1709" s="34" t="s">
        <v>30</v>
      </c>
      <c r="F1709" s="6">
        <v>8</v>
      </c>
      <c r="G1709" s="6"/>
      <c r="H1709" s="6">
        <v>10</v>
      </c>
      <c r="I1709" s="6"/>
      <c r="J1709" s="6">
        <v>8</v>
      </c>
      <c r="K1709" s="6">
        <v>8</v>
      </c>
      <c r="L1709" s="6">
        <v>8</v>
      </c>
      <c r="M1709" s="6"/>
      <c r="N1709" s="6"/>
      <c r="O1709" s="6"/>
      <c r="P1709" s="6"/>
      <c r="Q1709" s="6">
        <v>8</v>
      </c>
      <c r="R1709" s="6"/>
      <c r="S1709" s="35">
        <f>SUM(F1709:R1709)</f>
        <v>50</v>
      </c>
      <c r="T1709" s="35">
        <f>COUNT(F1709:R1709)</f>
        <v>6</v>
      </c>
      <c r="U1709" s="36">
        <f>IF(T1709&gt;=2,ROUND((IF(T1709=2,0.55,IF(T1709&lt;=4,0.7,IF(T1709&lt;=6,0.8,IF(T1709&lt;=9,0.9,1))))*(S1709/T1709)+(1-(IF(T1709=2,0.55,IF(T1709&lt;=4,0.7,IF(T1709&lt;=6,0.8,IF(T1709&lt;=9,0.9,1))))))*$Y$1),1),"")</f>
        <v>8.3</v>
      </c>
      <c r="V1709" s="37">
        <v>7.5</v>
      </c>
      <c r="W1709" s="38"/>
    </row>
    <row r="1710" ht="24" customHeight="1" spans="1:23" x14ac:dyDescent="0.25">
      <c r="A1710" s="31">
        <v>27</v>
      </c>
      <c r="B1710" s="32" t="s">
        <v>1821</v>
      </c>
      <c r="C1710" s="33" t="s">
        <v>29</v>
      </c>
      <c r="D1710" s="34">
        <v>2008</v>
      </c>
      <c r="E1710" s="34" t="s">
        <v>30</v>
      </c>
      <c r="F1710" s="6">
        <v>10</v>
      </c>
      <c r="G1710" s="6">
        <v>10</v>
      </c>
      <c r="H1710" s="6">
        <v>10</v>
      </c>
      <c r="I1710" s="6"/>
      <c r="J1710" s="6">
        <v>10</v>
      </c>
      <c r="K1710" s="6">
        <v>10</v>
      </c>
      <c r="L1710" s="6">
        <v>10</v>
      </c>
      <c r="M1710" s="6"/>
      <c r="N1710" s="6">
        <v>10</v>
      </c>
      <c r="O1710" s="6"/>
      <c r="P1710" s="6">
        <v>10</v>
      </c>
      <c r="Q1710" s="6">
        <v>10</v>
      </c>
      <c r="R1710" s="6"/>
      <c r="S1710" s="35">
        <f>SUM(F1710:R1710)</f>
        <v>90</v>
      </c>
      <c r="T1710" s="35">
        <f>COUNT(F1710:R1710)</f>
        <v>9</v>
      </c>
      <c r="U1710" s="36">
        <f>IF(T1710&gt;=2,ROUND((IF(T1710=2,0.55,IF(T1710&lt;=4,0.7,IF(T1710&lt;=6,0.8,IF(T1710&lt;=9,0.9,1))))*(S1710/T1710)+(1-(IF(T1710=2,0.55,IF(T1710&lt;=4,0.7,IF(T1710&lt;=6,0.8,IF(T1710&lt;=9,0.9,1))))))*$Y$1),1),"")</f>
        <v>9.8</v>
      </c>
      <c r="V1710" s="37">
        <v>9.5</v>
      </c>
      <c r="W1710" s="38"/>
    </row>
    <row r="1711" ht="24" customHeight="1" spans="1:23" x14ac:dyDescent="0.25">
      <c r="A1711" s="31">
        <v>254</v>
      </c>
      <c r="B1711" s="32" t="s">
        <v>1822</v>
      </c>
      <c r="C1711" s="33" t="s">
        <v>24</v>
      </c>
      <c r="D1711" s="34">
        <v>2010</v>
      </c>
      <c r="E1711" s="34" t="s">
        <v>1063</v>
      </c>
      <c r="F1711" s="6"/>
      <c r="G1711" s="6">
        <v>7</v>
      </c>
      <c r="H1711" s="6">
        <v>8</v>
      </c>
      <c r="I1711" s="6"/>
      <c r="J1711" s="6">
        <v>8</v>
      </c>
      <c r="K1711" s="6">
        <v>8</v>
      </c>
      <c r="L1711" s="6">
        <v>6</v>
      </c>
      <c r="M1711" s="6">
        <v>8</v>
      </c>
      <c r="N1711" s="6">
        <v>8</v>
      </c>
      <c r="O1711" s="6">
        <v>8</v>
      </c>
      <c r="P1711" s="6">
        <v>8</v>
      </c>
      <c r="Q1711" s="6">
        <v>8</v>
      </c>
      <c r="R1711" s="6">
        <v>7</v>
      </c>
      <c r="S1711" s="35">
        <f>SUM(F1711:R1711)</f>
        <v>84</v>
      </c>
      <c r="T1711" s="35">
        <f>COUNT(F1711:R1711)</f>
        <v>11</v>
      </c>
      <c r="U1711" s="36">
        <f>IF(T1711&gt;=2,ROUND((IF(T1711=2,0.55,IF(T1711&lt;=4,0.7,IF(T1711&lt;=6,0.8,IF(T1711&lt;=9,0.9,1))))*(S1711/T1711)+(1-(IF(T1711=2,0.55,IF(T1711&lt;=4,0.7,IF(T1711&lt;=6,0.8,IF(T1711&lt;=9,0.9,1))))))*$Y$1),1),"")</f>
        <v>7.6</v>
      </c>
      <c r="V1711" s="37">
        <v>7.6</v>
      </c>
      <c r="W1711" s="38"/>
    </row>
    <row r="1712" ht="24" customHeight="1" spans="1:23" x14ac:dyDescent="0.25">
      <c r="A1712" s="31">
        <v>1180</v>
      </c>
      <c r="B1712" s="32" t="s">
        <v>1823</v>
      </c>
      <c r="C1712" s="33" t="s">
        <v>24</v>
      </c>
      <c r="D1712" s="34">
        <v>2014</v>
      </c>
      <c r="E1712" s="34" t="s">
        <v>760</v>
      </c>
      <c r="F1712" s="6"/>
      <c r="G1712" s="6">
        <v>8</v>
      </c>
      <c r="H1712" s="6"/>
      <c r="I1712" s="6"/>
      <c r="J1712" s="6"/>
      <c r="K1712" s="6">
        <v>8</v>
      </c>
      <c r="L1712" s="6">
        <v>8</v>
      </c>
      <c r="M1712" s="6"/>
      <c r="N1712" s="6"/>
      <c r="O1712" s="6">
        <v>8</v>
      </c>
      <c r="P1712" s="6"/>
      <c r="Q1712" s="6">
        <v>8</v>
      </c>
      <c r="R1712" s="6"/>
      <c r="S1712" s="35">
        <f>SUM(F1712:R1712)</f>
        <v>40</v>
      </c>
      <c r="T1712" s="35">
        <f>COUNT(F1712:R1712)</f>
        <v>5</v>
      </c>
      <c r="U1712" s="36">
        <f>IF(T1712&gt;=2,ROUND((IF(T1712=2,0.55,IF(T1712&lt;=4,0.7,IF(T1712&lt;=6,0.8,IF(T1712&lt;=9,0.9,1))))*(S1712/T1712)+(1-(IF(T1712=2,0.55,IF(T1712&lt;=4,0.7,IF(T1712&lt;=6,0.8,IF(T1712&lt;=9,0.9,1))))))*$Y$1),1),"")</f>
        <v>8</v>
      </c>
      <c r="V1712" s="37">
        <v>7.9</v>
      </c>
      <c r="W1712" s="38"/>
    </row>
    <row r="1713" ht="24" customHeight="1" spans="1:23" x14ac:dyDescent="0.25">
      <c r="A1713" s="31">
        <v>1906</v>
      </c>
      <c r="B1713" s="32" t="s">
        <v>1824</v>
      </c>
      <c r="C1713" s="33" t="s">
        <v>270</v>
      </c>
      <c r="D1713" s="34">
        <v>2011</v>
      </c>
      <c r="E1713" s="34" t="s">
        <v>25</v>
      </c>
      <c r="F1713" s="6"/>
      <c r="G1713" s="6"/>
      <c r="H1713" s="6">
        <v>9</v>
      </c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35">
        <f>SUM(F1713:R1713)</f>
        <v>9</v>
      </c>
      <c r="T1713" s="35">
        <f>COUNT(F1713:R1713)</f>
        <v>1</v>
      </c>
      <c r="U1713" s="36">
        <f>IF(T1713&gt;=2,ROUND((IF(T1713=2,0.55,IF(T1713&lt;=4,0.7,IF(T1713&lt;=6,0.8,IF(T1713&lt;=9,0.9,1))))*(S1713/T1713)+(1-(IF(T1713=2,0.55,IF(T1713&lt;=4,0.7,IF(T1713&lt;=6,0.8,IF(T1713&lt;=9,0.9,1))))))*$Y$1),1),"")</f>
      </c>
      <c r="V1713" s="37">
        <v>7.7</v>
      </c>
      <c r="W1713" s="38"/>
    </row>
    <row r="1714" ht="24" customHeight="1" spans="1:23" x14ac:dyDescent="0.25">
      <c r="A1714" s="31">
        <v>782</v>
      </c>
      <c r="B1714" s="32" t="s">
        <v>1825</v>
      </c>
      <c r="C1714" s="33" t="s">
        <v>29</v>
      </c>
      <c r="D1714" s="34">
        <v>2010</v>
      </c>
      <c r="E1714" s="34" t="s">
        <v>30</v>
      </c>
      <c r="F1714" s="6">
        <v>8</v>
      </c>
      <c r="G1714" s="6"/>
      <c r="H1714" s="6"/>
      <c r="I1714" s="6"/>
      <c r="J1714" s="6"/>
      <c r="K1714" s="6"/>
      <c r="L1714" s="6">
        <v>10</v>
      </c>
      <c r="M1714" s="6"/>
      <c r="N1714" s="6">
        <v>8</v>
      </c>
      <c r="O1714" s="6"/>
      <c r="P1714" s="6"/>
      <c r="Q1714" s="6"/>
      <c r="R1714" s="6"/>
      <c r="S1714" s="35">
        <f>SUM(F1714:R1714)</f>
        <v>26</v>
      </c>
      <c r="T1714" s="35">
        <f>COUNT(F1714:R1714)</f>
        <v>3</v>
      </c>
      <c r="U1714" s="36">
        <f>IF(T1714&gt;=2,ROUND((IF(T1714=2,0.55,IF(T1714&lt;=4,0.7,IF(T1714&lt;=6,0.8,IF(T1714&lt;=9,0.9,1))))*(S1714/T1714)+(1-(IF(T1714=2,0.55,IF(T1714&lt;=4,0.7,IF(T1714&lt;=6,0.8,IF(T1714&lt;=9,0.9,1))))))*$Y$1),1),"")</f>
        <v>8.5</v>
      </c>
      <c r="V1714" s="37">
        <v>8.4</v>
      </c>
      <c r="W1714" s="38"/>
    </row>
    <row r="1715" ht="24" customHeight="1" spans="1:23" x14ac:dyDescent="0.25">
      <c r="A1715" s="40">
        <v>2384</v>
      </c>
      <c r="B1715" s="32" t="s">
        <v>1826</v>
      </c>
      <c r="C1715" s="33" t="s">
        <v>24</v>
      </c>
      <c r="D1715" s="34">
        <v>2025</v>
      </c>
      <c r="E1715" s="41"/>
      <c r="F1715" s="6"/>
      <c r="G1715" s="6"/>
      <c r="H1715" s="6"/>
      <c r="I1715" s="6"/>
      <c r="J1715" s="6"/>
      <c r="K1715" s="6"/>
      <c r="L1715" s="6"/>
      <c r="M1715" s="6">
        <v>7</v>
      </c>
      <c r="N1715" s="6"/>
      <c r="O1715" s="6"/>
      <c r="P1715" s="6"/>
      <c r="Q1715" s="6"/>
      <c r="R1715" s="6"/>
      <c r="S1715" s="35">
        <f>SUM(F1715:R1715)</f>
        <v>7</v>
      </c>
      <c r="T1715" s="35">
        <f>COUNT(F1715:R1715)</f>
        <v>1</v>
      </c>
      <c r="U1715" s="36">
        <f>IF(T1715&gt;=2,ROUND((IF(T1715=2,0.55,IF(T1715&lt;=4,0.7,IF(T1715&lt;=6,0.8,IF(T1715&lt;=9,0.9,1))))*(S1715/T1715)+(1-(IF(T1715=2,0.55,IF(T1715&lt;=4,0.7,IF(T1715&lt;=6,0.8,IF(T1715&lt;=9,0.9,1))))))*$Y$1),1),"")</f>
      </c>
      <c r="V1715" s="37">
        <v>6</v>
      </c>
      <c r="W1715" s="38"/>
    </row>
    <row r="1716" ht="24" customHeight="1" spans="1:23" x14ac:dyDescent="0.25">
      <c r="A1716" s="31">
        <v>1625</v>
      </c>
      <c r="B1716" s="32" t="s">
        <v>1827</v>
      </c>
      <c r="C1716" s="33" t="s">
        <v>29</v>
      </c>
      <c r="D1716" s="34">
        <v>2022</v>
      </c>
      <c r="E1716" s="34" t="s">
        <v>30</v>
      </c>
      <c r="F1716" s="6"/>
      <c r="G1716" s="6"/>
      <c r="H1716" s="6"/>
      <c r="I1716" s="6"/>
      <c r="J1716" s="6">
        <v>8</v>
      </c>
      <c r="K1716" s="6"/>
      <c r="L1716" s="6">
        <v>8</v>
      </c>
      <c r="M1716" s="6"/>
      <c r="N1716" s="6"/>
      <c r="O1716" s="6"/>
      <c r="P1716" s="6"/>
      <c r="Q1716" s="6"/>
      <c r="R1716" s="6"/>
      <c r="S1716" s="35">
        <f>SUM(F1716:R1716)</f>
        <v>16</v>
      </c>
      <c r="T1716" s="35">
        <f>COUNT(F1716:R1716)</f>
        <v>2</v>
      </c>
      <c r="U1716" s="36">
        <f>IF(T1716&gt;=2,ROUND((IF(T1716=2,0.55,IF(T1716&lt;=4,0.7,IF(T1716&lt;=6,0.8,IF(T1716&lt;=9,0.9,1))))*(S1716/T1716)+(1-(IF(T1716=2,0.55,IF(T1716&lt;=4,0.7,IF(T1716&lt;=6,0.8,IF(T1716&lt;=9,0.9,1))))))*$Y$1),1),"")</f>
        <v>8</v>
      </c>
      <c r="V1716" s="37">
        <v>7.5</v>
      </c>
      <c r="W1716" s="38"/>
    </row>
    <row r="1717" ht="24" customHeight="1" spans="1:23" x14ac:dyDescent="0.25">
      <c r="A1717" s="40">
        <v>2191</v>
      </c>
      <c r="B1717" s="32" t="s">
        <v>1828</v>
      </c>
      <c r="C1717" s="33" t="s">
        <v>24</v>
      </c>
      <c r="D1717" s="34">
        <v>2006</v>
      </c>
      <c r="E1717" s="41"/>
      <c r="F1717" s="6"/>
      <c r="G1717" s="6">
        <v>5</v>
      </c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35">
        <f>SUM(F1717:R1717)</f>
        <v>5</v>
      </c>
      <c r="T1717" s="35">
        <f>COUNT(F1717:R1717)</f>
        <v>1</v>
      </c>
      <c r="U1717" s="36">
        <f>IF(T1717&gt;=2,ROUND((IF(T1717=2,0.55,IF(T1717&lt;=4,0.7,IF(T1717&lt;=6,0.8,IF(T1717&lt;=9,0.9,1))))*(S1717/T1717)+(1-(IF(T1717=2,0.55,IF(T1717&lt;=4,0.7,IF(T1717&lt;=6,0.8,IF(T1717&lt;=9,0.9,1))))))*$Y$1),1),"")</f>
      </c>
      <c r="V1717" s="37">
        <v>7.4</v>
      </c>
      <c r="W1717" s="38"/>
    </row>
    <row r="1718" ht="24" customHeight="1" spans="1:23" x14ac:dyDescent="0.25">
      <c r="A1718" s="40">
        <v>2375</v>
      </c>
      <c r="B1718" s="32" t="s">
        <v>1829</v>
      </c>
      <c r="C1718" s="33" t="s">
        <v>29</v>
      </c>
      <c r="D1718" s="34">
        <v>2025</v>
      </c>
      <c r="E1718" s="41"/>
      <c r="F1718" s="6"/>
      <c r="G1718" s="6"/>
      <c r="H1718" s="6"/>
      <c r="I1718" s="6"/>
      <c r="J1718" s="6"/>
      <c r="K1718" s="6"/>
      <c r="L1718" s="6">
        <v>9</v>
      </c>
      <c r="M1718" s="6"/>
      <c r="N1718" s="6"/>
      <c r="O1718" s="6"/>
      <c r="P1718" s="6"/>
      <c r="Q1718" s="6"/>
      <c r="R1718" s="6"/>
      <c r="S1718" s="35">
        <f>SUM(F1718:R1718)</f>
        <v>9</v>
      </c>
      <c r="T1718" s="35">
        <f>COUNT(F1718:R1718)</f>
        <v>1</v>
      </c>
      <c r="U1718" s="36">
        <f>IF(T1718&gt;=2,ROUND((IF(T1718=2,0.55,IF(T1718&lt;=4,0.7,IF(T1718&lt;=6,0.8,IF(T1718&lt;=9,0.9,1))))*(S1718/T1718)+(1-(IF(T1718=2,0.55,IF(T1718&lt;=4,0.7,IF(T1718&lt;=6,0.8,IF(T1718&lt;=9,0.9,1))))))*$Y$1),1),"")</f>
      </c>
      <c r="V1718" s="37">
        <v>7.8</v>
      </c>
      <c r="W1718" s="38"/>
    </row>
    <row r="1719" ht="24" customHeight="1" spans="1:23" x14ac:dyDescent="0.25">
      <c r="A1719" s="40">
        <v>2098</v>
      </c>
      <c r="B1719" s="32" t="s">
        <v>1830</v>
      </c>
      <c r="C1719" s="33" t="s">
        <v>24</v>
      </c>
      <c r="D1719" s="34">
        <v>1997</v>
      </c>
      <c r="E1719" s="41"/>
      <c r="F1719" s="6"/>
      <c r="G1719" s="6">
        <v>6</v>
      </c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35">
        <f>SUM(F1719:R1719)</f>
        <v>6</v>
      </c>
      <c r="T1719" s="35">
        <f>COUNT(F1719:R1719)</f>
        <v>1</v>
      </c>
      <c r="U1719" s="36">
        <f>IF(T1719&gt;=2,ROUND((IF(T1719=2,0.55,IF(T1719&lt;=4,0.7,IF(T1719&lt;=6,0.8,IF(T1719&lt;=9,0.9,1))))*(S1719/T1719)+(1-(IF(T1719=2,0.55,IF(T1719&lt;=4,0.7,IF(T1719&lt;=6,0.8,IF(T1719&lt;=9,0.9,1))))))*$Y$1),1),"")</f>
      </c>
      <c r="V1719" s="37">
        <v>7.9</v>
      </c>
      <c r="W1719" s="38"/>
    </row>
    <row r="1720" ht="24" customHeight="1" spans="1:23" x14ac:dyDescent="0.25">
      <c r="A1720" s="31">
        <v>410</v>
      </c>
      <c r="B1720" s="32" t="s">
        <v>1831</v>
      </c>
      <c r="C1720" s="33" t="s">
        <v>24</v>
      </c>
      <c r="D1720" s="34">
        <v>1967</v>
      </c>
      <c r="E1720" s="34" t="s">
        <v>92</v>
      </c>
      <c r="F1720" s="6"/>
      <c r="G1720" s="6"/>
      <c r="H1720" s="6"/>
      <c r="I1720" s="6"/>
      <c r="J1720" s="6"/>
      <c r="K1720" s="6">
        <v>10</v>
      </c>
      <c r="L1720" s="6"/>
      <c r="M1720" s="6"/>
      <c r="N1720" s="6">
        <v>8</v>
      </c>
      <c r="O1720" s="6"/>
      <c r="P1720" s="6">
        <v>8</v>
      </c>
      <c r="Q1720" s="6">
        <v>10</v>
      </c>
      <c r="R1720" s="6"/>
      <c r="S1720" s="35">
        <f>SUM(F1720:R1720)</f>
        <v>36</v>
      </c>
      <c r="T1720" s="35">
        <f>COUNT(F1720:R1720)</f>
        <v>4</v>
      </c>
      <c r="U1720" s="36">
        <f>IF(T1720&gt;=2,ROUND((IF(T1720=2,0.55,IF(T1720&lt;=4,0.7,IF(T1720&lt;=6,0.8,IF(T1720&lt;=9,0.9,1))))*(S1720/T1720)+(1-(IF(T1720=2,0.55,IF(T1720&lt;=4,0.7,IF(T1720&lt;=6,0.8,IF(T1720&lt;=9,0.9,1))))))*$Y$1),1),"")</f>
        <v>8.7</v>
      </c>
      <c r="V1720" s="37">
        <v>7.7</v>
      </c>
      <c r="W1720" s="38"/>
    </row>
    <row r="1721" ht="24" customHeight="1" spans="1:23" x14ac:dyDescent="0.25">
      <c r="A1721" s="31">
        <v>804</v>
      </c>
      <c r="B1721" s="32" t="s">
        <v>1832</v>
      </c>
      <c r="C1721" s="33" t="s">
        <v>29</v>
      </c>
      <c r="D1721" s="34">
        <v>2020</v>
      </c>
      <c r="E1721" s="34" t="s">
        <v>30</v>
      </c>
      <c r="F1721" s="6"/>
      <c r="G1721" s="6"/>
      <c r="H1721" s="6"/>
      <c r="I1721" s="6"/>
      <c r="J1721" s="6">
        <v>7</v>
      </c>
      <c r="K1721" s="6"/>
      <c r="L1721" s="6">
        <v>8</v>
      </c>
      <c r="M1721" s="6"/>
      <c r="N1721" s="6"/>
      <c r="O1721" s="6"/>
      <c r="P1721" s="6"/>
      <c r="Q1721" s="6"/>
      <c r="R1721" s="6"/>
      <c r="S1721" s="35">
        <f>SUM(F1721:R1721)</f>
        <v>15</v>
      </c>
      <c r="T1721" s="35">
        <f>COUNT(F1721:R1721)</f>
        <v>2</v>
      </c>
      <c r="U1721" s="36">
        <f>IF(T1721&gt;=2,ROUND((IF(T1721=2,0.55,IF(T1721&lt;=4,0.7,IF(T1721&lt;=6,0.8,IF(T1721&lt;=9,0.9,1))))*(S1721/T1721)+(1-(IF(T1721=2,0.55,IF(T1721&lt;=4,0.7,IF(T1721&lt;=6,0.8,IF(T1721&lt;=9,0.9,1))))))*$Y$1),1),"")</f>
        <v>7.8</v>
      </c>
      <c r="V1721" s="37">
        <v>7.4</v>
      </c>
      <c r="W1721" s="38"/>
    </row>
    <row r="1722" ht="24" customHeight="1" spans="1:23" x14ac:dyDescent="0.25">
      <c r="A1722" s="31">
        <v>1654</v>
      </c>
      <c r="B1722" s="32" t="s">
        <v>1833</v>
      </c>
      <c r="C1722" s="33" t="s">
        <v>270</v>
      </c>
      <c r="D1722" s="34">
        <v>2019</v>
      </c>
      <c r="E1722" s="34" t="s">
        <v>30</v>
      </c>
      <c r="F1722" s="6"/>
      <c r="G1722" s="6"/>
      <c r="H1722" s="6">
        <v>9</v>
      </c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35">
        <f>SUM(F1722:R1722)</f>
        <v>9</v>
      </c>
      <c r="T1722" s="35">
        <f>COUNT(F1722:R1722)</f>
        <v>1</v>
      </c>
      <c r="U1722" s="36">
        <f>IF(T1722&gt;=2,ROUND((IF(T1722=2,0.55,IF(T1722&lt;=4,0.7,IF(T1722&lt;=6,0.8,IF(T1722&lt;=9,0.9,1))))*(S1722/T1722)+(1-(IF(T1722=2,0.55,IF(T1722&lt;=4,0.7,IF(T1722&lt;=6,0.8,IF(T1722&lt;=9,0.9,1))))))*$Y$1),1),"")</f>
      </c>
      <c r="V1722" s="37">
        <v>7.3</v>
      </c>
      <c r="W1722" s="38"/>
    </row>
    <row r="1723" ht="24" customHeight="1" spans="1:23" x14ac:dyDescent="0.25">
      <c r="A1723" s="31">
        <v>199</v>
      </c>
      <c r="B1723" s="32" t="s">
        <v>1834</v>
      </c>
      <c r="C1723" s="33" t="s">
        <v>24</v>
      </c>
      <c r="D1723" s="34">
        <v>2018</v>
      </c>
      <c r="E1723" s="34" t="s">
        <v>137</v>
      </c>
      <c r="F1723" s="6">
        <v>10</v>
      </c>
      <c r="G1723" s="6">
        <v>10</v>
      </c>
      <c r="H1723" s="6">
        <v>10</v>
      </c>
      <c r="I1723" s="6">
        <v>10</v>
      </c>
      <c r="J1723" s="6">
        <v>10</v>
      </c>
      <c r="K1723" s="6">
        <v>10</v>
      </c>
      <c r="L1723" s="6">
        <v>10</v>
      </c>
      <c r="M1723" s="6">
        <v>8</v>
      </c>
      <c r="N1723" s="6"/>
      <c r="O1723" s="6"/>
      <c r="P1723" s="6">
        <v>10</v>
      </c>
      <c r="Q1723" s="6">
        <v>10</v>
      </c>
      <c r="R1723" s="6">
        <v>10</v>
      </c>
      <c r="S1723" s="35">
        <f>SUM(F1723:R1723)</f>
        <v>108</v>
      </c>
      <c r="T1723" s="35">
        <f>COUNT(F1723:R1723)</f>
        <v>11</v>
      </c>
      <c r="U1723" s="36">
        <f>IF(T1723&gt;=2,ROUND((IF(T1723=2,0.55,IF(T1723&lt;=4,0.7,IF(T1723&lt;=6,0.8,IF(T1723&lt;=9,0.9,1))))*(S1723/T1723)+(1-(IF(T1723=2,0.55,IF(T1723&lt;=4,0.7,IF(T1723&lt;=6,0.8,IF(T1723&lt;=9,0.9,1))))))*$Y$1),1),"")</f>
        <v>9.8</v>
      </c>
      <c r="V1723" s="37">
        <v>7.9</v>
      </c>
      <c r="W1723" s="38"/>
    </row>
    <row r="1724" ht="24" customHeight="1" spans="1:23" s="39" customFormat="1" x14ac:dyDescent="0.25">
      <c r="A1724" s="47">
        <v>1392</v>
      </c>
      <c r="B1724" s="32" t="s">
        <v>1835</v>
      </c>
      <c r="C1724" s="48" t="s">
        <v>24</v>
      </c>
      <c r="D1724" s="49">
        <v>2022</v>
      </c>
      <c r="E1724" s="49" t="s">
        <v>25</v>
      </c>
      <c r="F1724" s="6">
        <v>9</v>
      </c>
      <c r="G1724" s="6">
        <v>8</v>
      </c>
      <c r="H1724" s="6">
        <v>8</v>
      </c>
      <c r="I1724" s="6">
        <v>8</v>
      </c>
      <c r="J1724" s="6">
        <v>9</v>
      </c>
      <c r="K1724" s="6">
        <v>9</v>
      </c>
      <c r="L1724" s="6"/>
      <c r="M1724" s="6">
        <v>8</v>
      </c>
      <c r="N1724" s="6">
        <v>8</v>
      </c>
      <c r="O1724" s="6">
        <v>8</v>
      </c>
      <c r="P1724" s="6">
        <v>8</v>
      </c>
      <c r="Q1724" s="6">
        <v>9</v>
      </c>
      <c r="R1724" s="6"/>
      <c r="S1724" s="35">
        <f>SUM(F1724:R1724)</f>
        <v>92</v>
      </c>
      <c r="T1724" s="35">
        <f>COUNT(F1724:R1724)</f>
        <v>11</v>
      </c>
      <c r="U1724" s="36">
        <f>IF(T1724&gt;=2,ROUND((IF(T1724=2,0.55,IF(T1724&lt;=4,0.7,IF(T1724&lt;=6,0.8,IF(T1724&lt;=9,0.9,1))))*(S1724/T1724)+(1-(IF(T1724=2,0.55,IF(T1724&lt;=4,0.7,IF(T1724&lt;=6,0.8,IF(T1724&lt;=9,0.9,1))))))*$Y$1),1),"")</f>
        <v>8.4</v>
      </c>
      <c r="V1724" s="37">
        <v>7.2</v>
      </c>
      <c r="W1724" s="38" t="s">
        <v>44</v>
      </c>
    </row>
    <row r="1725" ht="24" customHeight="1" spans="1:23" x14ac:dyDescent="0.25">
      <c r="A1725" s="31">
        <v>1398</v>
      </c>
      <c r="B1725" s="32" t="s">
        <v>1836</v>
      </c>
      <c r="C1725" s="33" t="s">
        <v>24</v>
      </c>
      <c r="D1725" s="34">
        <v>2022</v>
      </c>
      <c r="E1725" s="34" t="s">
        <v>27</v>
      </c>
      <c r="F1725" s="6">
        <v>4</v>
      </c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35">
        <f>SUM(F1725:R1725)</f>
        <v>4</v>
      </c>
      <c r="T1725" s="35">
        <f>COUNT(F1725:R1725)</f>
        <v>1</v>
      </c>
      <c r="U1725" s="36">
        <f>IF(T1725&gt;=2,ROUND((IF(T1725=2,0.55,IF(T1725&lt;=4,0.7,IF(T1725&lt;=6,0.8,IF(T1725&lt;=9,0.9,1))))*(S1725/T1725)+(1-(IF(T1725=2,0.55,IF(T1725&lt;=4,0.7,IF(T1725&lt;=6,0.8,IF(T1725&lt;=9,0.9,1))))))*$Y$1),1),"")</f>
      </c>
      <c r="V1725" s="37">
        <v>5.7</v>
      </c>
      <c r="W1725" s="38"/>
    </row>
    <row r="1726" ht="24" customHeight="1" spans="1:23" x14ac:dyDescent="0.25">
      <c r="A1726" s="40">
        <v>2162</v>
      </c>
      <c r="B1726" s="32" t="s">
        <v>1837</v>
      </c>
      <c r="C1726" s="33" t="s">
        <v>24</v>
      </c>
      <c r="D1726" s="34">
        <v>2005</v>
      </c>
      <c r="E1726" s="41"/>
      <c r="F1726" s="6"/>
      <c r="G1726" s="6">
        <v>7</v>
      </c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35">
        <f>SUM(F1726:R1726)</f>
        <v>7</v>
      </c>
      <c r="T1726" s="35">
        <f>COUNT(F1726:R1726)</f>
        <v>1</v>
      </c>
      <c r="U1726" s="36">
        <f>IF(T1726&gt;=2,ROUND((IF(T1726=2,0.55,IF(T1726&lt;=4,0.7,IF(T1726&lt;=6,0.8,IF(T1726&lt;=9,0.9,1))))*(S1726/T1726)+(1-(IF(T1726=2,0.55,IF(T1726&lt;=4,0.7,IF(T1726&lt;=6,0.8,IF(T1726&lt;=9,0.9,1))))))*$Y$1),1),"")</f>
      </c>
      <c r="V1726" s="37">
        <v>7.4</v>
      </c>
      <c r="W1726" s="38"/>
    </row>
    <row r="1727" ht="47.25" customHeight="1" spans="1:23" x14ac:dyDescent="0.25">
      <c r="A1727" s="31">
        <v>645</v>
      </c>
      <c r="B1727" s="32" t="s">
        <v>1838</v>
      </c>
      <c r="C1727" s="33" t="s">
        <v>29</v>
      </c>
      <c r="D1727" s="34">
        <v>2013</v>
      </c>
      <c r="E1727" s="34" t="s">
        <v>30</v>
      </c>
      <c r="F1727" s="6"/>
      <c r="G1727" s="6"/>
      <c r="H1727" s="6"/>
      <c r="I1727" s="6"/>
      <c r="J1727" s="6"/>
      <c r="K1727" s="6"/>
      <c r="L1727" s="6"/>
      <c r="M1727" s="6"/>
      <c r="N1727" s="6">
        <v>8</v>
      </c>
      <c r="O1727" s="6"/>
      <c r="P1727" s="6"/>
      <c r="Q1727" s="6"/>
      <c r="R1727" s="6"/>
      <c r="S1727" s="35">
        <f>SUM(F1727:R1727)</f>
        <v>8</v>
      </c>
      <c r="T1727" s="35">
        <f>COUNT(F1727:R1727)</f>
        <v>1</v>
      </c>
      <c r="U1727" s="36">
        <f>IF(T1727&gt;=2,ROUND((IF(T1727=2,0.55,IF(T1727&lt;=4,0.7,IF(T1727&lt;=6,0.8,IF(T1727&lt;=9,0.9,1))))*(S1727/T1727)+(1-(IF(T1727=2,0.55,IF(T1727&lt;=4,0.7,IF(T1727&lt;=6,0.8,IF(T1727&lt;=9,0.9,1))))))*$Y$1),1),"")</f>
      </c>
      <c r="V1727" s="37">
        <v>7.5</v>
      </c>
      <c r="W1727" s="38"/>
    </row>
    <row r="1728" ht="24" customHeight="1" spans="1:23" x14ac:dyDescent="0.25">
      <c r="A1728" s="31">
        <v>1496</v>
      </c>
      <c r="B1728" s="32" t="s">
        <v>1839</v>
      </c>
      <c r="C1728" s="33" t="s">
        <v>24</v>
      </c>
      <c r="D1728" s="34">
        <v>2016</v>
      </c>
      <c r="E1728" s="34" t="s">
        <v>30</v>
      </c>
      <c r="F1728" s="6"/>
      <c r="G1728" s="6"/>
      <c r="H1728" s="6"/>
      <c r="I1728" s="6">
        <v>6</v>
      </c>
      <c r="J1728" s="6">
        <v>8</v>
      </c>
      <c r="K1728" s="6">
        <v>6</v>
      </c>
      <c r="L1728" s="6"/>
      <c r="M1728" s="6"/>
      <c r="N1728" s="6"/>
      <c r="O1728" s="6"/>
      <c r="P1728" s="6"/>
      <c r="Q1728" s="6">
        <v>6</v>
      </c>
      <c r="R1728" s="6"/>
      <c r="S1728" s="35">
        <f>SUM(F1728:R1728)</f>
        <v>26</v>
      </c>
      <c r="T1728" s="35">
        <f>COUNT(F1728:R1728)</f>
        <v>4</v>
      </c>
      <c r="U1728" s="36">
        <f>IF(T1728&gt;=2,ROUND((IF(T1728=2,0.55,IF(T1728&lt;=4,0.7,IF(T1728&lt;=6,0.8,IF(T1728&lt;=9,0.9,1))))*(S1728/T1728)+(1-(IF(T1728=2,0.55,IF(T1728&lt;=4,0.7,IF(T1728&lt;=6,0.8,IF(T1728&lt;=9,0.9,1))))))*$Y$1),1),"")</f>
        <v>7</v>
      </c>
      <c r="V1728" s="37">
        <v>7.2</v>
      </c>
      <c r="W1728" s="38"/>
    </row>
    <row r="1729" ht="24" customHeight="1" spans="1:23" x14ac:dyDescent="0.25">
      <c r="A1729" s="47">
        <v>220</v>
      </c>
      <c r="B1729" s="32" t="s">
        <v>1840</v>
      </c>
      <c r="C1729" s="48" t="s">
        <v>24</v>
      </c>
      <c r="D1729" s="49">
        <v>2013</v>
      </c>
      <c r="E1729" s="49" t="s">
        <v>27</v>
      </c>
      <c r="F1729" s="6">
        <v>8</v>
      </c>
      <c r="G1729" s="6">
        <v>7</v>
      </c>
      <c r="H1729" s="6">
        <v>8</v>
      </c>
      <c r="I1729" s="6">
        <v>8</v>
      </c>
      <c r="J1729" s="6">
        <v>8</v>
      </c>
      <c r="K1729" s="6">
        <v>8</v>
      </c>
      <c r="L1729" s="6">
        <v>10</v>
      </c>
      <c r="M1729" s="6">
        <v>8</v>
      </c>
      <c r="N1729" s="6">
        <v>7</v>
      </c>
      <c r="O1729" s="6">
        <v>8</v>
      </c>
      <c r="P1729" s="6">
        <v>8</v>
      </c>
      <c r="Q1729" s="6">
        <v>8</v>
      </c>
      <c r="R1729" s="6">
        <v>7</v>
      </c>
      <c r="S1729" s="35">
        <f>SUM(F1729:R1729)</f>
        <v>103</v>
      </c>
      <c r="T1729" s="35">
        <f>COUNT(F1729:R1729)</f>
        <v>13</v>
      </c>
      <c r="U1729" s="36">
        <f>IF(T1729&gt;=2,ROUND((IF(T1729=2,0.55,IF(T1729&lt;=4,0.7,IF(T1729&lt;=6,0.8,IF(T1729&lt;=9,0.9,1))))*(S1729/T1729)+(1-(IF(T1729=2,0.55,IF(T1729&lt;=4,0.7,IF(T1729&lt;=6,0.8,IF(T1729&lt;=9,0.9,1))))))*$Y$1),1),"")</f>
        <v>7.9</v>
      </c>
      <c r="V1729" s="37">
        <v>7.3</v>
      </c>
      <c r="W1729" s="38" t="s">
        <v>44</v>
      </c>
    </row>
    <row r="1730" ht="24" customHeight="1" spans="1:23" x14ac:dyDescent="0.25">
      <c r="A1730" s="31">
        <v>1407</v>
      </c>
      <c r="B1730" s="32" t="s">
        <v>1841</v>
      </c>
      <c r="C1730" s="33" t="s">
        <v>24</v>
      </c>
      <c r="D1730" s="34">
        <v>2022</v>
      </c>
      <c r="E1730" s="34" t="s">
        <v>30</v>
      </c>
      <c r="F1730" s="6"/>
      <c r="G1730" s="6"/>
      <c r="H1730" s="6"/>
      <c r="I1730" s="6"/>
      <c r="J1730" s="6"/>
      <c r="K1730" s="6">
        <v>6</v>
      </c>
      <c r="L1730" s="6"/>
      <c r="M1730" s="6"/>
      <c r="N1730" s="6"/>
      <c r="O1730" s="6"/>
      <c r="P1730" s="6"/>
      <c r="Q1730" s="6">
        <v>6</v>
      </c>
      <c r="R1730" s="6"/>
      <c r="S1730" s="35">
        <f>SUM(F1730:R1730)</f>
        <v>12</v>
      </c>
      <c r="T1730" s="35">
        <f>COUNT(F1730:R1730)</f>
        <v>2</v>
      </c>
      <c r="U1730" s="36">
        <f>IF(T1730&gt;=2,ROUND((IF(T1730=2,0.55,IF(T1730&lt;=4,0.7,IF(T1730&lt;=6,0.8,IF(T1730&lt;=9,0.9,1))))*(S1730/T1730)+(1-(IF(T1730=2,0.55,IF(T1730&lt;=4,0.7,IF(T1730&lt;=6,0.8,IF(T1730&lt;=9,0.9,1))))))*$Y$1),1),"")</f>
        <v>6.9</v>
      </c>
      <c r="V1730" s="37">
        <v>5.4</v>
      </c>
      <c r="W1730" s="38"/>
    </row>
    <row r="1731" ht="24" customHeight="1" spans="1:23" x14ac:dyDescent="0.25">
      <c r="A1731" s="31">
        <v>2032</v>
      </c>
      <c r="B1731" s="32" t="s">
        <v>1842</v>
      </c>
      <c r="C1731" s="33" t="s">
        <v>29</v>
      </c>
      <c r="D1731" s="34">
        <v>2005</v>
      </c>
      <c r="E1731" s="41"/>
      <c r="F1731" s="6"/>
      <c r="G1731" s="6"/>
      <c r="H1731" s="6">
        <v>8</v>
      </c>
      <c r="I1731" s="6"/>
      <c r="J1731" s="6"/>
      <c r="K1731" s="6"/>
      <c r="L1731" s="6">
        <v>8</v>
      </c>
      <c r="M1731" s="6"/>
      <c r="N1731" s="6"/>
      <c r="O1731" s="6"/>
      <c r="P1731" s="6"/>
      <c r="Q1731" s="6"/>
      <c r="R1731" s="6"/>
      <c r="S1731" s="35">
        <f>SUM(F1731:R1731)</f>
        <v>16</v>
      </c>
      <c r="T1731" s="35">
        <f>COUNT(F1731:R1731)</f>
        <v>2</v>
      </c>
      <c r="U1731" s="36">
        <f>IF(T1731&gt;=2,ROUND((IF(T1731=2,0.55,IF(T1731&lt;=4,0.7,IF(T1731&lt;=6,0.8,IF(T1731&lt;=9,0.9,1))))*(S1731/T1731)+(1-(IF(T1731=2,0.55,IF(T1731&lt;=4,0.7,IF(T1731&lt;=6,0.8,IF(T1731&lt;=9,0.9,1))))))*$Y$1),1),"")</f>
        <v>8</v>
      </c>
      <c r="V1731" s="37">
        <v>8.3</v>
      </c>
      <c r="W1731" s="38"/>
    </row>
    <row r="1732" ht="24" customHeight="1" spans="1:23" x14ac:dyDescent="0.25">
      <c r="A1732" s="31">
        <v>1920</v>
      </c>
      <c r="B1732" s="32" t="s">
        <v>1843</v>
      </c>
      <c r="C1732" s="33" t="s">
        <v>24</v>
      </c>
      <c r="D1732" s="34">
        <v>2024</v>
      </c>
      <c r="E1732" s="34" t="s">
        <v>141</v>
      </c>
      <c r="F1732" s="6"/>
      <c r="G1732" s="6"/>
      <c r="H1732" s="6"/>
      <c r="I1732" s="6"/>
      <c r="J1732" s="6"/>
      <c r="K1732" s="6"/>
      <c r="L1732" s="6"/>
      <c r="M1732" s="6"/>
      <c r="N1732" s="6"/>
      <c r="O1732" s="6">
        <v>7</v>
      </c>
      <c r="P1732" s="6"/>
      <c r="Q1732" s="6"/>
      <c r="R1732" s="6"/>
      <c r="S1732" s="35">
        <f>SUM(F1732:R1732)</f>
        <v>7</v>
      </c>
      <c r="T1732" s="35">
        <f>COUNT(F1732:R1732)</f>
        <v>1</v>
      </c>
      <c r="U1732" s="36">
        <f>IF(T1732&gt;=2,ROUND((IF(T1732=2,0.55,IF(T1732&lt;=4,0.7,IF(T1732&lt;=6,0.8,IF(T1732&lt;=9,0.9,1))))*(S1732/T1732)+(1-(IF(T1732=2,0.55,IF(T1732&lt;=4,0.7,IF(T1732&lt;=6,0.8,IF(T1732&lt;=9,0.9,1))))))*$Y$1),1),"")</f>
      </c>
      <c r="V1732" s="37">
        <v>5.2</v>
      </c>
      <c r="W1732" s="38"/>
    </row>
    <row r="1733" ht="24" customHeight="1" spans="1:23" x14ac:dyDescent="0.25">
      <c r="A1733" s="40">
        <v>2371</v>
      </c>
      <c r="B1733" s="32" t="s">
        <v>1844</v>
      </c>
      <c r="C1733" s="33" t="s">
        <v>29</v>
      </c>
      <c r="D1733" s="34">
        <v>2025</v>
      </c>
      <c r="E1733" s="41"/>
      <c r="F1733" s="6">
        <v>7</v>
      </c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35">
        <f>SUM(F1733:R1733)</f>
        <v>7</v>
      </c>
      <c r="T1733" s="35">
        <f>COUNT(F1733:R1733)</f>
        <v>1</v>
      </c>
      <c r="U1733" s="36">
        <f>IF(T1733&gt;=2,ROUND((IF(T1733=2,0.55,IF(T1733&lt;=4,0.7,IF(T1733&lt;=6,0.8,IF(T1733&lt;=9,0.9,1))))*(S1733/T1733)+(1-(IF(T1733=2,0.55,IF(T1733&lt;=4,0.7,IF(T1733&lt;=6,0.8,IF(T1733&lt;=9,0.9,1))))))*$Y$1),1),"")</f>
      </c>
      <c r="V1733" s="37">
        <v>7.3</v>
      </c>
      <c r="W1733" s="38"/>
    </row>
    <row r="1734" ht="24" customHeight="1" spans="1:23" x14ac:dyDescent="0.25">
      <c r="A1734" s="31">
        <v>1971</v>
      </c>
      <c r="B1734" s="32" t="s">
        <v>1845</v>
      </c>
      <c r="C1734" s="33" t="s">
        <v>29</v>
      </c>
      <c r="D1734" s="34">
        <v>2024</v>
      </c>
      <c r="E1734" s="34" t="s">
        <v>30</v>
      </c>
      <c r="F1734" s="6"/>
      <c r="G1734" s="6"/>
      <c r="H1734" s="6">
        <v>7</v>
      </c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35">
        <f>SUM(F1734:R1734)</f>
        <v>7</v>
      </c>
      <c r="T1734" s="35">
        <f>COUNT(F1734:R1734)</f>
        <v>1</v>
      </c>
      <c r="U1734" s="36">
        <f>IF(T1734&gt;=2,ROUND((IF(T1734=2,0.55,IF(T1734&lt;=4,0.7,IF(T1734&lt;=6,0.8,IF(T1734&lt;=9,0.9,1))))*(S1734/T1734)+(1-(IF(T1734=2,0.55,IF(T1734&lt;=4,0.7,IF(T1734&lt;=6,0.8,IF(T1734&lt;=9,0.9,1))))))*$Y$1),1),"")</f>
      </c>
      <c r="V1734" s="37">
        <v>7.2</v>
      </c>
      <c r="W1734" s="38"/>
    </row>
    <row r="1735" ht="24" customHeight="1" spans="1:23" x14ac:dyDescent="0.25">
      <c r="A1735" s="31">
        <v>1373</v>
      </c>
      <c r="B1735" s="32" t="s">
        <v>1846</v>
      </c>
      <c r="C1735" s="33" t="s">
        <v>29</v>
      </c>
      <c r="D1735" s="34">
        <v>2022</v>
      </c>
      <c r="E1735" s="34" t="s">
        <v>1061</v>
      </c>
      <c r="F1735" s="6"/>
      <c r="G1735" s="6"/>
      <c r="H1735" s="6"/>
      <c r="I1735" s="6"/>
      <c r="J1735" s="6"/>
      <c r="K1735" s="6"/>
      <c r="L1735" s="6">
        <v>9</v>
      </c>
      <c r="M1735" s="6"/>
      <c r="N1735" s="6"/>
      <c r="O1735" s="6"/>
      <c r="P1735" s="6"/>
      <c r="Q1735" s="6"/>
      <c r="R1735" s="6"/>
      <c r="S1735" s="35">
        <f>SUM(F1735:R1735)</f>
        <v>9</v>
      </c>
      <c r="T1735" s="35">
        <f>COUNT(F1735:R1735)</f>
        <v>1</v>
      </c>
      <c r="U1735" s="36">
        <f>IF(T1735&gt;=2,ROUND((IF(T1735=2,0.55,IF(T1735&lt;=4,0.7,IF(T1735&lt;=6,0.8,IF(T1735&lt;=9,0.9,1))))*(S1735/T1735)+(1-(IF(T1735=2,0.55,IF(T1735&lt;=4,0.7,IF(T1735&lt;=6,0.8,IF(T1735&lt;=9,0.9,1))))))*$Y$1),1),"")</f>
      </c>
      <c r="V1735" s="37">
        <v>8.1</v>
      </c>
      <c r="W1735" s="38"/>
    </row>
    <row r="1736" ht="24" customHeight="1" spans="1:23" x14ac:dyDescent="0.25">
      <c r="A1736" s="40">
        <v>2278</v>
      </c>
      <c r="B1736" s="32" t="s">
        <v>1847</v>
      </c>
      <c r="C1736" s="33" t="s">
        <v>24</v>
      </c>
      <c r="D1736" s="34">
        <v>2012</v>
      </c>
      <c r="E1736" s="41"/>
      <c r="F1736" s="6"/>
      <c r="G1736" s="6">
        <v>6</v>
      </c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35">
        <f>SUM(F1736:R1736)</f>
        <v>6</v>
      </c>
      <c r="T1736" s="35">
        <f>COUNT(F1736:R1736)</f>
        <v>1</v>
      </c>
      <c r="U1736" s="36">
        <f>IF(T1736&gt;=2,ROUND((IF(T1736=2,0.55,IF(T1736&lt;=4,0.7,IF(T1736&lt;=6,0.8,IF(T1736&lt;=9,0.9,1))))*(S1736/T1736)+(1-(IF(T1736=2,0.55,IF(T1736&lt;=4,0.7,IF(T1736&lt;=6,0.8,IF(T1736&lt;=9,0.9,1))))))*$Y$1),1),"")</f>
      </c>
      <c r="V1736" s="37">
        <v>6.1</v>
      </c>
      <c r="W1736" s="38"/>
    </row>
    <row r="1737" ht="24" customHeight="1" spans="1:23" s="39" customFormat="1" x14ac:dyDescent="0.25">
      <c r="A1737" s="31">
        <v>474</v>
      </c>
      <c r="B1737" s="32" t="s">
        <v>1848</v>
      </c>
      <c r="C1737" s="33" t="s">
        <v>24</v>
      </c>
      <c r="D1737" s="34">
        <v>2014</v>
      </c>
      <c r="E1737" s="34" t="s">
        <v>30</v>
      </c>
      <c r="F1737" s="6"/>
      <c r="G1737" s="6">
        <v>8</v>
      </c>
      <c r="H1737" s="6"/>
      <c r="I1737" s="6"/>
      <c r="J1737" s="6">
        <v>6</v>
      </c>
      <c r="K1737" s="6"/>
      <c r="L1737" s="6"/>
      <c r="M1737" s="6"/>
      <c r="N1737" s="6"/>
      <c r="O1737" s="6"/>
      <c r="P1737" s="6">
        <v>8</v>
      </c>
      <c r="Q1737" s="6"/>
      <c r="R1737" s="6"/>
      <c r="S1737" s="35">
        <f>SUM(F1737:R1737)</f>
        <v>22</v>
      </c>
      <c r="T1737" s="35">
        <f>COUNT(F1737:R1737)</f>
        <v>3</v>
      </c>
      <c r="U1737" s="36">
        <f>IF(T1737&gt;=2,ROUND((IF(T1737=2,0.55,IF(T1737&lt;=4,0.7,IF(T1737&lt;=6,0.8,IF(T1737&lt;=9,0.9,1))))*(S1737/T1737)+(1-(IF(T1737=2,0.55,IF(T1737&lt;=4,0.7,IF(T1737&lt;=6,0.8,IF(T1737&lt;=9,0.9,1))))))*$Y$1),1),"")</f>
        <v>7.6</v>
      </c>
      <c r="V1737" s="37">
        <v>7.7</v>
      </c>
      <c r="W1737" s="38"/>
    </row>
    <row r="1738" ht="24" customHeight="1" spans="1:23" x14ac:dyDescent="0.25">
      <c r="A1738" s="31">
        <v>26</v>
      </c>
      <c r="B1738" s="32" t="s">
        <v>1849</v>
      </c>
      <c r="C1738" s="33" t="s">
        <v>24</v>
      </c>
      <c r="D1738" s="34">
        <v>2018</v>
      </c>
      <c r="E1738" s="34" t="s">
        <v>30</v>
      </c>
      <c r="F1738" s="6"/>
      <c r="G1738" s="6"/>
      <c r="H1738" s="6">
        <v>6</v>
      </c>
      <c r="I1738" s="6">
        <v>8</v>
      </c>
      <c r="J1738" s="6">
        <v>6</v>
      </c>
      <c r="K1738" s="6">
        <v>10</v>
      </c>
      <c r="L1738" s="6"/>
      <c r="M1738" s="6"/>
      <c r="N1738" s="6"/>
      <c r="O1738" s="6"/>
      <c r="P1738" s="6"/>
      <c r="Q1738" s="6">
        <v>10</v>
      </c>
      <c r="R1738" s="6"/>
      <c r="S1738" s="35">
        <f>SUM(F1738:R1738)</f>
        <v>40</v>
      </c>
      <c r="T1738" s="35">
        <f>COUNT(F1738:R1738)</f>
        <v>5</v>
      </c>
      <c r="U1738" s="36">
        <f>IF(T1738&gt;=2,ROUND((IF(T1738=2,0.55,IF(T1738&lt;=4,0.7,IF(T1738&lt;=6,0.8,IF(T1738&lt;=9,0.9,1))))*(S1738/T1738)+(1-(IF(T1738=2,0.55,IF(T1738&lt;=4,0.7,IF(T1738&lt;=6,0.8,IF(T1738&lt;=9,0.9,1))))))*$Y$1),1),"")</f>
        <v>8</v>
      </c>
      <c r="V1738" s="37">
        <v>6.6</v>
      </c>
      <c r="W1738" s="38"/>
    </row>
    <row r="1739" ht="24" customHeight="1" spans="1:23" x14ac:dyDescent="0.25">
      <c r="A1739" s="42">
        <v>278</v>
      </c>
      <c r="B1739" s="32" t="s">
        <v>1850</v>
      </c>
      <c r="C1739" s="43" t="s">
        <v>24</v>
      </c>
      <c r="D1739" s="44">
        <v>2000</v>
      </c>
      <c r="E1739" s="44" t="s">
        <v>92</v>
      </c>
      <c r="F1739" s="6">
        <v>10</v>
      </c>
      <c r="G1739" s="6">
        <v>10</v>
      </c>
      <c r="H1739" s="6">
        <v>10</v>
      </c>
      <c r="I1739" s="6">
        <v>10</v>
      </c>
      <c r="J1739" s="6">
        <v>10</v>
      </c>
      <c r="K1739" s="6">
        <v>10</v>
      </c>
      <c r="L1739" s="6">
        <v>10</v>
      </c>
      <c r="M1739" s="6">
        <v>10</v>
      </c>
      <c r="N1739" s="6">
        <v>10</v>
      </c>
      <c r="O1739" s="6"/>
      <c r="P1739" s="6">
        <v>10</v>
      </c>
      <c r="Q1739" s="6">
        <v>10</v>
      </c>
      <c r="R1739" s="6">
        <v>10</v>
      </c>
      <c r="S1739" s="35">
        <f>SUM(F1739:R1739)</f>
        <v>120</v>
      </c>
      <c r="T1739" s="35">
        <f>COUNT(F1739:R1739)</f>
        <v>12</v>
      </c>
      <c r="U1739" s="36">
        <f>IF(T1739&gt;=2,ROUND((IF(T1739=2,0.55,IF(T1739&lt;=4,0.7,IF(T1739&lt;=6,0.8,IF(T1739&lt;=9,0.9,1))))*(S1739/T1739)+(1-(IF(T1739=2,0.55,IF(T1739&lt;=4,0.7,IF(T1739&lt;=6,0.8,IF(T1739&lt;=9,0.9,1))))))*$Y$1),1),"")</f>
        <v>10</v>
      </c>
      <c r="V1739" s="37">
        <v>7.7</v>
      </c>
      <c r="W1739" s="38" t="s">
        <v>44</v>
      </c>
    </row>
    <row r="1740" ht="24" customHeight="1" spans="1:23" x14ac:dyDescent="0.25">
      <c r="A1740" s="31">
        <v>25</v>
      </c>
      <c r="B1740" s="32" t="s">
        <v>1851</v>
      </c>
      <c r="C1740" s="33" t="s">
        <v>29</v>
      </c>
      <c r="D1740" s="34">
        <v>2017</v>
      </c>
      <c r="E1740" s="34" t="s">
        <v>106</v>
      </c>
      <c r="F1740" s="6">
        <v>8</v>
      </c>
      <c r="G1740" s="6"/>
      <c r="H1740" s="6">
        <v>9</v>
      </c>
      <c r="I1740" s="6"/>
      <c r="J1740" s="6">
        <v>8</v>
      </c>
      <c r="K1740" s="6"/>
      <c r="L1740" s="6">
        <v>10</v>
      </c>
      <c r="M1740" s="6"/>
      <c r="N1740" s="6"/>
      <c r="O1740" s="6"/>
      <c r="P1740" s="6"/>
      <c r="Q1740" s="6"/>
      <c r="R1740" s="6"/>
      <c r="S1740" s="35">
        <f>SUM(F1740:R1740)</f>
        <v>35</v>
      </c>
      <c r="T1740" s="35">
        <f>COUNT(F1740:R1740)</f>
        <v>4</v>
      </c>
      <c r="U1740" s="36">
        <f>IF(T1740&gt;=2,ROUND((IF(T1740=2,0.55,IF(T1740&lt;=4,0.7,IF(T1740&lt;=6,0.8,IF(T1740&lt;=9,0.9,1))))*(S1740/T1740)+(1-(IF(T1740=2,0.55,IF(T1740&lt;=4,0.7,IF(T1740&lt;=6,0.8,IF(T1740&lt;=9,0.9,1))))))*$Y$1),1),"")</f>
        <v>8.6</v>
      </c>
      <c r="V1740" s="37">
        <v>8.4</v>
      </c>
      <c r="W1740" s="38"/>
    </row>
    <row r="1741" ht="24" customHeight="1" spans="1:23" x14ac:dyDescent="0.25">
      <c r="A1741" s="40">
        <v>2117</v>
      </c>
      <c r="B1741" s="32" t="s">
        <v>1852</v>
      </c>
      <c r="C1741" s="33" t="s">
        <v>24</v>
      </c>
      <c r="D1741" s="34">
        <v>2000</v>
      </c>
      <c r="E1741" s="41"/>
      <c r="F1741" s="6"/>
      <c r="G1741" s="6">
        <v>7</v>
      </c>
      <c r="H1741" s="6"/>
      <c r="I1741" s="6"/>
      <c r="J1741" s="6"/>
      <c r="K1741" s="6"/>
      <c r="L1741" s="6">
        <v>7.5</v>
      </c>
      <c r="M1741" s="6"/>
      <c r="N1741" s="6"/>
      <c r="O1741" s="6"/>
      <c r="P1741" s="6"/>
      <c r="Q1741" s="6"/>
      <c r="R1741" s="6"/>
      <c r="S1741" s="35">
        <f>SUM(F1741:R1741)</f>
        <v>14.5</v>
      </c>
      <c r="T1741" s="35">
        <f>COUNT(F1741:R1741)</f>
        <v>2</v>
      </c>
      <c r="U1741" s="36">
        <f>IF(T1741&gt;=2,ROUND((IF(T1741=2,0.55,IF(T1741&lt;=4,0.7,IF(T1741&lt;=6,0.8,IF(T1741&lt;=9,0.9,1))))*(S1741/T1741)+(1-(IF(T1741=2,0.55,IF(T1741&lt;=4,0.7,IF(T1741&lt;=6,0.8,IF(T1741&lt;=9,0.9,1))))))*$Y$1),1),"")</f>
        <v>7.6</v>
      </c>
      <c r="V1741" s="37">
        <v>7.7</v>
      </c>
      <c r="W1741" s="38"/>
    </row>
    <row r="1742" ht="24" customHeight="1" spans="1:23" x14ac:dyDescent="0.25">
      <c r="A1742" s="31">
        <v>1003</v>
      </c>
      <c r="B1742" s="32" t="s">
        <v>1853</v>
      </c>
      <c r="C1742" s="33" t="s">
        <v>29</v>
      </c>
      <c r="D1742" s="34">
        <v>2015</v>
      </c>
      <c r="E1742" s="34" t="s">
        <v>30</v>
      </c>
      <c r="F1742" s="6"/>
      <c r="G1742" s="6"/>
      <c r="H1742" s="6"/>
      <c r="I1742" s="6"/>
      <c r="J1742" s="6">
        <v>8</v>
      </c>
      <c r="K1742" s="6"/>
      <c r="L1742" s="6"/>
      <c r="M1742" s="6"/>
      <c r="N1742" s="6"/>
      <c r="O1742" s="6"/>
      <c r="P1742" s="6"/>
      <c r="Q1742" s="6"/>
      <c r="R1742" s="6"/>
      <c r="S1742" s="35">
        <f>SUM(F1742:R1742)</f>
        <v>8</v>
      </c>
      <c r="T1742" s="35">
        <f>COUNT(F1742:R1742)</f>
        <v>1</v>
      </c>
      <c r="U1742" s="36">
        <f>IF(T1742&gt;=2,ROUND((IF(T1742=2,0.55,IF(T1742&lt;=4,0.7,IF(T1742&lt;=6,0.8,IF(T1742&lt;=9,0.9,1))))*(S1742/T1742)+(1-(IF(T1742=2,0.55,IF(T1742&lt;=4,0.7,IF(T1742&lt;=6,0.8,IF(T1742&lt;=9,0.9,1))))))*$Y$1),1),"")</f>
      </c>
      <c r="V1742" s="37">
        <v>9</v>
      </c>
      <c r="W1742" s="38"/>
    </row>
    <row r="1743" ht="24" customHeight="1" spans="1:23" x14ac:dyDescent="0.25">
      <c r="A1743" s="40">
        <v>2385</v>
      </c>
      <c r="B1743" s="32" t="s">
        <v>1854</v>
      </c>
      <c r="C1743" s="33" t="s">
        <v>29</v>
      </c>
      <c r="D1743" s="34">
        <v>2025</v>
      </c>
      <c r="E1743" s="41"/>
      <c r="F1743" s="6"/>
      <c r="G1743" s="6"/>
      <c r="H1743" s="6">
        <v>7</v>
      </c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35">
        <f>SUM(F1743:R1743)</f>
        <v>7</v>
      </c>
      <c r="T1743" s="35">
        <f>COUNT(F1743:R1743)</f>
        <v>1</v>
      </c>
      <c r="U1743" s="36">
        <f>IF(T1743&gt;=2,ROUND((IF(T1743=2,0.55,IF(T1743&lt;=4,0.7,IF(T1743&lt;=6,0.8,IF(T1743&lt;=9,0.9,1))))*(S1743/T1743)+(1-(IF(T1743=2,0.55,IF(T1743&lt;=4,0.7,IF(T1743&lt;=6,0.8,IF(T1743&lt;=9,0.9,1))))))*$Y$1),1),"")</f>
      </c>
      <c r="V1743" s="37">
        <v>5.3</v>
      </c>
      <c r="W1743" s="38"/>
    </row>
    <row r="1744" ht="24" customHeight="1" spans="1:23" x14ac:dyDescent="0.25">
      <c r="A1744" s="31">
        <v>1298</v>
      </c>
      <c r="B1744" s="32" t="s">
        <v>1855</v>
      </c>
      <c r="C1744" s="33" t="s">
        <v>24</v>
      </c>
      <c r="D1744" s="34">
        <v>2018</v>
      </c>
      <c r="E1744" s="34" t="s">
        <v>167</v>
      </c>
      <c r="F1744" s="6">
        <v>6</v>
      </c>
      <c r="G1744" s="6">
        <v>7</v>
      </c>
      <c r="H1744" s="6"/>
      <c r="I1744" s="6"/>
      <c r="J1744" s="6"/>
      <c r="K1744" s="6">
        <v>7</v>
      </c>
      <c r="L1744" s="6">
        <v>7</v>
      </c>
      <c r="M1744" s="6"/>
      <c r="N1744" s="6">
        <v>6</v>
      </c>
      <c r="O1744" s="6"/>
      <c r="P1744" s="6">
        <v>8</v>
      </c>
      <c r="Q1744" s="6">
        <v>7</v>
      </c>
      <c r="R1744" s="6"/>
      <c r="S1744" s="35">
        <f>SUM(F1744:R1744)</f>
        <v>48</v>
      </c>
      <c r="T1744" s="35">
        <f>COUNT(F1744:R1744)</f>
        <v>7</v>
      </c>
      <c r="U1744" s="36">
        <f>IF(T1744&gt;=2,ROUND((IF(T1744=2,0.55,IF(T1744&lt;=4,0.7,IF(T1744&lt;=6,0.8,IF(T1744&lt;=9,0.9,1))))*(S1744/T1744)+(1-(IF(T1744=2,0.55,IF(T1744&lt;=4,0.7,IF(T1744&lt;=6,0.8,IF(T1744&lt;=9,0.9,1))))))*$Y$1),1),"")</f>
        <v>7</v>
      </c>
      <c r="V1744" s="37">
        <v>7.1</v>
      </c>
      <c r="W1744" s="38"/>
    </row>
    <row r="1745" ht="24" customHeight="1" spans="1:23" x14ac:dyDescent="0.25">
      <c r="A1745" s="31">
        <v>473</v>
      </c>
      <c r="B1745" s="32" t="s">
        <v>1856</v>
      </c>
      <c r="C1745" s="33" t="s">
        <v>24</v>
      </c>
      <c r="D1745" s="34">
        <v>1959</v>
      </c>
      <c r="E1745" s="34" t="s">
        <v>92</v>
      </c>
      <c r="F1745" s="6"/>
      <c r="G1745" s="6">
        <v>8</v>
      </c>
      <c r="H1745" s="6">
        <v>8</v>
      </c>
      <c r="I1745" s="6">
        <v>10</v>
      </c>
      <c r="J1745" s="6"/>
      <c r="K1745" s="6">
        <v>8</v>
      </c>
      <c r="L1745" s="6"/>
      <c r="M1745" s="6">
        <v>8</v>
      </c>
      <c r="N1745" s="6">
        <v>8</v>
      </c>
      <c r="O1745" s="6"/>
      <c r="P1745" s="6">
        <v>8</v>
      </c>
      <c r="Q1745" s="6">
        <v>8</v>
      </c>
      <c r="R1745" s="6"/>
      <c r="S1745" s="35">
        <f>SUM(F1745:R1745)</f>
        <v>66</v>
      </c>
      <c r="T1745" s="35">
        <f>COUNT(F1745:R1745)</f>
        <v>8</v>
      </c>
      <c r="U1745" s="36">
        <f>IF(T1745&gt;=2,ROUND((IF(T1745=2,0.55,IF(T1745&lt;=4,0.7,IF(T1745&lt;=6,0.8,IF(T1745&lt;=9,0.9,1))))*(S1745/T1745)+(1-(IF(T1745=2,0.55,IF(T1745&lt;=4,0.7,IF(T1745&lt;=6,0.8,IF(T1745&lt;=9,0.9,1))))))*$Y$1),1),"")</f>
        <v>8.2</v>
      </c>
      <c r="V1745" s="37">
        <v>8.1</v>
      </c>
      <c r="W1745" s="38"/>
    </row>
    <row r="1746" ht="24" customHeight="1" spans="1:23" x14ac:dyDescent="0.25">
      <c r="A1746" s="31">
        <v>610</v>
      </c>
      <c r="B1746" s="32" t="s">
        <v>1857</v>
      </c>
      <c r="C1746" s="33" t="s">
        <v>24</v>
      </c>
      <c r="D1746" s="34">
        <v>2016</v>
      </c>
      <c r="E1746" s="34" t="s">
        <v>30</v>
      </c>
      <c r="F1746" s="6"/>
      <c r="G1746" s="6"/>
      <c r="H1746" s="6"/>
      <c r="I1746" s="6"/>
      <c r="J1746" s="6">
        <v>8</v>
      </c>
      <c r="K1746" s="6"/>
      <c r="L1746" s="6"/>
      <c r="M1746" s="6"/>
      <c r="N1746" s="6">
        <v>8</v>
      </c>
      <c r="O1746" s="6"/>
      <c r="P1746" s="6"/>
      <c r="Q1746" s="6"/>
      <c r="R1746" s="6">
        <v>8</v>
      </c>
      <c r="S1746" s="35">
        <f>SUM(F1746:R1746)</f>
        <v>24</v>
      </c>
      <c r="T1746" s="35">
        <f>COUNT(F1746:R1746)</f>
        <v>3</v>
      </c>
      <c r="U1746" s="36">
        <f>IF(T1746&gt;=2,ROUND((IF(T1746=2,0.55,IF(T1746&lt;=4,0.7,IF(T1746&lt;=6,0.8,IF(T1746&lt;=9,0.9,1))))*(S1746/T1746)+(1-(IF(T1746=2,0.55,IF(T1746&lt;=4,0.7,IF(T1746&lt;=6,0.8,IF(T1746&lt;=9,0.9,1))))))*$Y$1),1),"")</f>
        <v>8</v>
      </c>
      <c r="V1746" s="37">
        <v>7</v>
      </c>
      <c r="W1746" s="38"/>
    </row>
    <row r="1747" ht="24" customHeight="1" spans="1:23" x14ac:dyDescent="0.25">
      <c r="A1747" s="31">
        <v>1132</v>
      </c>
      <c r="B1747" s="32" t="s">
        <v>1858</v>
      </c>
      <c r="C1747" s="33" t="s">
        <v>260</v>
      </c>
      <c r="D1747" s="34">
        <v>2020</v>
      </c>
      <c r="E1747" s="34" t="s">
        <v>69</v>
      </c>
      <c r="F1747" s="6">
        <v>8</v>
      </c>
      <c r="G1747" s="6"/>
      <c r="H1747" s="6">
        <v>10</v>
      </c>
      <c r="I1747" s="6"/>
      <c r="J1747" s="6"/>
      <c r="K1747" s="6">
        <v>8</v>
      </c>
      <c r="L1747" s="6"/>
      <c r="M1747" s="6"/>
      <c r="N1747" s="6"/>
      <c r="O1747" s="6"/>
      <c r="P1747" s="6"/>
      <c r="Q1747" s="6">
        <v>8</v>
      </c>
      <c r="R1747" s="6"/>
      <c r="S1747" s="35">
        <f>SUM(F1747:R1747)</f>
        <v>34</v>
      </c>
      <c r="T1747" s="35">
        <f>COUNT(F1747:R1747)</f>
        <v>4</v>
      </c>
      <c r="U1747" s="36">
        <f>IF(T1747&gt;=2,ROUND((IF(T1747=2,0.55,IF(T1747&lt;=4,0.7,IF(T1747&lt;=6,0.8,IF(T1747&lt;=9,0.9,1))))*(S1747/T1747)+(1-(IF(T1747=2,0.55,IF(T1747&lt;=4,0.7,IF(T1747&lt;=6,0.8,IF(T1747&lt;=9,0.9,1))))))*$Y$1),1),"")</f>
        <v>8.4</v>
      </c>
      <c r="V1747" s="37">
        <v>7.5</v>
      </c>
      <c r="W1747" s="38"/>
    </row>
    <row r="1748" ht="24" customHeight="1" spans="1:23" x14ac:dyDescent="0.25">
      <c r="A1748" s="47">
        <v>1213</v>
      </c>
      <c r="B1748" s="32" t="s">
        <v>1859</v>
      </c>
      <c r="C1748" s="48" t="s">
        <v>24</v>
      </c>
      <c r="D1748" s="49">
        <v>2021</v>
      </c>
      <c r="E1748" s="49" t="s">
        <v>25</v>
      </c>
      <c r="F1748" s="6">
        <v>8</v>
      </c>
      <c r="G1748" s="6">
        <v>9</v>
      </c>
      <c r="H1748" s="6">
        <v>8</v>
      </c>
      <c r="I1748" s="6">
        <v>6</v>
      </c>
      <c r="J1748" s="6">
        <v>8</v>
      </c>
      <c r="K1748" s="6">
        <v>6</v>
      </c>
      <c r="L1748" s="6">
        <v>8</v>
      </c>
      <c r="M1748" s="6">
        <v>8</v>
      </c>
      <c r="N1748" s="6">
        <v>8</v>
      </c>
      <c r="O1748" s="6">
        <v>8</v>
      </c>
      <c r="P1748" s="6">
        <v>10</v>
      </c>
      <c r="Q1748" s="6">
        <v>6</v>
      </c>
      <c r="R1748" s="6"/>
      <c r="S1748" s="35">
        <f>SUM(F1748:R1748)</f>
        <v>93</v>
      </c>
      <c r="T1748" s="35">
        <f>COUNT(F1748:R1748)</f>
        <v>12</v>
      </c>
      <c r="U1748" s="36">
        <f>IF(T1748&gt;=2,ROUND((IF(T1748=2,0.55,IF(T1748&lt;=4,0.7,IF(T1748&lt;=6,0.8,IF(T1748&lt;=9,0.9,1))))*(S1748/T1748)+(1-(IF(T1748=2,0.55,IF(T1748&lt;=4,0.7,IF(T1748&lt;=6,0.8,IF(T1748&lt;=9,0.9,1))))))*$Y$1),1),"")</f>
        <v>7.8</v>
      </c>
      <c r="V1748" s="37">
        <v>7.2</v>
      </c>
      <c r="W1748" s="38" t="s">
        <v>44</v>
      </c>
    </row>
    <row r="1749" ht="24" customHeight="1" spans="1:23" x14ac:dyDescent="0.25">
      <c r="A1749" s="31">
        <v>592</v>
      </c>
      <c r="B1749" s="32" t="s">
        <v>1860</v>
      </c>
      <c r="C1749" s="33" t="s">
        <v>114</v>
      </c>
      <c r="D1749" s="34">
        <v>2016</v>
      </c>
      <c r="E1749" s="34" t="s">
        <v>30</v>
      </c>
      <c r="F1749" s="6"/>
      <c r="G1749" s="6">
        <v>8</v>
      </c>
      <c r="H1749" s="6">
        <v>8</v>
      </c>
      <c r="I1749" s="6">
        <v>8</v>
      </c>
      <c r="J1749" s="6"/>
      <c r="K1749" s="6">
        <v>6</v>
      </c>
      <c r="L1749" s="6"/>
      <c r="M1749" s="6"/>
      <c r="N1749" s="6"/>
      <c r="O1749" s="6"/>
      <c r="P1749" s="6">
        <v>8</v>
      </c>
      <c r="Q1749" s="6">
        <v>6</v>
      </c>
      <c r="R1749" s="6">
        <v>8</v>
      </c>
      <c r="S1749" s="35">
        <f>SUM(F1749:R1749)</f>
        <v>52</v>
      </c>
      <c r="T1749" s="35">
        <f>COUNT(F1749:R1749)</f>
        <v>7</v>
      </c>
      <c r="U1749" s="36">
        <f>IF(T1749&gt;=2,ROUND((IF(T1749=2,0.55,IF(T1749&lt;=4,0.7,IF(T1749&lt;=6,0.8,IF(T1749&lt;=9,0.9,1))))*(S1749/T1749)+(1-(IF(T1749=2,0.55,IF(T1749&lt;=4,0.7,IF(T1749&lt;=6,0.8,IF(T1749&lt;=9,0.9,1))))))*$Y$1),1),"")</f>
        <v>7.5</v>
      </c>
      <c r="V1749" s="37">
        <v>6.8</v>
      </c>
      <c r="W1749" s="38"/>
    </row>
    <row r="1750" ht="24" customHeight="1" spans="1:23" s="39" customFormat="1" x14ac:dyDescent="0.25">
      <c r="A1750" s="31">
        <v>209</v>
      </c>
      <c r="B1750" s="32" t="s">
        <v>1861</v>
      </c>
      <c r="C1750" s="33" t="s">
        <v>24</v>
      </c>
      <c r="D1750" s="34">
        <v>1999</v>
      </c>
      <c r="E1750" s="34" t="s">
        <v>374</v>
      </c>
      <c r="F1750" s="6">
        <v>10</v>
      </c>
      <c r="G1750" s="6">
        <v>9</v>
      </c>
      <c r="H1750" s="6">
        <v>8</v>
      </c>
      <c r="I1750" s="6">
        <v>8</v>
      </c>
      <c r="J1750" s="6">
        <v>10</v>
      </c>
      <c r="K1750" s="6">
        <v>10</v>
      </c>
      <c r="L1750" s="6">
        <v>10</v>
      </c>
      <c r="M1750" s="6">
        <v>10</v>
      </c>
      <c r="N1750" s="6">
        <v>10</v>
      </c>
      <c r="O1750" s="6">
        <v>10</v>
      </c>
      <c r="P1750" s="6">
        <v>10</v>
      </c>
      <c r="Q1750" s="6">
        <v>10</v>
      </c>
      <c r="R1750" s="6">
        <v>8</v>
      </c>
      <c r="S1750" s="35">
        <f>SUM(F1750:R1750)</f>
        <v>123</v>
      </c>
      <c r="T1750" s="35">
        <f>COUNT(F1750:R1750)</f>
        <v>13</v>
      </c>
      <c r="U1750" s="36">
        <f>IF(T1750&gt;=2,ROUND((IF(T1750=2,0.55,IF(T1750&lt;=4,0.7,IF(T1750&lt;=6,0.8,IF(T1750&lt;=9,0.9,1))))*(S1750/T1750)+(1-(IF(T1750=2,0.55,IF(T1750&lt;=4,0.7,IF(T1750&lt;=6,0.8,IF(T1750&lt;=9,0.9,1))))))*$Y$1),1),"")</f>
        <v>9.5</v>
      </c>
      <c r="V1750" s="37">
        <v>8.3</v>
      </c>
      <c r="W1750" s="38"/>
    </row>
    <row r="1751" ht="24" customHeight="1" spans="1:23" x14ac:dyDescent="0.25">
      <c r="A1751" s="40">
        <v>2391</v>
      </c>
      <c r="B1751" s="32" t="s">
        <v>1862</v>
      </c>
      <c r="C1751" s="33" t="s">
        <v>24</v>
      </c>
      <c r="D1751" s="34">
        <v>2025</v>
      </c>
      <c r="E1751" s="41"/>
      <c r="F1751" s="6">
        <v>7</v>
      </c>
      <c r="G1751" s="6"/>
      <c r="H1751" s="6"/>
      <c r="I1751" s="6"/>
      <c r="J1751" s="6"/>
      <c r="K1751" s="6"/>
      <c r="L1751" s="6">
        <v>8</v>
      </c>
      <c r="M1751" s="6"/>
      <c r="N1751" s="6"/>
      <c r="O1751" s="6"/>
      <c r="P1751" s="6"/>
      <c r="Q1751" s="6"/>
      <c r="R1751" s="6"/>
      <c r="S1751" s="35">
        <f>SUM(F1751:R1751)</f>
        <v>15</v>
      </c>
      <c r="T1751" s="35">
        <f>COUNT(F1751:R1751)</f>
        <v>2</v>
      </c>
      <c r="U1751" s="36">
        <f>IF(T1751&gt;=2,ROUND((IF(T1751=2,0.55,IF(T1751&lt;=4,0.7,IF(T1751&lt;=6,0.8,IF(T1751&lt;=9,0.9,1))))*(S1751/T1751)+(1-(IF(T1751=2,0.55,IF(T1751&lt;=4,0.7,IF(T1751&lt;=6,0.8,IF(T1751&lt;=9,0.9,1))))))*$Y$1),1),"")</f>
        <v>7.8</v>
      </c>
      <c r="V1751" s="37">
        <v>7</v>
      </c>
      <c r="W1751" s="38"/>
    </row>
    <row r="1752" ht="24" customHeight="1" spans="1:23" x14ac:dyDescent="0.25">
      <c r="A1752" s="47">
        <v>986</v>
      </c>
      <c r="B1752" s="32" t="s">
        <v>1863</v>
      </c>
      <c r="C1752" s="48" t="s">
        <v>24</v>
      </c>
      <c r="D1752" s="49">
        <v>2020</v>
      </c>
      <c r="E1752" s="49" t="s">
        <v>25</v>
      </c>
      <c r="F1752" s="6">
        <v>6</v>
      </c>
      <c r="G1752" s="6">
        <v>8</v>
      </c>
      <c r="H1752" s="6">
        <v>6</v>
      </c>
      <c r="I1752" s="6">
        <v>8</v>
      </c>
      <c r="J1752" s="6">
        <v>8</v>
      </c>
      <c r="K1752" s="6">
        <v>8</v>
      </c>
      <c r="L1752" s="6">
        <v>6</v>
      </c>
      <c r="M1752" s="6">
        <v>8</v>
      </c>
      <c r="N1752" s="6">
        <v>8</v>
      </c>
      <c r="O1752" s="6"/>
      <c r="P1752" s="6"/>
      <c r="Q1752" s="6">
        <v>8</v>
      </c>
      <c r="R1752" s="6">
        <v>10</v>
      </c>
      <c r="S1752" s="35">
        <f>SUM(F1752:R1752)</f>
        <v>84</v>
      </c>
      <c r="T1752" s="35">
        <f>COUNT(F1752:R1752)</f>
        <v>11</v>
      </c>
      <c r="U1752" s="36">
        <f>IF(T1752&gt;=2,ROUND((IF(T1752=2,0.55,IF(T1752&lt;=4,0.7,IF(T1752&lt;=6,0.8,IF(T1752&lt;=9,0.9,1))))*(S1752/T1752)+(1-(IF(T1752=2,0.55,IF(T1752&lt;=4,0.7,IF(T1752&lt;=6,0.8,IF(T1752&lt;=9,0.9,1))))))*$Y$1),1),"")</f>
        <v>7.6</v>
      </c>
      <c r="V1752" s="37">
        <v>7.5</v>
      </c>
      <c r="W1752" s="38" t="s">
        <v>44</v>
      </c>
    </row>
    <row r="1753" ht="47.25" customHeight="1" spans="1:23" x14ac:dyDescent="0.25">
      <c r="A1753" s="31">
        <v>1368</v>
      </c>
      <c r="B1753" s="32" t="s">
        <v>1864</v>
      </c>
      <c r="C1753" s="33" t="s">
        <v>24</v>
      </c>
      <c r="D1753" s="34">
        <v>2018</v>
      </c>
      <c r="E1753" s="34" t="s">
        <v>30</v>
      </c>
      <c r="F1753" s="6"/>
      <c r="G1753" s="6"/>
      <c r="H1753" s="6"/>
      <c r="I1753" s="6"/>
      <c r="J1753" s="6"/>
      <c r="K1753" s="6"/>
      <c r="L1753" s="6"/>
      <c r="M1753" s="6"/>
      <c r="N1753" s="6">
        <v>7</v>
      </c>
      <c r="O1753" s="6"/>
      <c r="P1753" s="6"/>
      <c r="Q1753" s="6"/>
      <c r="R1753" s="6"/>
      <c r="S1753" s="35">
        <f>SUM(F1753:R1753)</f>
        <v>7</v>
      </c>
      <c r="T1753" s="35">
        <f>COUNT(F1753:R1753)</f>
        <v>1</v>
      </c>
      <c r="U1753" s="36">
        <f>IF(T1753&gt;=2,ROUND((IF(T1753=2,0.55,IF(T1753&lt;=4,0.7,IF(T1753&lt;=6,0.8,IF(T1753&lt;=9,0.9,1))))*(S1753/T1753)+(1-(IF(T1753=2,0.55,IF(T1753&lt;=4,0.7,IF(T1753&lt;=6,0.8,IF(T1753&lt;=9,0.9,1))))))*$Y$1),1),"")</f>
      </c>
      <c r="V1753" s="37">
        <v>6.5</v>
      </c>
      <c r="W1753" s="38"/>
    </row>
    <row r="1754" ht="24" customHeight="1" spans="1:23" x14ac:dyDescent="0.25">
      <c r="A1754" s="31">
        <v>1076</v>
      </c>
      <c r="B1754" s="32" t="s">
        <v>1865</v>
      </c>
      <c r="C1754" s="33" t="s">
        <v>24</v>
      </c>
      <c r="D1754" s="34">
        <v>2021</v>
      </c>
      <c r="E1754" s="34" t="s">
        <v>30</v>
      </c>
      <c r="F1754" s="6"/>
      <c r="G1754" s="6"/>
      <c r="H1754" s="6"/>
      <c r="I1754" s="6">
        <v>6</v>
      </c>
      <c r="J1754" s="6"/>
      <c r="K1754" s="6"/>
      <c r="L1754" s="6"/>
      <c r="M1754" s="6"/>
      <c r="N1754" s="6"/>
      <c r="O1754" s="6">
        <v>8</v>
      </c>
      <c r="P1754" s="6"/>
      <c r="Q1754" s="6"/>
      <c r="R1754" s="6"/>
      <c r="S1754" s="35">
        <f>SUM(F1754:R1754)</f>
        <v>14</v>
      </c>
      <c r="T1754" s="35">
        <f>COUNT(F1754:R1754)</f>
        <v>2</v>
      </c>
      <c r="U1754" s="36">
        <f>IF(T1754&gt;=2,ROUND((IF(T1754=2,0.55,IF(T1754&lt;=4,0.7,IF(T1754&lt;=6,0.8,IF(T1754&lt;=9,0.9,1))))*(S1754/T1754)+(1-(IF(T1754=2,0.55,IF(T1754&lt;=4,0.7,IF(T1754&lt;=6,0.8,IF(T1754&lt;=9,0.9,1))))))*$Y$1),1),"")</f>
        <v>7.5</v>
      </c>
      <c r="V1754" s="37">
        <v>5.7</v>
      </c>
      <c r="W1754" s="38"/>
    </row>
    <row r="1755" ht="24" customHeight="1" spans="1:23" x14ac:dyDescent="0.25">
      <c r="A1755" s="31">
        <v>1796</v>
      </c>
      <c r="B1755" s="32" t="s">
        <v>1866</v>
      </c>
      <c r="C1755" s="33" t="s">
        <v>24</v>
      </c>
      <c r="D1755" s="34">
        <v>2024</v>
      </c>
      <c r="E1755" s="34" t="s">
        <v>30</v>
      </c>
      <c r="F1755" s="6"/>
      <c r="G1755" s="6"/>
      <c r="H1755" s="6"/>
      <c r="I1755" s="6"/>
      <c r="J1755" s="6">
        <v>9</v>
      </c>
      <c r="K1755" s="6"/>
      <c r="L1755" s="6"/>
      <c r="M1755" s="6"/>
      <c r="N1755" s="6"/>
      <c r="O1755" s="6"/>
      <c r="P1755" s="6"/>
      <c r="Q1755" s="6"/>
      <c r="R1755" s="6"/>
      <c r="S1755" s="35">
        <f>SUM(F1755:R1755)</f>
        <v>9</v>
      </c>
      <c r="T1755" s="35">
        <f>COUNT(F1755:R1755)</f>
        <v>1</v>
      </c>
      <c r="U1755" s="36">
        <f>IF(T1755&gt;=2,ROUND((IF(T1755=2,0.55,IF(T1755&lt;=4,0.7,IF(T1755&lt;=6,0.8,IF(T1755&lt;=9,0.9,1))))*(S1755/T1755)+(1-(IF(T1755=2,0.55,IF(T1755&lt;=4,0.7,IF(T1755&lt;=6,0.8,IF(T1755&lt;=9,0.9,1))))))*$Y$1),1),"")</f>
      </c>
      <c r="V1755" s="37">
        <v>7.7</v>
      </c>
      <c r="W1755" s="38"/>
    </row>
    <row r="1756" ht="24" customHeight="1" spans="1:23" x14ac:dyDescent="0.25">
      <c r="A1756" s="40">
        <v>2197</v>
      </c>
      <c r="B1756" s="32" t="s">
        <v>1867</v>
      </c>
      <c r="C1756" s="33" t="s">
        <v>24</v>
      </c>
      <c r="D1756" s="34">
        <v>2007</v>
      </c>
      <c r="E1756" s="41"/>
      <c r="F1756" s="6"/>
      <c r="G1756" s="6">
        <v>7</v>
      </c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35">
        <f>SUM(F1756:R1756)</f>
        <v>7</v>
      </c>
      <c r="T1756" s="35">
        <f>COUNT(F1756:R1756)</f>
        <v>1</v>
      </c>
      <c r="U1756" s="36">
        <f>IF(T1756&gt;=2,ROUND((IF(T1756=2,0.55,IF(T1756&lt;=4,0.7,IF(T1756&lt;=6,0.8,IF(T1756&lt;=9,0.9,1))))*(S1756/T1756)+(1-(IF(T1756=2,0.55,IF(T1756&lt;=4,0.7,IF(T1756&lt;=6,0.8,IF(T1756&lt;=9,0.9,1))))))*$Y$1),1),"")</f>
      </c>
      <c r="V1756" s="37">
        <v>6.7</v>
      </c>
      <c r="W1756" s="38"/>
    </row>
    <row r="1757" ht="24" customHeight="1" spans="1:23" x14ac:dyDescent="0.25">
      <c r="A1757" s="40">
        <v>2282</v>
      </c>
      <c r="B1757" s="32" t="s">
        <v>1868</v>
      </c>
      <c r="C1757" s="33" t="s">
        <v>24</v>
      </c>
      <c r="D1757" s="34">
        <v>2012</v>
      </c>
      <c r="E1757" s="41"/>
      <c r="F1757" s="6"/>
      <c r="G1757" s="6">
        <v>8</v>
      </c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35">
        <f>SUM(F1757:R1757)</f>
        <v>8</v>
      </c>
      <c r="T1757" s="35">
        <f>COUNT(F1757:R1757)</f>
        <v>1</v>
      </c>
      <c r="U1757" s="36">
        <f>IF(T1757&gt;=2,ROUND((IF(T1757=2,0.55,IF(T1757&lt;=4,0.7,IF(T1757&lt;=6,0.8,IF(T1757&lt;=9,0.9,1))))*(S1757/T1757)+(1-(IF(T1757=2,0.55,IF(T1757&lt;=4,0.7,IF(T1757&lt;=6,0.8,IF(T1757&lt;=9,0.9,1))))))*$Y$1),1),"")</f>
      </c>
      <c r="V1757" s="37">
        <v>8.4</v>
      </c>
      <c r="W1757" s="38"/>
    </row>
    <row r="1758" ht="24" customHeight="1" spans="1:23" x14ac:dyDescent="0.25">
      <c r="A1758" s="40">
        <v>2223</v>
      </c>
      <c r="B1758" s="32" t="s">
        <v>1869</v>
      </c>
      <c r="C1758" s="33" t="s">
        <v>24</v>
      </c>
      <c r="D1758" s="34">
        <v>2008</v>
      </c>
      <c r="E1758" s="41"/>
      <c r="F1758" s="6"/>
      <c r="G1758" s="6">
        <v>7</v>
      </c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35">
        <f>SUM(F1758:R1758)</f>
        <v>7</v>
      </c>
      <c r="T1758" s="35">
        <f>COUNT(F1758:R1758)</f>
        <v>1</v>
      </c>
      <c r="U1758" s="36">
        <f>IF(T1758&gt;=2,ROUND((IF(T1758=2,0.55,IF(T1758&lt;=4,0.7,IF(T1758&lt;=6,0.8,IF(T1758&lt;=9,0.9,1))))*(S1758/T1758)+(1-(IF(T1758=2,0.55,IF(T1758&lt;=4,0.7,IF(T1758&lt;=6,0.8,IF(T1758&lt;=9,0.9,1))))))*$Y$1),1),"")</f>
      </c>
      <c r="V1758" s="37">
        <v>9.1</v>
      </c>
      <c r="W1758" s="38"/>
    </row>
    <row r="1759" ht="24" customHeight="1" spans="1:23" x14ac:dyDescent="0.25">
      <c r="A1759" s="40">
        <v>2161</v>
      </c>
      <c r="B1759" s="32" t="s">
        <v>1870</v>
      </c>
      <c r="C1759" s="33" t="s">
        <v>24</v>
      </c>
      <c r="D1759" s="34">
        <v>2005</v>
      </c>
      <c r="E1759" s="41"/>
      <c r="F1759" s="6"/>
      <c r="G1759" s="6">
        <v>7</v>
      </c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35">
        <f>SUM(F1759:R1759)</f>
        <v>7</v>
      </c>
      <c r="T1759" s="35">
        <f>COUNT(F1759:R1759)</f>
        <v>1</v>
      </c>
      <c r="U1759" s="36">
        <f>IF(T1759&gt;=2,ROUND((IF(T1759=2,0.55,IF(T1759&lt;=4,0.7,IF(T1759&lt;=6,0.8,IF(T1759&lt;=9,0.9,1))))*(S1759/T1759)+(1-(IF(T1759=2,0.55,IF(T1759&lt;=4,0.7,IF(T1759&lt;=6,0.8,IF(T1759&lt;=9,0.9,1))))))*$Y$1),1),"")</f>
      </c>
      <c r="V1759" s="37">
        <v>8.2</v>
      </c>
      <c r="W1759" s="38"/>
    </row>
    <row r="1760" ht="24" customHeight="1" spans="1:23" x14ac:dyDescent="0.25">
      <c r="A1760" s="31">
        <v>1944</v>
      </c>
      <c r="B1760" s="32" t="s">
        <v>1871</v>
      </c>
      <c r="C1760" s="33" t="s">
        <v>24</v>
      </c>
      <c r="D1760" s="34">
        <v>2024</v>
      </c>
      <c r="E1760" s="34" t="s">
        <v>30</v>
      </c>
      <c r="F1760" s="6">
        <v>8</v>
      </c>
      <c r="G1760" s="6"/>
      <c r="H1760" s="6"/>
      <c r="I1760" s="6"/>
      <c r="J1760" s="6"/>
      <c r="K1760" s="6">
        <v>9</v>
      </c>
      <c r="L1760" s="6"/>
      <c r="M1760" s="6"/>
      <c r="N1760" s="6"/>
      <c r="O1760" s="6">
        <v>8</v>
      </c>
      <c r="P1760" s="6"/>
      <c r="Q1760" s="6">
        <v>9</v>
      </c>
      <c r="R1760" s="6"/>
      <c r="S1760" s="35">
        <f>SUM(F1760:R1760)</f>
        <v>34</v>
      </c>
      <c r="T1760" s="35">
        <f>COUNT(F1760:R1760)</f>
        <v>4</v>
      </c>
      <c r="U1760" s="36">
        <f>IF(T1760&gt;=2,ROUND((IF(T1760=2,0.55,IF(T1760&lt;=4,0.7,IF(T1760&lt;=6,0.8,IF(T1760&lt;=9,0.9,1))))*(S1760/T1760)+(1-(IF(T1760=2,0.55,IF(T1760&lt;=4,0.7,IF(T1760&lt;=6,0.8,IF(T1760&lt;=9,0.9,1))))))*$Y$1),1),"")</f>
        <v>8.4</v>
      </c>
      <c r="V1760" s="37">
        <v>6.7</v>
      </c>
      <c r="W1760" s="38"/>
    </row>
    <row r="1761" ht="24" customHeight="1" spans="1:23" x14ac:dyDescent="0.25">
      <c r="A1761" s="31">
        <v>24</v>
      </c>
      <c r="B1761" s="32" t="s">
        <v>1872</v>
      </c>
      <c r="C1761" s="33" t="s">
        <v>24</v>
      </c>
      <c r="D1761" s="34">
        <v>2009</v>
      </c>
      <c r="E1761" s="34" t="s">
        <v>27</v>
      </c>
      <c r="F1761" s="6">
        <v>8</v>
      </c>
      <c r="G1761" s="6">
        <v>9</v>
      </c>
      <c r="H1761" s="6">
        <v>8</v>
      </c>
      <c r="I1761" s="6">
        <v>10</v>
      </c>
      <c r="J1761" s="6">
        <v>10</v>
      </c>
      <c r="K1761" s="6">
        <v>8</v>
      </c>
      <c r="L1761" s="6">
        <v>10</v>
      </c>
      <c r="M1761" s="6">
        <v>8</v>
      </c>
      <c r="N1761" s="6">
        <v>8</v>
      </c>
      <c r="O1761" s="6">
        <v>8</v>
      </c>
      <c r="P1761" s="6">
        <v>10</v>
      </c>
      <c r="Q1761" s="6">
        <v>8</v>
      </c>
      <c r="R1761" s="6">
        <v>10</v>
      </c>
      <c r="S1761" s="35">
        <f>SUM(F1761:R1761)</f>
        <v>115</v>
      </c>
      <c r="T1761" s="35">
        <f>COUNT(F1761:R1761)</f>
        <v>13</v>
      </c>
      <c r="U1761" s="36">
        <f>IF(T1761&gt;=2,ROUND((IF(T1761=2,0.55,IF(T1761&lt;=4,0.7,IF(T1761&lt;=6,0.8,IF(T1761&lt;=9,0.9,1))))*(S1761/T1761)+(1-(IF(T1761=2,0.55,IF(T1761&lt;=4,0.7,IF(T1761&lt;=6,0.8,IF(T1761&lt;=9,0.9,1))))))*$Y$1),1),"")</f>
        <v>8.8</v>
      </c>
      <c r="V1761" s="37">
        <v>8.4</v>
      </c>
      <c r="W1761" s="38"/>
    </row>
    <row r="1762" ht="24" customHeight="1" spans="1:23" x14ac:dyDescent="0.25">
      <c r="A1762" s="40">
        <v>2077</v>
      </c>
      <c r="B1762" s="32" t="s">
        <v>1873</v>
      </c>
      <c r="C1762" s="33" t="s">
        <v>24</v>
      </c>
      <c r="D1762" s="34">
        <v>1975</v>
      </c>
      <c r="E1762" s="41"/>
      <c r="F1762" s="6"/>
      <c r="G1762" s="6">
        <v>7</v>
      </c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35">
        <f>SUM(F1762:R1762)</f>
        <v>7</v>
      </c>
      <c r="T1762" s="35">
        <f>COUNT(F1762:R1762)</f>
        <v>1</v>
      </c>
      <c r="U1762" s="36">
        <f>IF(T1762&gt;=2,ROUND((IF(T1762=2,0.55,IF(T1762&lt;=4,0.7,IF(T1762&lt;=6,0.8,IF(T1762&lt;=9,0.9,1))))*(S1762/T1762)+(1-(IF(T1762=2,0.55,IF(T1762&lt;=4,0.7,IF(T1762&lt;=6,0.8,IF(T1762&lt;=9,0.9,1))))))*$Y$1),1),"")</f>
      </c>
      <c r="V1762" s="37">
        <v>8.1</v>
      </c>
      <c r="W1762" s="38"/>
    </row>
    <row r="1763" ht="24" customHeight="1" spans="1:23" x14ac:dyDescent="0.25">
      <c r="A1763" s="31">
        <v>1211</v>
      </c>
      <c r="B1763" s="32" t="s">
        <v>1874</v>
      </c>
      <c r="C1763" s="33" t="s">
        <v>24</v>
      </c>
      <c r="D1763" s="34">
        <v>2021</v>
      </c>
      <c r="E1763" s="34" t="s">
        <v>27</v>
      </c>
      <c r="F1763" s="6">
        <v>8</v>
      </c>
      <c r="G1763" s="6"/>
      <c r="H1763" s="6"/>
      <c r="I1763" s="6"/>
      <c r="J1763" s="6">
        <v>6</v>
      </c>
      <c r="K1763" s="6">
        <v>8</v>
      </c>
      <c r="L1763" s="6"/>
      <c r="M1763" s="6"/>
      <c r="N1763" s="6"/>
      <c r="O1763" s="6"/>
      <c r="P1763" s="6"/>
      <c r="Q1763" s="6">
        <v>8</v>
      </c>
      <c r="R1763" s="6"/>
      <c r="S1763" s="35">
        <f>SUM(F1763:R1763)</f>
        <v>30</v>
      </c>
      <c r="T1763" s="35">
        <f>COUNT(F1763:R1763)</f>
        <v>4</v>
      </c>
      <c r="U1763" s="36">
        <f>IF(T1763&gt;=2,ROUND((IF(T1763=2,0.55,IF(T1763&lt;=4,0.7,IF(T1763&lt;=6,0.8,IF(T1763&lt;=9,0.9,1))))*(S1763/T1763)+(1-(IF(T1763=2,0.55,IF(T1763&lt;=4,0.7,IF(T1763&lt;=6,0.8,IF(T1763&lt;=9,0.9,1))))))*$Y$1),1),"")</f>
        <v>7.7</v>
      </c>
      <c r="V1763" s="37">
        <v>6.7</v>
      </c>
      <c r="W1763" s="38"/>
    </row>
    <row r="1764" ht="24" customHeight="1" spans="1:23" x14ac:dyDescent="0.25">
      <c r="A1764" s="31">
        <v>2511</v>
      </c>
      <c r="B1764" s="32" t="s">
        <v>1875</v>
      </c>
      <c r="C1764" s="33" t="s">
        <v>260</v>
      </c>
      <c r="D1764" s="34" t="s">
        <v>1876</v>
      </c>
      <c r="E1764" s="34"/>
      <c r="F1764" s="6"/>
      <c r="G1764" s="6"/>
      <c r="H1764" s="6"/>
      <c r="I1764" s="6"/>
      <c r="J1764" s="6">
        <v>10</v>
      </c>
      <c r="K1764" s="6"/>
      <c r="L1764" s="6"/>
      <c r="M1764" s="6"/>
      <c r="N1764" s="6"/>
      <c r="O1764" s="6"/>
      <c r="P1764" s="6"/>
      <c r="Q1764" s="6"/>
      <c r="R1764" s="6"/>
      <c r="S1764" s="35">
        <f>SUM(F1764:R1764)</f>
        <v>10</v>
      </c>
      <c r="T1764" s="35">
        <f>COUNT(F1764:R1764)</f>
        <v>1</v>
      </c>
      <c r="U1764" s="36">
        <f>IF(T1764&gt;=2,ROUND((IF(T1764=2,0.55,IF(T1764&lt;=4,0.7,IF(T1764&lt;=6,0.8,IF(T1764&lt;=9,0.9,1))))*(S1764/T1764)+(1-(IF(T1764=2,0.55,IF(T1764&lt;=4,0.7,IF(T1764&lt;=6,0.8,IF(T1764&lt;=9,0.9,1))))))*$Y$1),1),"")</f>
      </c>
      <c r="V1764" s="37">
        <v>9.4</v>
      </c>
      <c r="W1764" s="38"/>
    </row>
    <row r="1765" ht="24" customHeight="1" spans="1:23" x14ac:dyDescent="0.25">
      <c r="A1765" s="40">
        <v>2133</v>
      </c>
      <c r="B1765" s="32" t="s">
        <v>1877</v>
      </c>
      <c r="C1765" s="33" t="s">
        <v>24</v>
      </c>
      <c r="D1765" s="34">
        <v>2002</v>
      </c>
      <c r="E1765" s="41"/>
      <c r="F1765" s="6"/>
      <c r="G1765" s="6">
        <v>7</v>
      </c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35">
        <f>SUM(F1765:R1765)</f>
        <v>7</v>
      </c>
      <c r="T1765" s="35">
        <f>COUNT(F1765:R1765)</f>
        <v>1</v>
      </c>
      <c r="U1765" s="36">
        <f>IF(T1765&gt;=2,ROUND((IF(T1765=2,0.55,IF(T1765&lt;=4,0.7,IF(T1765&lt;=6,0.8,IF(T1765&lt;=9,0.9,1))))*(S1765/T1765)+(1-(IF(T1765=2,0.55,IF(T1765&lt;=4,0.7,IF(T1765&lt;=6,0.8,IF(T1765&lt;=9,0.9,1))))))*$Y$1),1),"")</f>
      </c>
      <c r="V1765" s="37">
        <v>7.2</v>
      </c>
      <c r="W1765" s="38"/>
    </row>
    <row r="1766" ht="24" customHeight="1" spans="1:23" x14ac:dyDescent="0.25">
      <c r="A1766" s="31">
        <v>622</v>
      </c>
      <c r="B1766" s="32" t="s">
        <v>1878</v>
      </c>
      <c r="C1766" s="33" t="s">
        <v>24</v>
      </c>
      <c r="D1766" s="34">
        <v>2020</v>
      </c>
      <c r="E1766" s="34" t="s">
        <v>30</v>
      </c>
      <c r="F1766" s="6"/>
      <c r="G1766" s="6"/>
      <c r="H1766" s="6"/>
      <c r="I1766" s="6">
        <v>6</v>
      </c>
      <c r="J1766" s="6"/>
      <c r="K1766" s="6"/>
      <c r="L1766" s="6"/>
      <c r="M1766" s="6"/>
      <c r="N1766" s="6"/>
      <c r="O1766" s="6"/>
      <c r="P1766" s="6"/>
      <c r="Q1766" s="6"/>
      <c r="R1766" s="6"/>
      <c r="S1766" s="35">
        <f>SUM(F1766:R1766)</f>
        <v>6</v>
      </c>
      <c r="T1766" s="35">
        <f>COUNT(F1766:R1766)</f>
        <v>1</v>
      </c>
      <c r="U1766" s="36">
        <f>IF(T1766&gt;=2,ROUND((IF(T1766=2,0.55,IF(T1766&lt;=4,0.7,IF(T1766&lt;=6,0.8,IF(T1766&lt;=9,0.9,1))))*(S1766/T1766)+(1-(IF(T1766=2,0.55,IF(T1766&lt;=4,0.7,IF(T1766&lt;=6,0.8,IF(T1766&lt;=9,0.9,1))))))*$Y$1),1),"")</f>
      </c>
      <c r="V1766" s="37">
        <v>6.4</v>
      </c>
      <c r="W1766" s="38"/>
    </row>
    <row r="1767" ht="24" customHeight="1" spans="1:23" x14ac:dyDescent="0.25">
      <c r="A1767" s="47">
        <v>603</v>
      </c>
      <c r="B1767" s="32" t="s">
        <v>1879</v>
      </c>
      <c r="C1767" s="48" t="s">
        <v>24</v>
      </c>
      <c r="D1767" s="49">
        <v>1987</v>
      </c>
      <c r="E1767" s="49" t="s">
        <v>27</v>
      </c>
      <c r="F1767" s="6">
        <v>8</v>
      </c>
      <c r="G1767" s="6">
        <v>8</v>
      </c>
      <c r="H1767" s="6">
        <v>10</v>
      </c>
      <c r="I1767" s="6">
        <v>8</v>
      </c>
      <c r="J1767" s="6">
        <v>8</v>
      </c>
      <c r="K1767" s="6">
        <v>10</v>
      </c>
      <c r="L1767" s="6">
        <v>10</v>
      </c>
      <c r="M1767" s="6">
        <v>8</v>
      </c>
      <c r="N1767" s="6">
        <v>8</v>
      </c>
      <c r="O1767" s="6"/>
      <c r="P1767" s="6">
        <v>8</v>
      </c>
      <c r="Q1767" s="6">
        <v>10</v>
      </c>
      <c r="R1767" s="6">
        <v>8</v>
      </c>
      <c r="S1767" s="35">
        <f>SUM(F1767:R1767)</f>
        <v>104</v>
      </c>
      <c r="T1767" s="35">
        <f>COUNT(F1767:R1767)</f>
        <v>12</v>
      </c>
      <c r="U1767" s="36">
        <f>IF(T1767&gt;=2,ROUND((IF(T1767=2,0.55,IF(T1767&lt;=4,0.7,IF(T1767&lt;=6,0.8,IF(T1767&lt;=9,0.9,1))))*(S1767/T1767)+(1-(IF(T1767=2,0.55,IF(T1767&lt;=4,0.7,IF(T1767&lt;=6,0.8,IF(T1767&lt;=9,0.9,1))))))*$Y$1),1),"")</f>
        <v>8.7</v>
      </c>
      <c r="V1767" s="37">
        <v>7.4</v>
      </c>
      <c r="W1767" s="38" t="s">
        <v>44</v>
      </c>
    </row>
    <row r="1768" ht="24" customHeight="1" spans="1:23" x14ac:dyDescent="0.25">
      <c r="A1768" s="31">
        <v>1940</v>
      </c>
      <c r="B1768" s="32" t="s">
        <v>1880</v>
      </c>
      <c r="C1768" s="33" t="s">
        <v>24</v>
      </c>
      <c r="D1768" s="34">
        <v>2024</v>
      </c>
      <c r="E1768" s="34" t="s">
        <v>30</v>
      </c>
      <c r="F1768" s="6"/>
      <c r="G1768" s="6"/>
      <c r="H1768" s="6"/>
      <c r="I1768" s="6"/>
      <c r="J1768" s="6"/>
      <c r="K1768" s="6"/>
      <c r="L1768" s="6"/>
      <c r="M1768" s="6">
        <v>7</v>
      </c>
      <c r="N1768" s="6"/>
      <c r="O1768" s="6"/>
      <c r="P1768" s="6"/>
      <c r="Q1768" s="6"/>
      <c r="R1768" s="6"/>
      <c r="S1768" s="35">
        <f>SUM(F1768:R1768)</f>
        <v>7</v>
      </c>
      <c r="T1768" s="35">
        <f>COUNT(F1768:R1768)</f>
        <v>1</v>
      </c>
      <c r="U1768" s="36">
        <f>IF(T1768&gt;=2,ROUND((IF(T1768=2,0.55,IF(T1768&lt;=4,0.7,IF(T1768&lt;=6,0.8,IF(T1768&lt;=9,0.9,1))))*(S1768/T1768)+(1-(IF(T1768=2,0.55,IF(T1768&lt;=4,0.7,IF(T1768&lt;=6,0.8,IF(T1768&lt;=9,0.9,1))))))*$Y$1),1),"")</f>
      </c>
      <c r="V1768" s="37">
        <v>6.5</v>
      </c>
      <c r="W1768" s="38"/>
    </row>
    <row r="1769" ht="47.25" customHeight="1" spans="1:23" x14ac:dyDescent="0.25">
      <c r="A1769" s="31">
        <v>681</v>
      </c>
      <c r="B1769" s="32" t="s">
        <v>1881</v>
      </c>
      <c r="C1769" s="33" t="s">
        <v>24</v>
      </c>
      <c r="D1769" s="34">
        <v>2019</v>
      </c>
      <c r="E1769" s="34" t="s">
        <v>52</v>
      </c>
      <c r="F1769" s="6"/>
      <c r="G1769" s="6">
        <v>8</v>
      </c>
      <c r="H1769" s="6"/>
      <c r="I1769" s="6">
        <v>8</v>
      </c>
      <c r="J1769" s="6">
        <v>6</v>
      </c>
      <c r="K1769" s="6">
        <v>6</v>
      </c>
      <c r="L1769" s="6"/>
      <c r="M1769" s="6"/>
      <c r="N1769" s="6"/>
      <c r="O1769" s="6"/>
      <c r="P1769" s="6">
        <v>8</v>
      </c>
      <c r="Q1769" s="6">
        <v>6</v>
      </c>
      <c r="R1769" s="6"/>
      <c r="S1769" s="35">
        <f>SUM(F1769:R1769)</f>
        <v>42</v>
      </c>
      <c r="T1769" s="35">
        <f>COUNT(F1769:R1769)</f>
        <v>6</v>
      </c>
      <c r="U1769" s="36">
        <f>IF(T1769&gt;=2,ROUND((IF(T1769=2,0.55,IF(T1769&lt;=4,0.7,IF(T1769&lt;=6,0.8,IF(T1769&lt;=9,0.9,1))))*(S1769/T1769)+(1-(IF(T1769=2,0.55,IF(T1769&lt;=4,0.7,IF(T1769&lt;=6,0.8,IF(T1769&lt;=9,0.9,1))))))*$Y$1),1),"")</f>
        <v>7.2</v>
      </c>
      <c r="V1769" s="37">
        <v>7.3</v>
      </c>
      <c r="W1769" s="38"/>
    </row>
    <row r="1770" ht="24" customHeight="1" spans="1:23" s="39" customFormat="1" x14ac:dyDescent="0.25">
      <c r="A1770" s="31">
        <v>1953</v>
      </c>
      <c r="B1770" s="32" t="s">
        <v>1882</v>
      </c>
      <c r="C1770" s="33" t="s">
        <v>24</v>
      </c>
      <c r="D1770" s="34">
        <v>2024</v>
      </c>
      <c r="E1770" s="34" t="s">
        <v>141</v>
      </c>
      <c r="F1770" s="6">
        <v>7</v>
      </c>
      <c r="G1770" s="6"/>
      <c r="H1770" s="6">
        <v>8</v>
      </c>
      <c r="I1770" s="6"/>
      <c r="J1770" s="6"/>
      <c r="K1770" s="6"/>
      <c r="L1770" s="6">
        <v>7</v>
      </c>
      <c r="M1770" s="6"/>
      <c r="N1770" s="6"/>
      <c r="O1770" s="6">
        <v>8</v>
      </c>
      <c r="P1770" s="6"/>
      <c r="Q1770" s="6"/>
      <c r="R1770" s="6"/>
      <c r="S1770" s="35">
        <f>SUM(F1770:R1770)</f>
        <v>30</v>
      </c>
      <c r="T1770" s="35">
        <f>COUNT(F1770:R1770)</f>
        <v>4</v>
      </c>
      <c r="U1770" s="36">
        <f>IF(T1770&gt;=2,ROUND((IF(T1770=2,0.55,IF(T1770&lt;=4,0.7,IF(T1770&lt;=6,0.8,IF(T1770&lt;=9,0.9,1))))*(S1770/T1770)+(1-(IF(T1770=2,0.55,IF(T1770&lt;=4,0.7,IF(T1770&lt;=6,0.8,IF(T1770&lt;=9,0.9,1))))))*$Y$1),1),"")</f>
        <v>7.7</v>
      </c>
      <c r="V1770" s="37">
        <v>5.7</v>
      </c>
      <c r="W1770" s="38"/>
    </row>
    <row r="1771" ht="24" customHeight="1" spans="1:23" x14ac:dyDescent="0.25">
      <c r="A1771" s="31">
        <v>408</v>
      </c>
      <c r="B1771" s="32" t="s">
        <v>1883</v>
      </c>
      <c r="C1771" s="33" t="s">
        <v>24</v>
      </c>
      <c r="D1771" s="34">
        <v>2006</v>
      </c>
      <c r="E1771" s="34" t="s">
        <v>1884</v>
      </c>
      <c r="F1771" s="6">
        <v>6</v>
      </c>
      <c r="G1771" s="6">
        <v>7</v>
      </c>
      <c r="H1771" s="6">
        <v>8</v>
      </c>
      <c r="I1771" s="6">
        <v>6</v>
      </c>
      <c r="J1771" s="6">
        <v>8</v>
      </c>
      <c r="K1771" s="6">
        <v>8</v>
      </c>
      <c r="L1771" s="6">
        <v>8</v>
      </c>
      <c r="M1771" s="6"/>
      <c r="N1771" s="6"/>
      <c r="O1771" s="6"/>
      <c r="P1771" s="6"/>
      <c r="Q1771" s="6">
        <v>8</v>
      </c>
      <c r="R1771" s="6">
        <v>6</v>
      </c>
      <c r="S1771" s="35">
        <f>SUM(F1771:R1771)</f>
        <v>65</v>
      </c>
      <c r="T1771" s="35">
        <f>COUNT(F1771:R1771)</f>
        <v>9</v>
      </c>
      <c r="U1771" s="36">
        <f>IF(T1771&gt;=2,ROUND((IF(T1771=2,0.55,IF(T1771&lt;=4,0.7,IF(T1771&lt;=6,0.8,IF(T1771&lt;=9,0.9,1))))*(S1771/T1771)+(1-(IF(T1771=2,0.55,IF(T1771&lt;=4,0.7,IF(T1771&lt;=6,0.8,IF(T1771&lt;=9,0.9,1))))))*$Y$1),1),"")</f>
        <v>7.3</v>
      </c>
      <c r="V1771" s="37">
        <v>7.4</v>
      </c>
      <c r="W1771" s="38"/>
    </row>
    <row r="1772" ht="47.25" customHeight="1" spans="1:23" x14ac:dyDescent="0.25">
      <c r="A1772" s="31">
        <v>472</v>
      </c>
      <c r="B1772" s="32" t="s">
        <v>1885</v>
      </c>
      <c r="C1772" s="33" t="s">
        <v>24</v>
      </c>
      <c r="D1772" s="34">
        <v>2009</v>
      </c>
      <c r="E1772" s="34" t="s">
        <v>106</v>
      </c>
      <c r="F1772" s="6"/>
      <c r="G1772" s="6">
        <v>8</v>
      </c>
      <c r="H1772" s="6"/>
      <c r="I1772" s="6"/>
      <c r="J1772" s="6"/>
      <c r="K1772" s="6"/>
      <c r="L1772" s="6"/>
      <c r="M1772" s="6"/>
      <c r="N1772" s="6"/>
      <c r="O1772" s="6"/>
      <c r="P1772" s="6">
        <v>8</v>
      </c>
      <c r="Q1772" s="6"/>
      <c r="R1772" s="6"/>
      <c r="S1772" s="35">
        <f>SUM(F1772:R1772)</f>
        <v>16</v>
      </c>
      <c r="T1772" s="35">
        <f>COUNT(F1772:R1772)</f>
        <v>2</v>
      </c>
      <c r="U1772" s="36">
        <f>IF(T1772&gt;=2,ROUND((IF(T1772=2,0.55,IF(T1772&lt;=4,0.7,IF(T1772&lt;=6,0.8,IF(T1772&lt;=9,0.9,1))))*(S1772/T1772)+(1-(IF(T1772=2,0.55,IF(T1772&lt;=4,0.7,IF(T1772&lt;=6,0.8,IF(T1772&lt;=9,0.9,1))))))*$Y$1),1),"")</f>
        <v>8</v>
      </c>
      <c r="V1772" s="37">
        <v>6.9</v>
      </c>
      <c r="W1772" s="38"/>
    </row>
    <row r="1773" ht="24" customHeight="1" spans="1:23" x14ac:dyDescent="0.25">
      <c r="A1773" s="31">
        <v>446</v>
      </c>
      <c r="B1773" s="32" t="s">
        <v>1886</v>
      </c>
      <c r="C1773" s="33" t="s">
        <v>24</v>
      </c>
      <c r="D1773" s="34">
        <v>2017</v>
      </c>
      <c r="E1773" s="34" t="s">
        <v>30</v>
      </c>
      <c r="F1773" s="6"/>
      <c r="G1773" s="6">
        <v>8</v>
      </c>
      <c r="H1773" s="6"/>
      <c r="I1773" s="6"/>
      <c r="J1773" s="6"/>
      <c r="K1773" s="6"/>
      <c r="L1773" s="6"/>
      <c r="M1773" s="6"/>
      <c r="N1773" s="6"/>
      <c r="O1773" s="6"/>
      <c r="P1773" s="6">
        <v>8</v>
      </c>
      <c r="Q1773" s="6"/>
      <c r="R1773" s="6"/>
      <c r="S1773" s="35">
        <f>SUM(F1773:R1773)</f>
        <v>16</v>
      </c>
      <c r="T1773" s="35">
        <f>COUNT(F1773:R1773)</f>
        <v>2</v>
      </c>
      <c r="U1773" s="36">
        <f>IF(T1773&gt;=2,ROUND((IF(T1773=2,0.55,IF(T1773&lt;=4,0.7,IF(T1773&lt;=6,0.8,IF(T1773&lt;=9,0.9,1))))*(S1773/T1773)+(1-(IF(T1773=2,0.55,IF(T1773&lt;=4,0.7,IF(T1773&lt;=6,0.8,IF(T1773&lt;=9,0.9,1))))))*$Y$1),1),"")</f>
        <v>8</v>
      </c>
      <c r="V1773" s="37">
        <v>8.2</v>
      </c>
      <c r="W1773" s="38"/>
    </row>
    <row r="1774" ht="24" customHeight="1" spans="1:23" x14ac:dyDescent="0.25">
      <c r="A1774" s="31">
        <v>364</v>
      </c>
      <c r="B1774" s="32" t="s">
        <v>1887</v>
      </c>
      <c r="C1774" s="33" t="s">
        <v>24</v>
      </c>
      <c r="D1774" s="34">
        <v>2013</v>
      </c>
      <c r="E1774" s="34" t="s">
        <v>919</v>
      </c>
      <c r="F1774" s="6"/>
      <c r="G1774" s="6">
        <v>7</v>
      </c>
      <c r="H1774" s="6"/>
      <c r="I1774" s="6"/>
      <c r="J1774" s="6">
        <v>8</v>
      </c>
      <c r="K1774" s="6"/>
      <c r="L1774" s="6">
        <v>8</v>
      </c>
      <c r="M1774" s="6"/>
      <c r="N1774" s="6"/>
      <c r="O1774" s="6"/>
      <c r="P1774" s="6"/>
      <c r="Q1774" s="6"/>
      <c r="R1774" s="6"/>
      <c r="S1774" s="35">
        <f>SUM(F1774:R1774)</f>
        <v>23</v>
      </c>
      <c r="T1774" s="35">
        <f>COUNT(F1774:R1774)</f>
        <v>3</v>
      </c>
      <c r="U1774" s="36">
        <f>IF(T1774&gt;=2,ROUND((IF(T1774=2,0.55,IF(T1774&lt;=4,0.7,IF(T1774&lt;=6,0.8,IF(T1774&lt;=9,0.9,1))))*(S1774/T1774)+(1-(IF(T1774=2,0.55,IF(T1774&lt;=4,0.7,IF(T1774&lt;=6,0.8,IF(T1774&lt;=9,0.9,1))))))*$Y$1),1),"")</f>
        <v>7.8</v>
      </c>
      <c r="V1774" s="37">
        <v>7.6</v>
      </c>
      <c r="W1774" s="38"/>
    </row>
    <row r="1775" ht="24" customHeight="1" spans="1:23" x14ac:dyDescent="0.25">
      <c r="A1775" s="31">
        <v>471</v>
      </c>
      <c r="B1775" s="32" t="s">
        <v>1888</v>
      </c>
      <c r="C1775" s="33" t="s">
        <v>24</v>
      </c>
      <c r="D1775" s="34">
        <v>2009</v>
      </c>
      <c r="E1775" s="34" t="s">
        <v>179</v>
      </c>
      <c r="F1775" s="6"/>
      <c r="G1775" s="6">
        <v>8</v>
      </c>
      <c r="H1775" s="6"/>
      <c r="I1775" s="6"/>
      <c r="J1775" s="6"/>
      <c r="K1775" s="6"/>
      <c r="L1775" s="6">
        <v>10</v>
      </c>
      <c r="M1775" s="6"/>
      <c r="N1775" s="6"/>
      <c r="O1775" s="6"/>
      <c r="P1775" s="6">
        <v>8</v>
      </c>
      <c r="Q1775" s="6"/>
      <c r="R1775" s="6"/>
      <c r="S1775" s="35">
        <f>SUM(F1775:R1775)</f>
        <v>26</v>
      </c>
      <c r="T1775" s="35">
        <f>COUNT(F1775:R1775)</f>
        <v>3</v>
      </c>
      <c r="U1775" s="36">
        <f>IF(T1775&gt;=2,ROUND((IF(T1775=2,0.55,IF(T1775&lt;=4,0.7,IF(T1775&lt;=6,0.8,IF(T1775&lt;=9,0.9,1))))*(S1775/T1775)+(1-(IF(T1775=2,0.55,IF(T1775&lt;=4,0.7,IF(T1775&lt;=6,0.8,IF(T1775&lt;=9,0.9,1))))))*$Y$1),1),"")</f>
        <v>8.5</v>
      </c>
      <c r="V1775" s="37">
        <v>7.9</v>
      </c>
      <c r="W1775" s="38"/>
    </row>
    <row r="1776" ht="24" customHeight="1" spans="1:23" x14ac:dyDescent="0.25">
      <c r="A1776" s="31">
        <v>23</v>
      </c>
      <c r="B1776" s="32" t="s">
        <v>1889</v>
      </c>
      <c r="C1776" s="33" t="s">
        <v>24</v>
      </c>
      <c r="D1776" s="34">
        <v>2008</v>
      </c>
      <c r="E1776" s="34" t="s">
        <v>1763</v>
      </c>
      <c r="F1776" s="6"/>
      <c r="G1776" s="6">
        <v>6</v>
      </c>
      <c r="H1776" s="6"/>
      <c r="I1776" s="6"/>
      <c r="J1776" s="6">
        <v>6</v>
      </c>
      <c r="K1776" s="6">
        <v>10</v>
      </c>
      <c r="L1776" s="6">
        <v>6</v>
      </c>
      <c r="M1776" s="6">
        <v>6</v>
      </c>
      <c r="N1776" s="6"/>
      <c r="O1776" s="6"/>
      <c r="P1776" s="6"/>
      <c r="Q1776" s="6">
        <v>10</v>
      </c>
      <c r="R1776" s="6"/>
      <c r="S1776" s="35">
        <f>SUM(F1776:R1776)</f>
        <v>44</v>
      </c>
      <c r="T1776" s="35">
        <f>COUNT(F1776:R1776)</f>
        <v>6</v>
      </c>
      <c r="U1776" s="36">
        <f>IF(T1776&gt;=2,ROUND((IF(T1776=2,0.55,IF(T1776&lt;=4,0.7,IF(T1776&lt;=6,0.8,IF(T1776&lt;=9,0.9,1))))*(S1776/T1776)+(1-(IF(T1776=2,0.55,IF(T1776&lt;=4,0.7,IF(T1776&lt;=6,0.8,IF(T1776&lt;=9,0.9,1))))))*$Y$1),1),"")</f>
        <v>7.5</v>
      </c>
      <c r="V1776" s="37">
        <v>6.6</v>
      </c>
      <c r="W1776" s="38"/>
    </row>
    <row r="1777" ht="24" customHeight="1" spans="1:23" x14ac:dyDescent="0.25">
      <c r="A1777" s="31">
        <v>1527</v>
      </c>
      <c r="B1777" s="32" t="s">
        <v>1890</v>
      </c>
      <c r="C1777" s="33" t="s">
        <v>29</v>
      </c>
      <c r="D1777" s="34">
        <v>2017</v>
      </c>
      <c r="E1777" s="34" t="s">
        <v>30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>
        <v>8</v>
      </c>
      <c r="P1777" s="6"/>
      <c r="Q1777" s="6"/>
      <c r="R1777" s="6"/>
      <c r="S1777" s="35">
        <f>SUM(F1777:R1777)</f>
        <v>8</v>
      </c>
      <c r="T1777" s="35">
        <f>COUNT(F1777:R1777)</f>
        <v>1</v>
      </c>
      <c r="U1777" s="36">
        <f>IF(T1777&gt;=2,ROUND((IF(T1777=2,0.55,IF(T1777&lt;=4,0.7,IF(T1777&lt;=6,0.8,IF(T1777&lt;=9,0.9,1))))*(S1777/T1777)+(1-(IF(T1777=2,0.55,IF(T1777&lt;=4,0.7,IF(T1777&lt;=6,0.8,IF(T1777&lt;=9,0.9,1))))))*$Y$1),1),"")</f>
      </c>
      <c r="V1777" s="37">
        <v>8.2</v>
      </c>
      <c r="W1777" s="38"/>
    </row>
    <row r="1778" ht="24" customHeight="1" spans="1:23" x14ac:dyDescent="0.25">
      <c r="A1778" s="31">
        <v>1535</v>
      </c>
      <c r="B1778" s="32" t="s">
        <v>1891</v>
      </c>
      <c r="C1778" s="33" t="s">
        <v>24</v>
      </c>
      <c r="D1778" s="34">
        <v>2022</v>
      </c>
      <c r="E1778" s="34" t="s">
        <v>30</v>
      </c>
      <c r="F1778" s="6"/>
      <c r="G1778" s="6"/>
      <c r="H1778" s="6"/>
      <c r="I1778" s="6"/>
      <c r="J1778" s="6"/>
      <c r="K1778" s="6"/>
      <c r="L1778" s="6"/>
      <c r="M1778" s="6"/>
      <c r="N1778" s="6"/>
      <c r="O1778" s="6">
        <v>6</v>
      </c>
      <c r="P1778" s="6"/>
      <c r="Q1778" s="6"/>
      <c r="R1778" s="6"/>
      <c r="S1778" s="35">
        <f>SUM(F1778:R1778)</f>
        <v>6</v>
      </c>
      <c r="T1778" s="35">
        <f>COUNT(F1778:R1778)</f>
        <v>1</v>
      </c>
      <c r="U1778" s="36">
        <f>IF(T1778&gt;=2,ROUND((IF(T1778=2,0.55,IF(T1778&lt;=4,0.7,IF(T1778&lt;=6,0.8,IF(T1778&lt;=9,0.9,1))))*(S1778/T1778)+(1-(IF(T1778=2,0.55,IF(T1778&lt;=4,0.7,IF(T1778&lt;=6,0.8,IF(T1778&lt;=9,0.9,1))))))*$Y$1),1),"")</f>
      </c>
      <c r="V1778" s="37">
        <v>5.5</v>
      </c>
      <c r="W1778" s="38"/>
    </row>
    <row r="1779" ht="24" customHeight="1" spans="1:23" x14ac:dyDescent="0.25">
      <c r="A1779" s="31">
        <v>1337</v>
      </c>
      <c r="B1779" s="32" t="s">
        <v>1892</v>
      </c>
      <c r="C1779" s="33" t="s">
        <v>24</v>
      </c>
      <c r="D1779" s="34">
        <v>2020</v>
      </c>
      <c r="E1779" s="34" t="s">
        <v>30</v>
      </c>
      <c r="F1779" s="6"/>
      <c r="G1779" s="6"/>
      <c r="H1779" s="6"/>
      <c r="I1779" s="6"/>
      <c r="J1779" s="6"/>
      <c r="K1779" s="6"/>
      <c r="L1779" s="6">
        <v>7</v>
      </c>
      <c r="M1779" s="6"/>
      <c r="N1779" s="6"/>
      <c r="O1779" s="6"/>
      <c r="P1779" s="6"/>
      <c r="Q1779" s="6"/>
      <c r="R1779" s="6"/>
      <c r="S1779" s="35">
        <f>SUM(F1779:R1779)</f>
        <v>7</v>
      </c>
      <c r="T1779" s="35">
        <f>COUNT(F1779:R1779)</f>
        <v>1</v>
      </c>
      <c r="U1779" s="36">
        <f>IF(T1779&gt;=2,ROUND((IF(T1779=2,0.55,IF(T1779&lt;=4,0.7,IF(T1779&lt;=6,0.8,IF(T1779&lt;=9,0.9,1))))*(S1779/T1779)+(1-(IF(T1779=2,0.55,IF(T1779&lt;=4,0.7,IF(T1779&lt;=6,0.8,IF(T1779&lt;=9,0.9,1))))))*$Y$1),1),"")</f>
      </c>
      <c r="V1779" s="37">
        <v>7.6</v>
      </c>
      <c r="W1779" s="38"/>
    </row>
    <row r="1780" ht="24" customHeight="1" spans="1:23" x14ac:dyDescent="0.25">
      <c r="A1780" s="31">
        <v>404</v>
      </c>
      <c r="B1780" s="32" t="s">
        <v>1893</v>
      </c>
      <c r="C1780" s="33" t="s">
        <v>24</v>
      </c>
      <c r="D1780" s="34">
        <v>2018</v>
      </c>
      <c r="E1780" s="34" t="s">
        <v>1894</v>
      </c>
      <c r="F1780" s="6">
        <v>8</v>
      </c>
      <c r="G1780" s="6"/>
      <c r="H1780" s="6"/>
      <c r="I1780" s="6"/>
      <c r="J1780" s="6"/>
      <c r="K1780" s="6">
        <v>10</v>
      </c>
      <c r="L1780" s="6">
        <v>10</v>
      </c>
      <c r="M1780" s="6"/>
      <c r="N1780" s="6"/>
      <c r="O1780" s="6"/>
      <c r="P1780" s="6">
        <v>8</v>
      </c>
      <c r="Q1780" s="6">
        <v>10</v>
      </c>
      <c r="R1780" s="6"/>
      <c r="S1780" s="35">
        <f>SUM(F1780:R1780)</f>
        <v>46</v>
      </c>
      <c r="T1780" s="35">
        <f>COUNT(F1780:R1780)</f>
        <v>5</v>
      </c>
      <c r="U1780" s="36">
        <f>IF(T1780&gt;=2,ROUND((IF(T1780=2,0.55,IF(T1780&lt;=4,0.7,IF(T1780&lt;=6,0.8,IF(T1780&lt;=9,0.9,1))))*(S1780/T1780)+(1-(IF(T1780=2,0.55,IF(T1780&lt;=4,0.7,IF(T1780&lt;=6,0.8,IF(T1780&lt;=9,0.9,1))))))*$Y$1),1),"")</f>
        <v>9</v>
      </c>
      <c r="V1780" s="37">
        <v>7.6</v>
      </c>
      <c r="W1780" s="38"/>
    </row>
    <row r="1781" ht="24" customHeight="1" spans="1:23" x14ac:dyDescent="0.25">
      <c r="A1781" s="31">
        <v>371</v>
      </c>
      <c r="B1781" s="32" t="s">
        <v>1895</v>
      </c>
      <c r="C1781" s="33" t="s">
        <v>24</v>
      </c>
      <c r="D1781" s="34">
        <v>2016</v>
      </c>
      <c r="E1781" s="34" t="s">
        <v>30</v>
      </c>
      <c r="F1781" s="6">
        <v>8</v>
      </c>
      <c r="G1781" s="6">
        <v>8</v>
      </c>
      <c r="H1781" s="6"/>
      <c r="I1781" s="6"/>
      <c r="J1781" s="6">
        <v>10</v>
      </c>
      <c r="K1781" s="6">
        <v>10</v>
      </c>
      <c r="L1781" s="6">
        <v>8</v>
      </c>
      <c r="M1781" s="6">
        <v>8</v>
      </c>
      <c r="N1781" s="6">
        <v>8</v>
      </c>
      <c r="O1781" s="6">
        <v>8</v>
      </c>
      <c r="P1781" s="6">
        <v>8</v>
      </c>
      <c r="Q1781" s="6">
        <v>10</v>
      </c>
      <c r="R1781" s="6">
        <v>10</v>
      </c>
      <c r="S1781" s="35">
        <f>SUM(F1781:R1781)</f>
        <v>96</v>
      </c>
      <c r="T1781" s="35">
        <f>COUNT(F1781:R1781)</f>
        <v>11</v>
      </c>
      <c r="U1781" s="36">
        <f>IF(T1781&gt;=2,ROUND((IF(T1781=2,0.55,IF(T1781&lt;=4,0.7,IF(T1781&lt;=6,0.8,IF(T1781&lt;=9,0.9,1))))*(S1781/T1781)+(1-(IF(T1781=2,0.55,IF(T1781&lt;=4,0.7,IF(T1781&lt;=6,0.8,IF(T1781&lt;=9,0.9,1))))))*$Y$1),1),"")</f>
        <v>8.7</v>
      </c>
      <c r="V1781" s="37">
        <v>8.1</v>
      </c>
      <c r="W1781" s="38"/>
    </row>
    <row r="1782" ht="24" customHeight="1" spans="1:23" x14ac:dyDescent="0.25">
      <c r="A1782" s="31">
        <v>2043</v>
      </c>
      <c r="B1782" s="32" t="s">
        <v>1896</v>
      </c>
      <c r="C1782" s="33" t="s">
        <v>24</v>
      </c>
      <c r="D1782" s="34">
        <v>2025</v>
      </c>
      <c r="E1782" s="41"/>
      <c r="F1782" s="6">
        <v>7</v>
      </c>
      <c r="G1782" s="6"/>
      <c r="H1782" s="6"/>
      <c r="I1782" s="6"/>
      <c r="J1782" s="6"/>
      <c r="K1782" s="6"/>
      <c r="L1782" s="6"/>
      <c r="M1782" s="6">
        <v>7</v>
      </c>
      <c r="N1782" s="6"/>
      <c r="O1782" s="6">
        <v>8</v>
      </c>
      <c r="P1782" s="6"/>
      <c r="Q1782" s="6"/>
      <c r="R1782" s="6"/>
      <c r="S1782" s="35">
        <f>SUM(F1782:R1782)</f>
        <v>22</v>
      </c>
      <c r="T1782" s="35">
        <f>COUNT(F1782:R1782)</f>
        <v>3</v>
      </c>
      <c r="U1782" s="36">
        <f>IF(T1782&gt;=2,ROUND((IF(T1782=2,0.55,IF(T1782&lt;=4,0.7,IF(T1782&lt;=6,0.8,IF(T1782&lt;=9,0.9,1))))*(S1782/T1782)+(1-(IF(T1782=2,0.55,IF(T1782&lt;=4,0.7,IF(T1782&lt;=6,0.8,IF(T1782&lt;=9,0.9,1))))))*$Y$1),1),"")</f>
        <v>7.6</v>
      </c>
      <c r="V1782" s="37">
        <v>6.5</v>
      </c>
      <c r="W1782" s="38"/>
    </row>
    <row r="1783" ht="24" customHeight="1" spans="1:23" x14ac:dyDescent="0.25">
      <c r="A1783" s="47">
        <v>1167</v>
      </c>
      <c r="B1783" s="32" t="s">
        <v>1897</v>
      </c>
      <c r="C1783" s="48" t="s">
        <v>24</v>
      </c>
      <c r="D1783" s="49">
        <v>2021</v>
      </c>
      <c r="E1783" s="49" t="s">
        <v>30</v>
      </c>
      <c r="F1783" s="6">
        <v>8</v>
      </c>
      <c r="G1783" s="6"/>
      <c r="H1783" s="6">
        <v>8</v>
      </c>
      <c r="I1783" s="6">
        <v>8</v>
      </c>
      <c r="J1783" s="6">
        <v>8</v>
      </c>
      <c r="K1783" s="6">
        <v>8</v>
      </c>
      <c r="L1783" s="6">
        <v>8</v>
      </c>
      <c r="M1783" s="6"/>
      <c r="N1783" s="6">
        <v>6</v>
      </c>
      <c r="O1783" s="6">
        <v>8</v>
      </c>
      <c r="P1783" s="6">
        <v>8</v>
      </c>
      <c r="Q1783" s="6">
        <v>8</v>
      </c>
      <c r="R1783" s="6"/>
      <c r="S1783" s="35">
        <f>SUM(F1783:R1783)</f>
        <v>78</v>
      </c>
      <c r="T1783" s="35">
        <f>COUNT(F1783:R1783)</f>
        <v>10</v>
      </c>
      <c r="U1783" s="36">
        <f>IF(T1783&gt;=2,ROUND((IF(T1783=2,0.55,IF(T1783&lt;=4,0.7,IF(T1783&lt;=6,0.8,IF(T1783&lt;=9,0.9,1))))*(S1783/T1783)+(1-(IF(T1783=2,0.55,IF(T1783&lt;=4,0.7,IF(T1783&lt;=6,0.8,IF(T1783&lt;=9,0.9,1))))))*$Y$1),1),"")</f>
        <v>7.8</v>
      </c>
      <c r="V1783" s="37">
        <v>6.8</v>
      </c>
      <c r="W1783" s="38" t="s">
        <v>44</v>
      </c>
    </row>
    <row r="1784" ht="24" customHeight="1" spans="1:23" x14ac:dyDescent="0.25">
      <c r="A1784" s="31">
        <v>312</v>
      </c>
      <c r="B1784" s="32" t="s">
        <v>1898</v>
      </c>
      <c r="C1784" s="33" t="s">
        <v>24</v>
      </c>
      <c r="D1784" s="34">
        <v>1989</v>
      </c>
      <c r="E1784" s="34" t="s">
        <v>183</v>
      </c>
      <c r="F1784" s="6"/>
      <c r="G1784" s="6"/>
      <c r="H1784" s="6"/>
      <c r="I1784" s="6"/>
      <c r="J1784" s="6"/>
      <c r="K1784" s="6">
        <v>8</v>
      </c>
      <c r="L1784" s="6">
        <v>8</v>
      </c>
      <c r="M1784" s="6"/>
      <c r="N1784" s="6"/>
      <c r="O1784" s="6"/>
      <c r="P1784" s="6"/>
      <c r="Q1784" s="6">
        <v>8</v>
      </c>
      <c r="R1784" s="6"/>
      <c r="S1784" s="35">
        <f>SUM(F1784:R1784)</f>
        <v>24</v>
      </c>
      <c r="T1784" s="35">
        <f>COUNT(F1784:R1784)</f>
        <v>3</v>
      </c>
      <c r="U1784" s="36">
        <f>IF(T1784&gt;=2,ROUND((IF(T1784=2,0.55,IF(T1784&lt;=4,0.7,IF(T1784&lt;=6,0.8,IF(T1784&lt;=9,0.9,1))))*(S1784/T1784)+(1-(IF(T1784=2,0.55,IF(T1784&lt;=4,0.7,IF(T1784&lt;=6,0.8,IF(T1784&lt;=9,0.9,1))))))*$Y$1),1),"")</f>
        <v>8</v>
      </c>
      <c r="V1784" s="37">
        <v>7</v>
      </c>
      <c r="W1784" s="38"/>
    </row>
    <row r="1785" ht="24" customHeight="1" spans="1:23" x14ac:dyDescent="0.25">
      <c r="A1785" s="31">
        <v>193</v>
      </c>
      <c r="B1785" s="32" t="s">
        <v>1899</v>
      </c>
      <c r="C1785" s="33" t="s">
        <v>24</v>
      </c>
      <c r="D1785" s="34">
        <v>2018</v>
      </c>
      <c r="E1785" s="34" t="s">
        <v>30</v>
      </c>
      <c r="F1785" s="6"/>
      <c r="G1785" s="6">
        <v>8</v>
      </c>
      <c r="H1785" s="6">
        <v>6</v>
      </c>
      <c r="I1785" s="6">
        <v>6</v>
      </c>
      <c r="J1785" s="6">
        <v>10</v>
      </c>
      <c r="K1785" s="6">
        <v>6</v>
      </c>
      <c r="L1785" s="6">
        <v>6</v>
      </c>
      <c r="M1785" s="6"/>
      <c r="N1785" s="6"/>
      <c r="O1785" s="6"/>
      <c r="P1785" s="6"/>
      <c r="Q1785" s="6">
        <v>6</v>
      </c>
      <c r="R1785" s="6"/>
      <c r="S1785" s="35">
        <f>SUM(F1785:R1785)</f>
        <v>48</v>
      </c>
      <c r="T1785" s="35">
        <f>COUNT(F1785:R1785)</f>
        <v>7</v>
      </c>
      <c r="U1785" s="36">
        <f>IF(T1785&gt;=2,ROUND((IF(T1785=2,0.55,IF(T1785&lt;=4,0.7,IF(T1785&lt;=6,0.8,IF(T1785&lt;=9,0.9,1))))*(S1785/T1785)+(1-(IF(T1785=2,0.55,IF(T1785&lt;=4,0.7,IF(T1785&lt;=6,0.8,IF(T1785&lt;=9,0.9,1))))))*$Y$1),1),"")</f>
        <v>7</v>
      </c>
      <c r="V1785" s="37">
        <v>7.9</v>
      </c>
      <c r="W1785" s="38"/>
    </row>
    <row r="1786" ht="24" customHeight="1" spans="1:23" x14ac:dyDescent="0.25">
      <c r="A1786" s="31">
        <v>1682</v>
      </c>
      <c r="B1786" s="32" t="s">
        <v>1900</v>
      </c>
      <c r="C1786" s="33" t="s">
        <v>24</v>
      </c>
      <c r="D1786" s="34">
        <v>2023</v>
      </c>
      <c r="E1786" s="34" t="s">
        <v>141</v>
      </c>
      <c r="F1786" s="6">
        <v>8</v>
      </c>
      <c r="G1786" s="6">
        <v>9</v>
      </c>
      <c r="H1786" s="6">
        <v>8</v>
      </c>
      <c r="I1786" s="6"/>
      <c r="J1786" s="6"/>
      <c r="K1786" s="6"/>
      <c r="L1786" s="6">
        <v>7</v>
      </c>
      <c r="M1786" s="6"/>
      <c r="N1786" s="6">
        <v>9</v>
      </c>
      <c r="O1786" s="6">
        <v>8</v>
      </c>
      <c r="P1786" s="6">
        <v>8</v>
      </c>
      <c r="Q1786" s="6"/>
      <c r="R1786" s="6"/>
      <c r="S1786" s="35">
        <f>SUM(F1786:R1786)</f>
        <v>57</v>
      </c>
      <c r="T1786" s="35">
        <f>COUNT(F1786:R1786)</f>
        <v>7</v>
      </c>
      <c r="U1786" s="36">
        <f>IF(T1786&gt;=2,ROUND((IF(T1786=2,0.55,IF(T1786&lt;=4,0.7,IF(T1786&lt;=6,0.8,IF(T1786&lt;=9,0.9,1))))*(S1786/T1786)+(1-(IF(T1786=2,0.55,IF(T1786&lt;=4,0.7,IF(T1786&lt;=6,0.8,IF(T1786&lt;=9,0.9,1))))))*$Y$1),1),"")</f>
        <v>8.1</v>
      </c>
      <c r="V1786" s="37">
        <v>7.5</v>
      </c>
      <c r="W1786" s="38"/>
    </row>
    <row r="1787" ht="24" customHeight="1" spans="1:23" x14ac:dyDescent="0.25">
      <c r="A1787" s="31">
        <v>1372</v>
      </c>
      <c r="B1787" s="32" t="s">
        <v>1901</v>
      </c>
      <c r="C1787" s="33" t="s">
        <v>24</v>
      </c>
      <c r="D1787" s="34">
        <v>2022</v>
      </c>
      <c r="E1787" s="34" t="s">
        <v>27</v>
      </c>
      <c r="F1787" s="6">
        <v>8</v>
      </c>
      <c r="G1787" s="6"/>
      <c r="H1787" s="6"/>
      <c r="I1787" s="6"/>
      <c r="J1787" s="6"/>
      <c r="K1787" s="6"/>
      <c r="L1787" s="6"/>
      <c r="M1787" s="6"/>
      <c r="N1787" s="6"/>
      <c r="O1787" s="6">
        <v>10</v>
      </c>
      <c r="P1787" s="6"/>
      <c r="Q1787" s="6"/>
      <c r="R1787" s="6"/>
      <c r="S1787" s="35">
        <f>SUM(F1787:R1787)</f>
        <v>18</v>
      </c>
      <c r="T1787" s="35">
        <f>COUNT(F1787:R1787)</f>
        <v>2</v>
      </c>
      <c r="U1787" s="36">
        <f>IF(T1787&gt;=2,ROUND((IF(T1787=2,0.55,IF(T1787&lt;=4,0.7,IF(T1787&lt;=6,0.8,IF(T1787&lt;=9,0.9,1))))*(S1787/T1787)+(1-(IF(T1787=2,0.55,IF(T1787&lt;=4,0.7,IF(T1787&lt;=6,0.8,IF(T1787&lt;=9,0.9,1))))))*$Y$1),1),"")</f>
        <v>8.6</v>
      </c>
      <c r="V1787" s="37">
        <v>5.8</v>
      </c>
      <c r="W1787" s="38"/>
    </row>
    <row r="1788" ht="24" customHeight="1" spans="1:23" x14ac:dyDescent="0.25">
      <c r="A1788" s="31">
        <v>1844</v>
      </c>
      <c r="B1788" s="32" t="s">
        <v>1902</v>
      </c>
      <c r="C1788" s="33" t="s">
        <v>24</v>
      </c>
      <c r="D1788" s="34">
        <v>2023</v>
      </c>
      <c r="E1788" s="34" t="s">
        <v>25</v>
      </c>
      <c r="F1788" s="6"/>
      <c r="G1788" s="6">
        <v>7</v>
      </c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35">
        <f>SUM(F1788:R1788)</f>
        <v>7</v>
      </c>
      <c r="T1788" s="35">
        <f>COUNT(F1788:R1788)</f>
        <v>1</v>
      </c>
      <c r="U1788" s="36">
        <f>IF(T1788&gt;=2,ROUND((IF(T1788=2,0.55,IF(T1788&lt;=4,0.7,IF(T1788&lt;=6,0.8,IF(T1788&lt;=9,0.9,1))))*(S1788/T1788)+(1-(IF(T1788=2,0.55,IF(T1788&lt;=4,0.7,IF(T1788&lt;=6,0.8,IF(T1788&lt;=9,0.9,1))))))*$Y$1),1),"")</f>
      </c>
      <c r="V1788" s="37">
        <v>6.8</v>
      </c>
      <c r="W1788" s="38"/>
    </row>
    <row r="1789" ht="34.5" customHeight="1" spans="1:23" x14ac:dyDescent="0.25">
      <c r="A1789" s="31">
        <v>470</v>
      </c>
      <c r="B1789" s="32" t="s">
        <v>1903</v>
      </c>
      <c r="C1789" s="33" t="s">
        <v>24</v>
      </c>
      <c r="D1789" s="34">
        <v>2018</v>
      </c>
      <c r="E1789" s="34" t="s">
        <v>30</v>
      </c>
      <c r="F1789" s="6"/>
      <c r="G1789" s="6">
        <v>8</v>
      </c>
      <c r="H1789" s="6"/>
      <c r="I1789" s="6"/>
      <c r="J1789" s="6"/>
      <c r="K1789" s="6"/>
      <c r="L1789" s="6"/>
      <c r="M1789" s="6"/>
      <c r="N1789" s="6"/>
      <c r="O1789" s="6"/>
      <c r="P1789" s="6">
        <v>8</v>
      </c>
      <c r="Q1789" s="6"/>
      <c r="R1789" s="6"/>
      <c r="S1789" s="35">
        <f>SUM(F1789:R1789)</f>
        <v>16</v>
      </c>
      <c r="T1789" s="35">
        <f>COUNT(F1789:R1789)</f>
        <v>2</v>
      </c>
      <c r="U1789" s="36">
        <f>IF(T1789&gt;=2,ROUND((IF(T1789=2,0.55,IF(T1789&lt;=4,0.7,IF(T1789&lt;=6,0.8,IF(T1789&lt;=9,0.9,1))))*(S1789/T1789)+(1-(IF(T1789=2,0.55,IF(T1789&lt;=4,0.7,IF(T1789&lt;=6,0.8,IF(T1789&lt;=9,0.9,1))))))*$Y$1),1),"")</f>
        <v>8</v>
      </c>
      <c r="V1789" s="37">
        <v>8.2</v>
      </c>
      <c r="W1789" s="38"/>
    </row>
    <row r="1790" ht="24" customHeight="1" spans="1:23" x14ac:dyDescent="0.25">
      <c r="A1790" s="31">
        <v>1897</v>
      </c>
      <c r="B1790" s="32" t="s">
        <v>1904</v>
      </c>
      <c r="C1790" s="33" t="s">
        <v>24</v>
      </c>
      <c r="D1790" s="34">
        <v>2024</v>
      </c>
      <c r="E1790" s="34" t="s">
        <v>30</v>
      </c>
      <c r="F1790" s="6"/>
      <c r="G1790" s="6"/>
      <c r="H1790" s="6"/>
      <c r="I1790" s="6"/>
      <c r="J1790" s="6"/>
      <c r="K1790" s="6"/>
      <c r="L1790" s="6">
        <v>7</v>
      </c>
      <c r="M1790" s="6">
        <v>7</v>
      </c>
      <c r="N1790" s="6">
        <v>7</v>
      </c>
      <c r="O1790" s="6"/>
      <c r="P1790" s="6"/>
      <c r="Q1790" s="6"/>
      <c r="R1790" s="6"/>
      <c r="S1790" s="35">
        <f>SUM(F1790:R1790)</f>
        <v>21</v>
      </c>
      <c r="T1790" s="35">
        <f>COUNT(F1790:R1790)</f>
        <v>3</v>
      </c>
      <c r="U1790" s="36">
        <f>IF(T1790&gt;=2,ROUND((IF(T1790=2,0.55,IF(T1790&lt;=4,0.7,IF(T1790&lt;=6,0.8,IF(T1790&lt;=9,0.9,1))))*(S1790/T1790)+(1-(IF(T1790=2,0.55,IF(T1790&lt;=4,0.7,IF(T1790&lt;=6,0.8,IF(T1790&lt;=9,0.9,1))))))*$Y$1),1),"")</f>
        <v>7.3</v>
      </c>
      <c r="V1790" s="37">
        <v>6.3</v>
      </c>
      <c r="W1790" s="38"/>
    </row>
    <row r="1791" ht="24" customHeight="1" spans="1:23" x14ac:dyDescent="0.25">
      <c r="A1791" s="31">
        <v>1079</v>
      </c>
      <c r="B1791" s="32" t="s">
        <v>1905</v>
      </c>
      <c r="C1791" s="33" t="s">
        <v>24</v>
      </c>
      <c r="D1791" s="34">
        <v>2021</v>
      </c>
      <c r="E1791" s="34" t="s">
        <v>30</v>
      </c>
      <c r="F1791" s="6"/>
      <c r="G1791" s="6"/>
      <c r="H1791" s="6"/>
      <c r="I1791" s="6"/>
      <c r="J1791" s="6"/>
      <c r="K1791" s="6"/>
      <c r="L1791" s="6"/>
      <c r="M1791" s="6"/>
      <c r="N1791" s="6">
        <v>8</v>
      </c>
      <c r="O1791" s="6"/>
      <c r="P1791" s="6"/>
      <c r="Q1791" s="6"/>
      <c r="R1791" s="6"/>
      <c r="S1791" s="35">
        <f>SUM(F1791:R1791)</f>
        <v>8</v>
      </c>
      <c r="T1791" s="35">
        <f>COUNT(F1791:R1791)</f>
        <v>1</v>
      </c>
      <c r="U1791" s="36">
        <f>IF(T1791&gt;=2,ROUND((IF(T1791=2,0.55,IF(T1791&lt;=4,0.7,IF(T1791&lt;=6,0.8,IF(T1791&lt;=9,0.9,1))))*(S1791/T1791)+(1-(IF(T1791=2,0.55,IF(T1791&lt;=4,0.7,IF(T1791&lt;=6,0.8,IF(T1791&lt;=9,0.9,1))))))*$Y$1),1),"")</f>
      </c>
      <c r="V1791" s="37">
        <v>5.3</v>
      </c>
      <c r="W1791" s="38"/>
    </row>
    <row r="1792" ht="24" customHeight="1" spans="1:23" x14ac:dyDescent="0.25">
      <c r="A1792" s="31">
        <v>1349</v>
      </c>
      <c r="B1792" s="32" t="s">
        <v>1906</v>
      </c>
      <c r="C1792" s="33" t="s">
        <v>24</v>
      </c>
      <c r="D1792" s="34">
        <v>2018</v>
      </c>
      <c r="E1792" s="34" t="s">
        <v>30</v>
      </c>
      <c r="F1792" s="6"/>
      <c r="G1792" s="6"/>
      <c r="H1792" s="6"/>
      <c r="I1792" s="6"/>
      <c r="J1792" s="6">
        <v>8</v>
      </c>
      <c r="K1792" s="6"/>
      <c r="L1792" s="6"/>
      <c r="M1792" s="6"/>
      <c r="N1792" s="6"/>
      <c r="O1792" s="6"/>
      <c r="P1792" s="6"/>
      <c r="Q1792" s="6"/>
      <c r="R1792" s="6"/>
      <c r="S1792" s="35">
        <f>SUM(F1792:R1792)</f>
        <v>8</v>
      </c>
      <c r="T1792" s="35">
        <f>COUNT(F1792:R1792)</f>
        <v>1</v>
      </c>
      <c r="U1792" s="36">
        <f>IF(T1792&gt;=2,ROUND((IF(T1792=2,0.55,IF(T1792&lt;=4,0.7,IF(T1792&lt;=6,0.8,IF(T1792&lt;=9,0.9,1))))*(S1792/T1792)+(1-(IF(T1792=2,0.55,IF(T1792&lt;=4,0.7,IF(T1792&lt;=6,0.8,IF(T1792&lt;=9,0.9,1))))))*$Y$1),1),"")</f>
      </c>
      <c r="V1792" s="37">
        <v>6.8</v>
      </c>
      <c r="W1792" s="38"/>
    </row>
    <row r="1793" ht="24" customHeight="1" spans="1:23" x14ac:dyDescent="0.25">
      <c r="A1793" s="47">
        <v>891</v>
      </c>
      <c r="B1793" s="32" t="s">
        <v>1907</v>
      </c>
      <c r="C1793" s="48" t="s">
        <v>24</v>
      </c>
      <c r="D1793" s="49">
        <v>2012</v>
      </c>
      <c r="E1793" s="49" t="s">
        <v>30</v>
      </c>
      <c r="F1793" s="6">
        <v>8</v>
      </c>
      <c r="G1793" s="6">
        <v>8</v>
      </c>
      <c r="H1793" s="6"/>
      <c r="I1793" s="6">
        <v>8</v>
      </c>
      <c r="J1793" s="6">
        <v>8</v>
      </c>
      <c r="K1793" s="6"/>
      <c r="L1793" s="6"/>
      <c r="M1793" s="6">
        <v>8</v>
      </c>
      <c r="N1793" s="6">
        <v>8</v>
      </c>
      <c r="O1793" s="6"/>
      <c r="P1793" s="6">
        <v>8</v>
      </c>
      <c r="Q1793" s="6"/>
      <c r="R1793" s="6"/>
      <c r="S1793" s="35">
        <f>SUM(F1793:R1793)</f>
        <v>56</v>
      </c>
      <c r="T1793" s="35">
        <f>COUNT(F1793:R1793)</f>
        <v>7</v>
      </c>
      <c r="U1793" s="36">
        <f>IF(T1793&gt;=2,ROUND((IF(T1793=2,0.55,IF(T1793&lt;=4,0.7,IF(T1793&lt;=6,0.8,IF(T1793&lt;=9,0.9,1))))*(S1793/T1793)+(1-(IF(T1793=2,0.55,IF(T1793&lt;=4,0.7,IF(T1793&lt;=6,0.8,IF(T1793&lt;=9,0.9,1))))))*$Y$1),1),"")</f>
        <v>8</v>
      </c>
      <c r="V1793" s="37">
        <v>7.9</v>
      </c>
      <c r="W1793" s="38" t="s">
        <v>44</v>
      </c>
    </row>
    <row r="1794" ht="24" customHeight="1" spans="1:23" x14ac:dyDescent="0.25">
      <c r="A1794" s="31">
        <v>1968</v>
      </c>
      <c r="B1794" s="32" t="s">
        <v>1908</v>
      </c>
      <c r="C1794" s="33" t="s">
        <v>24</v>
      </c>
      <c r="D1794" s="34">
        <v>2023</v>
      </c>
      <c r="E1794" s="34" t="s">
        <v>30</v>
      </c>
      <c r="F1794" s="6"/>
      <c r="G1794" s="6"/>
      <c r="H1794" s="6"/>
      <c r="I1794" s="6"/>
      <c r="J1794" s="6">
        <v>8</v>
      </c>
      <c r="K1794" s="6">
        <v>7</v>
      </c>
      <c r="L1794" s="6">
        <v>7</v>
      </c>
      <c r="M1794" s="6"/>
      <c r="N1794" s="6"/>
      <c r="O1794" s="6">
        <v>7</v>
      </c>
      <c r="P1794" s="6"/>
      <c r="Q1794" s="6">
        <v>7</v>
      </c>
      <c r="R1794" s="6"/>
      <c r="S1794" s="35">
        <f>SUM(F1794:R1794)</f>
        <v>36</v>
      </c>
      <c r="T1794" s="35">
        <f>COUNT(F1794:R1794)</f>
        <v>5</v>
      </c>
      <c r="U1794" s="36">
        <f>IF(T1794&gt;=2,ROUND((IF(T1794=2,0.55,IF(T1794&lt;=4,0.7,IF(T1794&lt;=6,0.8,IF(T1794&lt;=9,0.9,1))))*(S1794/T1794)+(1-(IF(T1794=2,0.55,IF(T1794&lt;=4,0.7,IF(T1794&lt;=6,0.8,IF(T1794&lt;=9,0.9,1))))))*$Y$1),1),"")</f>
        <v>7.4</v>
      </c>
      <c r="V1794" s="37">
        <v>7.1</v>
      </c>
      <c r="W1794" s="38"/>
    </row>
    <row r="1795" ht="24" customHeight="1" spans="1:23" x14ac:dyDescent="0.25">
      <c r="A1795" s="31">
        <v>469</v>
      </c>
      <c r="B1795" s="32" t="s">
        <v>1909</v>
      </c>
      <c r="C1795" s="33" t="s">
        <v>29</v>
      </c>
      <c r="D1795" s="34">
        <v>2017</v>
      </c>
      <c r="E1795" s="34" t="s">
        <v>30</v>
      </c>
      <c r="F1795" s="6"/>
      <c r="G1795" s="6"/>
      <c r="H1795" s="6">
        <v>9</v>
      </c>
      <c r="I1795" s="6"/>
      <c r="J1795" s="6"/>
      <c r="K1795" s="6">
        <v>8</v>
      </c>
      <c r="L1795" s="6">
        <v>8</v>
      </c>
      <c r="M1795" s="6">
        <v>8</v>
      </c>
      <c r="N1795" s="6"/>
      <c r="O1795" s="6">
        <v>10</v>
      </c>
      <c r="P1795" s="6"/>
      <c r="Q1795" s="6">
        <v>8</v>
      </c>
      <c r="R1795" s="6"/>
      <c r="S1795" s="35">
        <f>SUM(F1795:R1795)</f>
        <v>51</v>
      </c>
      <c r="T1795" s="35">
        <f>COUNT(F1795:R1795)</f>
        <v>6</v>
      </c>
      <c r="U1795" s="36">
        <f>IF(T1795&gt;=2,ROUND((IF(T1795=2,0.55,IF(T1795&lt;=4,0.7,IF(T1795&lt;=6,0.8,IF(T1795&lt;=9,0.9,1))))*(S1795/T1795)+(1-(IF(T1795=2,0.55,IF(T1795&lt;=4,0.7,IF(T1795&lt;=6,0.8,IF(T1795&lt;=9,0.9,1))))))*$Y$1),1),"")</f>
        <v>8.4</v>
      </c>
      <c r="V1795" s="37">
        <v>7.5</v>
      </c>
      <c r="W1795" s="38"/>
    </row>
    <row r="1796" ht="24" customHeight="1" spans="1:23" x14ac:dyDescent="0.25">
      <c r="A1796" s="31">
        <v>158</v>
      </c>
      <c r="B1796" s="32" t="s">
        <v>1910</v>
      </c>
      <c r="C1796" s="33" t="s">
        <v>24</v>
      </c>
      <c r="D1796" s="34">
        <v>2015</v>
      </c>
      <c r="E1796" s="34" t="s">
        <v>486</v>
      </c>
      <c r="F1796" s="6">
        <v>10</v>
      </c>
      <c r="G1796" s="6">
        <v>8</v>
      </c>
      <c r="H1796" s="6">
        <v>8</v>
      </c>
      <c r="I1796" s="6">
        <v>10</v>
      </c>
      <c r="J1796" s="6">
        <v>10</v>
      </c>
      <c r="K1796" s="6">
        <v>4</v>
      </c>
      <c r="L1796" s="6">
        <v>8</v>
      </c>
      <c r="M1796" s="6">
        <v>6</v>
      </c>
      <c r="N1796" s="6"/>
      <c r="O1796" s="6"/>
      <c r="P1796" s="6">
        <v>10</v>
      </c>
      <c r="Q1796" s="6">
        <v>4</v>
      </c>
      <c r="R1796" s="6">
        <v>10</v>
      </c>
      <c r="S1796" s="35">
        <f>SUM(F1796:R1796)</f>
        <v>88</v>
      </c>
      <c r="T1796" s="35">
        <f>COUNT(F1796:R1796)</f>
        <v>11</v>
      </c>
      <c r="U1796" s="36">
        <f>IF(T1796&gt;=2,ROUND((IF(T1796=2,0.55,IF(T1796&lt;=4,0.7,IF(T1796&lt;=6,0.8,IF(T1796&lt;=9,0.9,1))))*(S1796/T1796)+(1-(IF(T1796=2,0.55,IF(T1796&lt;=4,0.7,IF(T1796&lt;=6,0.8,IF(T1796&lt;=9,0.9,1))))))*$Y$1),1),"")</f>
        <v>8</v>
      </c>
      <c r="V1796" s="37">
        <v>6.9</v>
      </c>
      <c r="W1796" s="38"/>
    </row>
    <row r="1797" ht="24" customHeight="1" spans="1:23" x14ac:dyDescent="0.25">
      <c r="A1797" s="31">
        <v>22</v>
      </c>
      <c r="B1797" s="32" t="s">
        <v>1911</v>
      </c>
      <c r="C1797" s="33" t="s">
        <v>24</v>
      </c>
      <c r="D1797" s="34">
        <v>2002</v>
      </c>
      <c r="E1797" s="34" t="s">
        <v>25</v>
      </c>
      <c r="F1797" s="6"/>
      <c r="G1797" s="6"/>
      <c r="H1797" s="6"/>
      <c r="I1797" s="6"/>
      <c r="J1797" s="6">
        <v>8</v>
      </c>
      <c r="K1797" s="6"/>
      <c r="L1797" s="6"/>
      <c r="M1797" s="6"/>
      <c r="N1797" s="6"/>
      <c r="O1797" s="6"/>
      <c r="P1797" s="6"/>
      <c r="Q1797" s="6"/>
      <c r="R1797" s="6"/>
      <c r="S1797" s="35">
        <f>SUM(F1797:R1797)</f>
        <v>8</v>
      </c>
      <c r="T1797" s="35">
        <f>COUNT(F1797:R1797)</f>
        <v>1</v>
      </c>
      <c r="U1797" s="36">
        <f>IF(T1797&gt;=2,ROUND((IF(T1797=2,0.55,IF(T1797&lt;=4,0.7,IF(T1797&lt;=6,0.8,IF(T1797&lt;=9,0.9,1))))*(S1797/T1797)+(1-(IF(T1797=2,0.55,IF(T1797&lt;=4,0.7,IF(T1797&lt;=6,0.8,IF(T1797&lt;=9,0.9,1))))))*$Y$1),1),"")</f>
      </c>
      <c r="V1797" s="37">
        <v>6.5</v>
      </c>
      <c r="W1797" s="38"/>
    </row>
    <row r="1798" ht="24" customHeight="1" spans="1:23" x14ac:dyDescent="0.25">
      <c r="A1798" s="31">
        <v>373</v>
      </c>
      <c r="B1798" s="32" t="s">
        <v>1912</v>
      </c>
      <c r="C1798" s="33" t="s">
        <v>24</v>
      </c>
      <c r="D1798" s="34">
        <v>2018</v>
      </c>
      <c r="E1798" s="34" t="s">
        <v>179</v>
      </c>
      <c r="F1798" s="6"/>
      <c r="G1798" s="6"/>
      <c r="H1798" s="6">
        <v>8</v>
      </c>
      <c r="I1798" s="6">
        <v>8</v>
      </c>
      <c r="J1798" s="6"/>
      <c r="K1798" s="6"/>
      <c r="L1798" s="6"/>
      <c r="M1798" s="6"/>
      <c r="N1798" s="6"/>
      <c r="O1798" s="6"/>
      <c r="P1798" s="6"/>
      <c r="Q1798" s="6"/>
      <c r="R1798" s="6"/>
      <c r="S1798" s="35">
        <f>SUM(F1798:R1798)</f>
        <v>16</v>
      </c>
      <c r="T1798" s="35">
        <f>COUNT(F1798:R1798)</f>
        <v>2</v>
      </c>
      <c r="U1798" s="36">
        <f>IF(T1798&gt;=2,ROUND((IF(T1798=2,0.55,IF(T1798&lt;=4,0.7,IF(T1798&lt;=6,0.8,IF(T1798&lt;=9,0.9,1))))*(S1798/T1798)+(1-(IF(T1798=2,0.55,IF(T1798&lt;=4,0.7,IF(T1798&lt;=6,0.8,IF(T1798&lt;=9,0.9,1))))))*$Y$1),1),"")</f>
        <v>8</v>
      </c>
      <c r="V1798" s="37">
        <v>5.9</v>
      </c>
      <c r="W1798" s="38"/>
    </row>
    <row r="1799" ht="24" customHeight="1" spans="1:23" x14ac:dyDescent="0.25">
      <c r="A1799" s="47">
        <v>121</v>
      </c>
      <c r="B1799" s="32" t="s">
        <v>1913</v>
      </c>
      <c r="C1799" s="48" t="s">
        <v>24</v>
      </c>
      <c r="D1799" s="49">
        <v>1995</v>
      </c>
      <c r="E1799" s="49" t="s">
        <v>340</v>
      </c>
      <c r="F1799" s="6">
        <v>8</v>
      </c>
      <c r="G1799" s="6">
        <v>9</v>
      </c>
      <c r="H1799" s="6">
        <v>10</v>
      </c>
      <c r="I1799" s="6">
        <v>10</v>
      </c>
      <c r="J1799" s="6">
        <v>10</v>
      </c>
      <c r="K1799" s="6">
        <v>10</v>
      </c>
      <c r="L1799" s="6">
        <v>10</v>
      </c>
      <c r="M1799" s="6">
        <v>10</v>
      </c>
      <c r="N1799" s="6">
        <v>10</v>
      </c>
      <c r="O1799" s="6">
        <v>10</v>
      </c>
      <c r="P1799" s="6">
        <v>8</v>
      </c>
      <c r="Q1799" s="6">
        <v>10</v>
      </c>
      <c r="R1799" s="6">
        <v>10</v>
      </c>
      <c r="S1799" s="35">
        <f>SUM(F1799:R1799)</f>
        <v>125</v>
      </c>
      <c r="T1799" s="35">
        <f>COUNT(F1799:R1799)</f>
        <v>13</v>
      </c>
      <c r="U1799" s="36">
        <f>IF(T1799&gt;=2,ROUND((IF(T1799=2,0.55,IF(T1799&lt;=4,0.7,IF(T1799&lt;=6,0.8,IF(T1799&lt;=9,0.9,1))))*(S1799/T1799)+(1-(IF(T1799=2,0.55,IF(T1799&lt;=4,0.7,IF(T1799&lt;=6,0.8,IF(T1799&lt;=9,0.9,1))))))*$Y$1),1),"")</f>
        <v>9.6</v>
      </c>
      <c r="V1799" s="37">
        <v>7.6</v>
      </c>
      <c r="W1799" s="38" t="s">
        <v>44</v>
      </c>
    </row>
    <row r="1800" ht="24" customHeight="1" spans="1:23" x14ac:dyDescent="0.25">
      <c r="A1800" s="31">
        <v>600</v>
      </c>
      <c r="B1800" s="32" t="s">
        <v>1914</v>
      </c>
      <c r="C1800" s="33" t="s">
        <v>24</v>
      </c>
      <c r="D1800" s="34">
        <v>2012</v>
      </c>
      <c r="E1800" s="34" t="s">
        <v>27</v>
      </c>
      <c r="F1800" s="6">
        <v>8</v>
      </c>
      <c r="G1800" s="6"/>
      <c r="H1800" s="6"/>
      <c r="I1800" s="6"/>
      <c r="J1800" s="6"/>
      <c r="K1800" s="6">
        <v>8</v>
      </c>
      <c r="L1800" s="6">
        <v>8</v>
      </c>
      <c r="M1800" s="6"/>
      <c r="N1800" s="6"/>
      <c r="O1800" s="6"/>
      <c r="P1800" s="6"/>
      <c r="Q1800" s="6">
        <v>8</v>
      </c>
      <c r="R1800" s="6">
        <v>8</v>
      </c>
      <c r="S1800" s="35">
        <f>SUM(F1800:R1800)</f>
        <v>40</v>
      </c>
      <c r="T1800" s="35">
        <f>COUNT(F1800:R1800)</f>
        <v>5</v>
      </c>
      <c r="U1800" s="36">
        <f>IF(T1800&gt;=2,ROUND((IF(T1800=2,0.55,IF(T1800&lt;=4,0.7,IF(T1800&lt;=6,0.8,IF(T1800&lt;=9,0.9,1))))*(S1800/T1800)+(1-(IF(T1800=2,0.55,IF(T1800&lt;=4,0.7,IF(T1800&lt;=6,0.8,IF(T1800&lt;=9,0.9,1))))))*$Y$1),1),"")</f>
        <v>8</v>
      </c>
      <c r="V1800" s="37">
        <v>7</v>
      </c>
      <c r="W1800" s="38"/>
    </row>
    <row r="1801" ht="24" customHeight="1" spans="1:23" x14ac:dyDescent="0.25">
      <c r="A1801" s="31">
        <v>2510</v>
      </c>
      <c r="B1801" s="32" t="s">
        <v>1915</v>
      </c>
      <c r="C1801" s="33" t="s">
        <v>24</v>
      </c>
      <c r="D1801" s="34" t="s">
        <v>146</v>
      </c>
      <c r="E1801" s="34"/>
      <c r="F1801" s="6"/>
      <c r="G1801" s="6"/>
      <c r="H1801" s="6"/>
      <c r="I1801" s="6"/>
      <c r="J1801" s="6"/>
      <c r="K1801" s="6"/>
      <c r="L1801" s="6">
        <v>7.5</v>
      </c>
      <c r="M1801" s="6"/>
      <c r="N1801" s="6"/>
      <c r="O1801" s="6"/>
      <c r="P1801" s="6"/>
      <c r="Q1801" s="6"/>
      <c r="R1801" s="6"/>
      <c r="S1801" s="35">
        <f>SUM(F1801:R1801)</f>
        <v>7.5</v>
      </c>
      <c r="T1801" s="35">
        <f>COUNT(F1801:R1801)</f>
        <v>1</v>
      </c>
      <c r="U1801" s="36">
        <f>IF(T1801&gt;=2,ROUND((IF(T1801=2,0.55,IF(T1801&lt;=4,0.7,IF(T1801&lt;=6,0.8,IF(T1801&lt;=9,0.9,1))))*(S1801/T1801)+(1-(IF(T1801=2,0.55,IF(T1801&lt;=4,0.7,IF(T1801&lt;=6,0.8,IF(T1801&lt;=9,0.9,1))))))*$Y$1),1),"")</f>
      </c>
      <c r="V1801" s="37">
        <v>7.5</v>
      </c>
      <c r="W1801" s="38"/>
    </row>
    <row r="1802" ht="47.25" customHeight="1" spans="1:23" x14ac:dyDescent="0.25">
      <c r="A1802" s="40">
        <v>2061</v>
      </c>
      <c r="B1802" s="32" t="s">
        <v>1916</v>
      </c>
      <c r="C1802" s="33" t="s">
        <v>24</v>
      </c>
      <c r="D1802" s="34">
        <v>1952</v>
      </c>
      <c r="E1802" s="41"/>
      <c r="F1802" s="6"/>
      <c r="G1802" s="6">
        <v>8</v>
      </c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35">
        <f>SUM(F1802:R1802)</f>
        <v>8</v>
      </c>
      <c r="T1802" s="35">
        <f>COUNT(F1802:R1802)</f>
        <v>1</v>
      </c>
      <c r="U1802" s="36">
        <f>IF(T1802&gt;=2,ROUND((IF(T1802=2,0.55,IF(T1802&lt;=4,0.7,IF(T1802&lt;=6,0.8,IF(T1802&lt;=9,0.9,1))))*(S1802/T1802)+(1-(IF(T1802=2,0.55,IF(T1802&lt;=4,0.7,IF(T1802&lt;=6,0.8,IF(T1802&lt;=9,0.9,1))))))*$Y$1),1),"")</f>
      </c>
      <c r="V1802" s="37">
        <v>6.1</v>
      </c>
      <c r="W1802" s="38"/>
    </row>
    <row r="1803" ht="24" customHeight="1" spans="1:23" x14ac:dyDescent="0.25">
      <c r="A1803" s="31">
        <v>358</v>
      </c>
      <c r="B1803" s="32" t="s">
        <v>1917</v>
      </c>
      <c r="C1803" s="33" t="s">
        <v>24</v>
      </c>
      <c r="D1803" s="34">
        <v>2011</v>
      </c>
      <c r="E1803" s="34" t="s">
        <v>179</v>
      </c>
      <c r="F1803" s="6"/>
      <c r="G1803" s="6">
        <v>8</v>
      </c>
      <c r="H1803" s="6"/>
      <c r="I1803" s="6"/>
      <c r="J1803" s="6"/>
      <c r="K1803" s="6">
        <v>8</v>
      </c>
      <c r="L1803" s="6"/>
      <c r="M1803" s="6"/>
      <c r="N1803" s="6"/>
      <c r="O1803" s="6"/>
      <c r="P1803" s="6">
        <v>8</v>
      </c>
      <c r="Q1803" s="6">
        <v>8</v>
      </c>
      <c r="R1803" s="6"/>
      <c r="S1803" s="35">
        <f>SUM(F1803:R1803)</f>
        <v>32</v>
      </c>
      <c r="T1803" s="35">
        <f>COUNT(F1803:R1803)</f>
        <v>4</v>
      </c>
      <c r="U1803" s="36">
        <f>IF(T1803&gt;=2,ROUND((IF(T1803=2,0.55,IF(T1803&lt;=4,0.7,IF(T1803&lt;=6,0.8,IF(T1803&lt;=9,0.9,1))))*(S1803/T1803)+(1-(IF(T1803=2,0.55,IF(T1803&lt;=4,0.7,IF(T1803&lt;=6,0.8,IF(T1803&lt;=9,0.9,1))))))*$Y$1),1),"")</f>
        <v>8</v>
      </c>
      <c r="V1803" s="37">
        <v>7.2</v>
      </c>
      <c r="W1803" s="38"/>
    </row>
    <row r="1804" ht="24" customHeight="1" spans="1:23" x14ac:dyDescent="0.25">
      <c r="A1804" s="47">
        <v>1479</v>
      </c>
      <c r="B1804" s="32" t="s">
        <v>1918</v>
      </c>
      <c r="C1804" s="48" t="s">
        <v>24</v>
      </c>
      <c r="D1804" s="49">
        <v>2022</v>
      </c>
      <c r="E1804" s="49" t="s">
        <v>30</v>
      </c>
      <c r="F1804" s="6"/>
      <c r="G1804" s="6">
        <v>8</v>
      </c>
      <c r="H1804" s="6"/>
      <c r="I1804" s="6"/>
      <c r="J1804" s="6"/>
      <c r="K1804" s="6">
        <v>9</v>
      </c>
      <c r="L1804" s="6"/>
      <c r="M1804" s="6"/>
      <c r="N1804" s="6"/>
      <c r="O1804" s="6"/>
      <c r="P1804" s="6"/>
      <c r="Q1804" s="6">
        <v>9</v>
      </c>
      <c r="R1804" s="6"/>
      <c r="S1804" s="35">
        <f>SUM(F1804:R1804)</f>
        <v>26</v>
      </c>
      <c r="T1804" s="35">
        <f>COUNT(F1804:R1804)</f>
        <v>3</v>
      </c>
      <c r="U1804" s="36">
        <f>IF(T1804&gt;=2,ROUND((IF(T1804=2,0.55,IF(T1804&lt;=4,0.7,IF(T1804&lt;=6,0.8,IF(T1804&lt;=9,0.9,1))))*(S1804/T1804)+(1-(IF(T1804=2,0.55,IF(T1804&lt;=4,0.7,IF(T1804&lt;=6,0.8,IF(T1804&lt;=9,0.9,1))))))*$Y$1),1),"")</f>
        <v>8.5</v>
      </c>
      <c r="V1804" s="37">
        <v>7.4</v>
      </c>
      <c r="W1804" s="38" t="s">
        <v>44</v>
      </c>
    </row>
    <row r="1805" ht="24" customHeight="1" spans="1:23" x14ac:dyDescent="0.25">
      <c r="A1805" s="31">
        <v>794</v>
      </c>
      <c r="B1805" s="32" t="s">
        <v>1919</v>
      </c>
      <c r="C1805" s="33" t="s">
        <v>24</v>
      </c>
      <c r="D1805" s="34">
        <v>2010</v>
      </c>
      <c r="E1805" s="34" t="s">
        <v>27</v>
      </c>
      <c r="F1805" s="6"/>
      <c r="G1805" s="6"/>
      <c r="H1805" s="6"/>
      <c r="I1805" s="6"/>
      <c r="J1805" s="6">
        <v>8</v>
      </c>
      <c r="K1805" s="6">
        <v>8</v>
      </c>
      <c r="L1805" s="6">
        <v>8</v>
      </c>
      <c r="M1805" s="6"/>
      <c r="N1805" s="6"/>
      <c r="O1805" s="6"/>
      <c r="P1805" s="6"/>
      <c r="Q1805" s="6">
        <v>8</v>
      </c>
      <c r="R1805" s="6"/>
      <c r="S1805" s="35">
        <f>SUM(F1805:R1805)</f>
        <v>32</v>
      </c>
      <c r="T1805" s="35">
        <f>COUNT(F1805:R1805)</f>
        <v>4</v>
      </c>
      <c r="U1805" s="36">
        <f>IF(T1805&gt;=2,ROUND((IF(T1805=2,0.55,IF(T1805&lt;=4,0.7,IF(T1805&lt;=6,0.8,IF(T1805&lt;=9,0.9,1))))*(S1805/T1805)+(1-(IF(T1805=2,0.55,IF(T1805&lt;=4,0.7,IF(T1805&lt;=6,0.8,IF(T1805&lt;=9,0.9,1))))))*$Y$1),1),"")</f>
        <v>8</v>
      </c>
      <c r="V1805" s="37">
        <v>7.1</v>
      </c>
      <c r="W1805" s="38"/>
    </row>
    <row r="1806" ht="24" customHeight="1" spans="1:23" x14ac:dyDescent="0.25">
      <c r="A1806" s="31">
        <v>435</v>
      </c>
      <c r="B1806" s="32" t="s">
        <v>1920</v>
      </c>
      <c r="C1806" s="33" t="s">
        <v>24</v>
      </c>
      <c r="D1806" s="34">
        <v>2012</v>
      </c>
      <c r="E1806" s="34" t="s">
        <v>1921</v>
      </c>
      <c r="F1806" s="6"/>
      <c r="G1806" s="6"/>
      <c r="H1806" s="6">
        <v>10</v>
      </c>
      <c r="I1806" s="6">
        <v>10</v>
      </c>
      <c r="J1806" s="6"/>
      <c r="K1806" s="6">
        <v>8</v>
      </c>
      <c r="L1806" s="6">
        <v>8</v>
      </c>
      <c r="M1806" s="6"/>
      <c r="N1806" s="6"/>
      <c r="O1806" s="6"/>
      <c r="P1806" s="6"/>
      <c r="Q1806" s="6">
        <v>8</v>
      </c>
      <c r="R1806" s="6"/>
      <c r="S1806" s="35">
        <f>SUM(F1806:R1806)</f>
        <v>44</v>
      </c>
      <c r="T1806" s="35">
        <f>COUNT(F1806:R1806)</f>
        <v>5</v>
      </c>
      <c r="U1806" s="36">
        <f>IF(T1806&gt;=2,ROUND((IF(T1806=2,0.55,IF(T1806&lt;=4,0.7,IF(T1806&lt;=6,0.8,IF(T1806&lt;=9,0.9,1))))*(S1806/T1806)+(1-(IF(T1806=2,0.55,IF(T1806&lt;=4,0.7,IF(T1806&lt;=6,0.8,IF(T1806&lt;=9,0.9,1))))))*$Y$1),1),"")</f>
        <v>8.7</v>
      </c>
      <c r="V1806" s="37">
        <v>6.9</v>
      </c>
      <c r="W1806" s="38"/>
    </row>
    <row r="1807" ht="24" customHeight="1" spans="1:23" x14ac:dyDescent="0.25">
      <c r="A1807" s="31">
        <v>1456</v>
      </c>
      <c r="B1807" s="32" t="s">
        <v>1922</v>
      </c>
      <c r="C1807" s="33" t="s">
        <v>24</v>
      </c>
      <c r="D1807" s="34">
        <v>2022</v>
      </c>
      <c r="E1807" s="34" t="s">
        <v>30</v>
      </c>
      <c r="F1807" s="6">
        <v>6</v>
      </c>
      <c r="G1807" s="6"/>
      <c r="H1807" s="6"/>
      <c r="I1807" s="6"/>
      <c r="J1807" s="6"/>
      <c r="K1807" s="6"/>
      <c r="L1807" s="6">
        <v>7</v>
      </c>
      <c r="M1807" s="6"/>
      <c r="N1807" s="6"/>
      <c r="O1807" s="6"/>
      <c r="P1807" s="6"/>
      <c r="Q1807" s="6"/>
      <c r="R1807" s="6"/>
      <c r="S1807" s="35">
        <f>SUM(F1807:R1807)</f>
        <v>13</v>
      </c>
      <c r="T1807" s="35">
        <f>COUNT(F1807:R1807)</f>
        <v>2</v>
      </c>
      <c r="U1807" s="36">
        <f>IF(T1807&gt;=2,ROUND((IF(T1807=2,0.55,IF(T1807&lt;=4,0.7,IF(T1807&lt;=6,0.8,IF(T1807&lt;=9,0.9,1))))*(S1807/T1807)+(1-(IF(T1807=2,0.55,IF(T1807&lt;=4,0.7,IF(T1807&lt;=6,0.8,IF(T1807&lt;=9,0.9,1))))))*$Y$1),1),"")</f>
        <v>7.2</v>
      </c>
      <c r="V1807" s="37">
        <v>7.1</v>
      </c>
      <c r="W1807" s="38"/>
    </row>
    <row r="1808" ht="24" customHeight="1" spans="1:23" x14ac:dyDescent="0.25">
      <c r="A1808" s="31">
        <v>1525</v>
      </c>
      <c r="B1808" s="32" t="s">
        <v>1923</v>
      </c>
      <c r="C1808" s="33" t="s">
        <v>29</v>
      </c>
      <c r="D1808" s="34">
        <v>2023</v>
      </c>
      <c r="E1808" s="34" t="s">
        <v>30</v>
      </c>
      <c r="F1808" s="6">
        <v>6</v>
      </c>
      <c r="G1808" s="6"/>
      <c r="H1808" s="6">
        <v>8</v>
      </c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35">
        <f>SUM(F1808:R1808)</f>
        <v>14</v>
      </c>
      <c r="T1808" s="35">
        <f>COUNT(F1808:R1808)</f>
        <v>2</v>
      </c>
      <c r="U1808" s="36">
        <f>IF(T1808&gt;=2,ROUND((IF(T1808=2,0.55,IF(T1808&lt;=4,0.7,IF(T1808&lt;=6,0.8,IF(T1808&lt;=9,0.9,1))))*(S1808/T1808)+(1-(IF(T1808=2,0.55,IF(T1808&lt;=4,0.7,IF(T1808&lt;=6,0.8,IF(T1808&lt;=9,0.9,1))))))*$Y$1),1),"")</f>
        <v>7.5</v>
      </c>
      <c r="V1808" s="37">
        <v>7.5</v>
      </c>
      <c r="W1808" s="38"/>
    </row>
    <row r="1809" ht="24" customHeight="1" spans="1:23" x14ac:dyDescent="0.25">
      <c r="A1809" s="47">
        <v>67</v>
      </c>
      <c r="B1809" s="32" t="s">
        <v>1924</v>
      </c>
      <c r="C1809" s="48" t="s">
        <v>24</v>
      </c>
      <c r="D1809" s="49">
        <v>2003</v>
      </c>
      <c r="E1809" s="49" t="s">
        <v>25</v>
      </c>
      <c r="F1809" s="6">
        <v>10</v>
      </c>
      <c r="G1809" s="6">
        <v>10</v>
      </c>
      <c r="H1809" s="6">
        <v>8</v>
      </c>
      <c r="I1809" s="6">
        <v>10</v>
      </c>
      <c r="J1809" s="6">
        <v>10</v>
      </c>
      <c r="K1809" s="6">
        <v>10</v>
      </c>
      <c r="L1809" s="6">
        <v>10</v>
      </c>
      <c r="M1809" s="6">
        <v>10</v>
      </c>
      <c r="N1809" s="6">
        <v>10</v>
      </c>
      <c r="O1809" s="6">
        <v>10</v>
      </c>
      <c r="P1809" s="6">
        <v>10</v>
      </c>
      <c r="Q1809" s="6">
        <v>10</v>
      </c>
      <c r="R1809" s="6"/>
      <c r="S1809" s="35">
        <f>SUM(F1809:R1809)</f>
        <v>118</v>
      </c>
      <c r="T1809" s="35">
        <f>COUNT(F1809:R1809)</f>
        <v>12</v>
      </c>
      <c r="U1809" s="36">
        <f>IF(T1809&gt;=2,ROUND((IF(T1809=2,0.55,IF(T1809&lt;=4,0.7,IF(T1809&lt;=6,0.8,IF(T1809&lt;=9,0.9,1))))*(S1809/T1809)+(1-(IF(T1809=2,0.55,IF(T1809&lt;=4,0.7,IF(T1809&lt;=6,0.8,IF(T1809&lt;=9,0.9,1))))))*$Y$1),1),"")</f>
        <v>9.8</v>
      </c>
      <c r="V1809" s="37">
        <v>7.5</v>
      </c>
      <c r="W1809" s="38" t="s">
        <v>44</v>
      </c>
    </row>
    <row r="1810" ht="24" customHeight="1" spans="1:23" x14ac:dyDescent="0.25">
      <c r="A1810" s="31">
        <v>799</v>
      </c>
      <c r="B1810" s="32" t="s">
        <v>1925</v>
      </c>
      <c r="C1810" s="33" t="s">
        <v>24</v>
      </c>
      <c r="D1810" s="34">
        <v>2011</v>
      </c>
      <c r="E1810" s="34" t="s">
        <v>27</v>
      </c>
      <c r="F1810" s="6"/>
      <c r="G1810" s="6"/>
      <c r="H1810" s="6"/>
      <c r="I1810" s="6"/>
      <c r="J1810" s="6"/>
      <c r="K1810" s="6">
        <v>6</v>
      </c>
      <c r="L1810" s="6">
        <v>8</v>
      </c>
      <c r="M1810" s="6"/>
      <c r="N1810" s="6"/>
      <c r="O1810" s="6"/>
      <c r="P1810" s="6"/>
      <c r="Q1810" s="6">
        <v>6</v>
      </c>
      <c r="R1810" s="6"/>
      <c r="S1810" s="35">
        <f>SUM(F1810:R1810)</f>
        <v>20</v>
      </c>
      <c r="T1810" s="35">
        <f>COUNT(F1810:R1810)</f>
        <v>3</v>
      </c>
      <c r="U1810" s="36">
        <f>IF(T1810&gt;=2,ROUND((IF(T1810=2,0.55,IF(T1810&lt;=4,0.7,IF(T1810&lt;=6,0.8,IF(T1810&lt;=9,0.9,1))))*(S1810/T1810)+(1-(IF(T1810=2,0.55,IF(T1810&lt;=4,0.7,IF(T1810&lt;=6,0.8,IF(T1810&lt;=9,0.9,1))))))*$Y$1),1),"")</f>
        <v>7.1</v>
      </c>
      <c r="V1810" s="37">
        <v>5.9</v>
      </c>
      <c r="W1810" s="38"/>
    </row>
    <row r="1811" ht="24" customHeight="1" spans="1:23" x14ac:dyDescent="0.25">
      <c r="A1811" s="31">
        <v>586</v>
      </c>
      <c r="B1811" s="32" t="s">
        <v>1926</v>
      </c>
      <c r="C1811" s="33" t="s">
        <v>24</v>
      </c>
      <c r="D1811" s="34">
        <v>2002</v>
      </c>
      <c r="E1811" s="34" t="s">
        <v>52</v>
      </c>
      <c r="F1811" s="6"/>
      <c r="G1811" s="6">
        <v>7</v>
      </c>
      <c r="H1811" s="6"/>
      <c r="I1811" s="6"/>
      <c r="J1811" s="6"/>
      <c r="K1811" s="6"/>
      <c r="L1811" s="6">
        <v>8</v>
      </c>
      <c r="M1811" s="6"/>
      <c r="N1811" s="6"/>
      <c r="O1811" s="6"/>
      <c r="P1811" s="6"/>
      <c r="Q1811" s="6"/>
      <c r="R1811" s="6"/>
      <c r="S1811" s="35">
        <f>SUM(F1811:R1811)</f>
        <v>15</v>
      </c>
      <c r="T1811" s="35">
        <f>COUNT(F1811:R1811)</f>
        <v>2</v>
      </c>
      <c r="U1811" s="36">
        <f>IF(T1811&gt;=2,ROUND((IF(T1811=2,0.55,IF(T1811&lt;=4,0.7,IF(T1811&lt;=6,0.8,IF(T1811&lt;=9,0.9,1))))*(S1811/T1811)+(1-(IF(T1811=2,0.55,IF(T1811&lt;=4,0.7,IF(T1811&lt;=6,0.8,IF(T1811&lt;=9,0.9,1))))))*$Y$1),1),"")</f>
        <v>7.8</v>
      </c>
      <c r="V1811" s="37">
        <v>7.5</v>
      </c>
      <c r="W1811" s="38"/>
    </row>
    <row r="1812" ht="24" customHeight="1" spans="1:23" x14ac:dyDescent="0.25">
      <c r="A1812" s="31">
        <v>1714</v>
      </c>
      <c r="B1812" s="32" t="s">
        <v>1927</v>
      </c>
      <c r="C1812" s="33" t="s">
        <v>29</v>
      </c>
      <c r="D1812" s="34">
        <v>2023</v>
      </c>
      <c r="E1812" s="34" t="s">
        <v>27</v>
      </c>
      <c r="F1812" s="6">
        <v>8</v>
      </c>
      <c r="G1812" s="6"/>
      <c r="H1812" s="6"/>
      <c r="I1812" s="6"/>
      <c r="J1812" s="6"/>
      <c r="K1812" s="6"/>
      <c r="L1812" s="6"/>
      <c r="M1812" s="6">
        <v>8</v>
      </c>
      <c r="N1812" s="6"/>
      <c r="O1812" s="6"/>
      <c r="P1812" s="6"/>
      <c r="Q1812" s="6"/>
      <c r="R1812" s="6"/>
      <c r="S1812" s="35">
        <f>SUM(F1812:R1812)</f>
        <v>16</v>
      </c>
      <c r="T1812" s="35">
        <f>COUNT(F1812:R1812)</f>
        <v>2</v>
      </c>
      <c r="U1812" s="36">
        <f>IF(T1812&gt;=2,ROUND((IF(T1812=2,0.55,IF(T1812&lt;=4,0.7,IF(T1812&lt;=6,0.8,IF(T1812&lt;=9,0.9,1))))*(S1812/T1812)+(1-(IF(T1812=2,0.55,IF(T1812&lt;=4,0.7,IF(T1812&lt;=6,0.8,IF(T1812&lt;=9,0.9,1))))))*$Y$1),1),"")</f>
        <v>8</v>
      </c>
      <c r="V1812" s="37">
        <v>7.7</v>
      </c>
      <c r="W1812" s="38"/>
    </row>
    <row r="1813" ht="24" customHeight="1" spans="1:23" x14ac:dyDescent="0.25">
      <c r="A1813" s="31">
        <v>641</v>
      </c>
      <c r="B1813" s="32" t="s">
        <v>1928</v>
      </c>
      <c r="C1813" s="33" t="s">
        <v>24</v>
      </c>
      <c r="D1813" s="34">
        <v>2017</v>
      </c>
      <c r="E1813" s="34" t="s">
        <v>179</v>
      </c>
      <c r="F1813" s="6"/>
      <c r="G1813" s="6"/>
      <c r="H1813" s="6">
        <v>6</v>
      </c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35">
        <f>SUM(F1813:R1813)</f>
        <v>6</v>
      </c>
      <c r="T1813" s="35">
        <f>COUNT(F1813:R1813)</f>
        <v>1</v>
      </c>
      <c r="U1813" s="36">
        <f>IF(T1813&gt;=2,ROUND((IF(T1813=2,0.55,IF(T1813&lt;=4,0.7,IF(T1813&lt;=6,0.8,IF(T1813&lt;=9,0.9,1))))*(S1813/T1813)+(1-(IF(T1813=2,0.55,IF(T1813&lt;=4,0.7,IF(T1813&lt;=6,0.8,IF(T1813&lt;=9,0.9,1))))))*$Y$1),1),"")</f>
      </c>
      <c r="V1813" s="37">
        <v>5.1</v>
      </c>
      <c r="W1813" s="38"/>
    </row>
    <row r="1814" ht="24" customHeight="1" spans="1:23" x14ac:dyDescent="0.25">
      <c r="A1814" s="31">
        <v>1084</v>
      </c>
      <c r="B1814" s="32" t="s">
        <v>1929</v>
      </c>
      <c r="C1814" s="33" t="s">
        <v>24</v>
      </c>
      <c r="D1814" s="34">
        <v>2019</v>
      </c>
      <c r="E1814" s="34" t="s">
        <v>917</v>
      </c>
      <c r="F1814" s="6"/>
      <c r="G1814" s="6"/>
      <c r="H1814" s="6"/>
      <c r="I1814" s="6"/>
      <c r="J1814" s="6"/>
      <c r="K1814" s="6"/>
      <c r="L1814" s="6"/>
      <c r="M1814" s="6"/>
      <c r="N1814" s="6">
        <v>6</v>
      </c>
      <c r="O1814" s="6"/>
      <c r="P1814" s="6"/>
      <c r="Q1814" s="6"/>
      <c r="R1814" s="6"/>
      <c r="S1814" s="35">
        <f>SUM(F1814:R1814)</f>
        <v>6</v>
      </c>
      <c r="T1814" s="35">
        <f>COUNT(F1814:R1814)</f>
        <v>1</v>
      </c>
      <c r="U1814" s="36">
        <f>IF(T1814&gt;=2,ROUND((IF(T1814=2,0.55,IF(T1814&lt;=4,0.7,IF(T1814&lt;=6,0.8,IF(T1814&lt;=9,0.9,1))))*(S1814/T1814)+(1-(IF(T1814=2,0.55,IF(T1814&lt;=4,0.7,IF(T1814&lt;=6,0.8,IF(T1814&lt;=9,0.9,1))))))*$Y$1),1),"")</f>
      </c>
      <c r="V1814" s="37">
        <v>6.7</v>
      </c>
      <c r="W1814" s="38"/>
    </row>
    <row r="1815" ht="24" customHeight="1" spans="1:23" x14ac:dyDescent="0.25">
      <c r="A1815" s="47">
        <v>21</v>
      </c>
      <c r="B1815" s="32" t="s">
        <v>1930</v>
      </c>
      <c r="C1815" s="48" t="s">
        <v>24</v>
      </c>
      <c r="D1815" s="49">
        <v>1996</v>
      </c>
      <c r="E1815" s="49" t="s">
        <v>244</v>
      </c>
      <c r="F1815" s="6">
        <v>8</v>
      </c>
      <c r="G1815" s="6">
        <v>9</v>
      </c>
      <c r="H1815" s="6">
        <v>8</v>
      </c>
      <c r="I1815" s="6">
        <v>10</v>
      </c>
      <c r="J1815" s="6">
        <v>8</v>
      </c>
      <c r="K1815" s="6">
        <v>10</v>
      </c>
      <c r="L1815" s="6">
        <v>10</v>
      </c>
      <c r="M1815" s="6">
        <v>8</v>
      </c>
      <c r="N1815" s="6">
        <v>8</v>
      </c>
      <c r="O1815" s="6"/>
      <c r="P1815" s="6">
        <v>10</v>
      </c>
      <c r="Q1815" s="6">
        <v>10</v>
      </c>
      <c r="R1815" s="6">
        <v>10</v>
      </c>
      <c r="S1815" s="35">
        <f>SUM(F1815:R1815)</f>
        <v>109</v>
      </c>
      <c r="T1815" s="35">
        <f>COUNT(F1815:R1815)</f>
        <v>12</v>
      </c>
      <c r="U1815" s="36">
        <f>IF(T1815&gt;=2,ROUND((IF(T1815=2,0.55,IF(T1815&lt;=4,0.7,IF(T1815&lt;=6,0.8,IF(T1815&lt;=9,0.9,1))))*(S1815/T1815)+(1-(IF(T1815=2,0.55,IF(T1815&lt;=4,0.7,IF(T1815&lt;=6,0.8,IF(T1815&lt;=9,0.9,1))))))*$Y$1),1),"")</f>
        <v>9.1</v>
      </c>
      <c r="V1815" s="37">
        <v>7.7</v>
      </c>
      <c r="W1815" s="38" t="s">
        <v>44</v>
      </c>
    </row>
    <row r="1816" ht="24" customHeight="1" spans="1:23" x14ac:dyDescent="0.25">
      <c r="A1816" s="31">
        <v>723</v>
      </c>
      <c r="B1816" s="32" t="s">
        <v>1931</v>
      </c>
      <c r="C1816" s="71" t="s">
        <v>24</v>
      </c>
      <c r="D1816" s="72">
        <v>2014</v>
      </c>
      <c r="E1816" s="72" t="s">
        <v>52</v>
      </c>
      <c r="F1816" s="6">
        <v>8</v>
      </c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35">
        <f>SUM(F1816:R1816)</f>
        <v>8</v>
      </c>
      <c r="T1816" s="35">
        <f>COUNT(F1816:R1816)</f>
        <v>1</v>
      </c>
      <c r="U1816" s="36">
        <f>IF(T1816&gt;=2,ROUND((IF(T1816=2,0.55,IF(T1816&lt;=4,0.7,IF(T1816&lt;=6,0.8,IF(T1816&lt;=9,0.9,1))))*(S1816/T1816)+(1-(IF(T1816=2,0.55,IF(T1816&lt;=4,0.7,IF(T1816&lt;=6,0.8,IF(T1816&lt;=9,0.9,1))))))*$Y$1),1),"")</f>
      </c>
      <c r="V1816" s="37">
        <v>6.2</v>
      </c>
      <c r="W1816" s="38"/>
    </row>
    <row r="1817" ht="24" customHeight="1" spans="1:23" x14ac:dyDescent="0.25">
      <c r="A1817" s="31">
        <v>1842</v>
      </c>
      <c r="B1817" s="32" t="s">
        <v>1932</v>
      </c>
      <c r="C1817" s="33" t="s">
        <v>24</v>
      </c>
      <c r="D1817" s="34">
        <v>2004</v>
      </c>
      <c r="E1817" s="34" t="s">
        <v>25</v>
      </c>
      <c r="F1817" s="6">
        <v>7</v>
      </c>
      <c r="G1817" s="6">
        <v>8</v>
      </c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35">
        <f>SUM(F1817:R1817)</f>
        <v>15</v>
      </c>
      <c r="T1817" s="35">
        <f>COUNT(F1817:R1817)</f>
        <v>2</v>
      </c>
      <c r="U1817" s="36">
        <f>IF(T1817&gt;=2,ROUND((IF(T1817=2,0.55,IF(T1817&lt;=4,0.7,IF(T1817&lt;=6,0.8,IF(T1817&lt;=9,0.9,1))))*(S1817/T1817)+(1-(IF(T1817=2,0.55,IF(T1817&lt;=4,0.7,IF(T1817&lt;=6,0.8,IF(T1817&lt;=9,0.9,1))))))*$Y$1),1),"")</f>
        <v>7.8</v>
      </c>
      <c r="V1817" s="37">
        <v>7.4</v>
      </c>
      <c r="W1817" s="38"/>
    </row>
    <row r="1818" ht="47.25" customHeight="1" spans="1:23" x14ac:dyDescent="0.25">
      <c r="A1818" s="31">
        <v>1610</v>
      </c>
      <c r="B1818" s="32" t="s">
        <v>1933</v>
      </c>
      <c r="C1818" s="33" t="s">
        <v>24</v>
      </c>
      <c r="D1818" s="34">
        <v>2002</v>
      </c>
      <c r="E1818" s="34" t="s">
        <v>1934</v>
      </c>
      <c r="F1818" s="6"/>
      <c r="G1818" s="6">
        <v>7</v>
      </c>
      <c r="H1818" s="6"/>
      <c r="I1818" s="6"/>
      <c r="J1818" s="6">
        <v>8</v>
      </c>
      <c r="K1818" s="6"/>
      <c r="L1818" s="6"/>
      <c r="M1818" s="6"/>
      <c r="N1818" s="6"/>
      <c r="O1818" s="6"/>
      <c r="P1818" s="6"/>
      <c r="Q1818" s="6"/>
      <c r="R1818" s="6"/>
      <c r="S1818" s="35">
        <f>SUM(F1818:R1818)</f>
        <v>15</v>
      </c>
      <c r="T1818" s="35">
        <f>COUNT(F1818:R1818)</f>
        <v>2</v>
      </c>
      <c r="U1818" s="36">
        <f>IF(T1818&gt;=2,ROUND((IF(T1818=2,0.55,IF(T1818&lt;=4,0.7,IF(T1818&lt;=6,0.8,IF(T1818&lt;=9,0.9,1))))*(S1818/T1818)+(1-(IF(T1818=2,0.55,IF(T1818&lt;=4,0.7,IF(T1818&lt;=6,0.8,IF(T1818&lt;=9,0.9,1))))))*$Y$1),1),"")</f>
        <v>7.8</v>
      </c>
      <c r="V1818" s="37">
        <v>7.2</v>
      </c>
      <c r="W1818" s="38"/>
    </row>
    <row r="1819" ht="24" customHeight="1" spans="1:23" x14ac:dyDescent="0.25">
      <c r="A1819" s="47">
        <v>468</v>
      </c>
      <c r="B1819" s="32" t="s">
        <v>1935</v>
      </c>
      <c r="C1819" s="48" t="s">
        <v>24</v>
      </c>
      <c r="D1819" s="49">
        <v>2000</v>
      </c>
      <c r="E1819" s="49" t="s">
        <v>25</v>
      </c>
      <c r="F1819" s="6"/>
      <c r="G1819" s="6">
        <v>8</v>
      </c>
      <c r="H1819" s="6">
        <v>7</v>
      </c>
      <c r="I1819" s="6">
        <v>4</v>
      </c>
      <c r="J1819" s="6"/>
      <c r="K1819" s="6">
        <v>8</v>
      </c>
      <c r="L1819" s="6">
        <v>8</v>
      </c>
      <c r="M1819" s="6">
        <v>8</v>
      </c>
      <c r="N1819" s="6">
        <v>7</v>
      </c>
      <c r="O1819" s="6">
        <v>7</v>
      </c>
      <c r="P1819" s="6">
        <v>8</v>
      </c>
      <c r="Q1819" s="6">
        <v>8</v>
      </c>
      <c r="R1819" s="6"/>
      <c r="S1819" s="35">
        <f>SUM(F1819:R1819)</f>
        <v>73</v>
      </c>
      <c r="T1819" s="35">
        <f>COUNT(F1819:R1819)</f>
        <v>10</v>
      </c>
      <c r="U1819" s="36">
        <f>IF(T1819&gt;=2,ROUND((IF(T1819=2,0.55,IF(T1819&lt;=4,0.7,IF(T1819&lt;=6,0.8,IF(T1819&lt;=9,0.9,1))))*(S1819/T1819)+(1-(IF(T1819=2,0.55,IF(T1819&lt;=4,0.7,IF(T1819&lt;=6,0.8,IF(T1819&lt;=9,0.9,1))))))*$Y$1),1),"")</f>
        <v>7.3</v>
      </c>
      <c r="V1819" s="37">
        <v>8.1</v>
      </c>
      <c r="W1819" s="38" t="s">
        <v>44</v>
      </c>
    </row>
    <row r="1820" ht="24" customHeight="1" spans="1:23" x14ac:dyDescent="0.25">
      <c r="A1820" s="31">
        <v>791</v>
      </c>
      <c r="B1820" s="32" t="s">
        <v>1936</v>
      </c>
      <c r="C1820" s="33" t="s">
        <v>24</v>
      </c>
      <c r="D1820" s="34">
        <v>2012</v>
      </c>
      <c r="E1820" s="34" t="s">
        <v>52</v>
      </c>
      <c r="F1820" s="6"/>
      <c r="G1820" s="6"/>
      <c r="H1820" s="6"/>
      <c r="I1820" s="6"/>
      <c r="J1820" s="6"/>
      <c r="K1820" s="6">
        <v>8</v>
      </c>
      <c r="L1820" s="6"/>
      <c r="M1820" s="6"/>
      <c r="N1820" s="6"/>
      <c r="O1820" s="6"/>
      <c r="P1820" s="6"/>
      <c r="Q1820" s="6">
        <v>8</v>
      </c>
      <c r="R1820" s="6"/>
      <c r="S1820" s="35">
        <f>SUM(F1820:R1820)</f>
        <v>16</v>
      </c>
      <c r="T1820" s="35">
        <f>COUNT(F1820:R1820)</f>
        <v>2</v>
      </c>
      <c r="U1820" s="36">
        <f>IF(T1820&gt;=2,ROUND((IF(T1820=2,0.55,IF(T1820&lt;=4,0.7,IF(T1820&lt;=6,0.8,IF(T1820&lt;=9,0.9,1))))*(S1820/T1820)+(1-(IF(T1820=2,0.55,IF(T1820&lt;=4,0.7,IF(T1820&lt;=6,0.8,IF(T1820&lt;=9,0.9,1))))))*$Y$1),1),"")</f>
        <v>8</v>
      </c>
      <c r="V1820" s="37">
        <v>7.9</v>
      </c>
      <c r="W1820" s="38"/>
    </row>
    <row r="1821" ht="24" customHeight="1" spans="1:23" x14ac:dyDescent="0.25">
      <c r="A1821" s="31">
        <v>810</v>
      </c>
      <c r="B1821" s="32" t="s">
        <v>1937</v>
      </c>
      <c r="C1821" s="33" t="s">
        <v>29</v>
      </c>
      <c r="D1821" s="34">
        <v>2019</v>
      </c>
      <c r="E1821" s="34" t="s">
        <v>43</v>
      </c>
      <c r="F1821" s="6"/>
      <c r="G1821" s="6"/>
      <c r="H1821" s="6"/>
      <c r="I1821" s="6"/>
      <c r="J1821" s="6"/>
      <c r="K1821" s="6"/>
      <c r="L1821" s="6">
        <v>8</v>
      </c>
      <c r="M1821" s="6"/>
      <c r="N1821" s="6"/>
      <c r="O1821" s="6"/>
      <c r="P1821" s="6"/>
      <c r="Q1821" s="6"/>
      <c r="R1821" s="6"/>
      <c r="S1821" s="35">
        <f>SUM(F1821:R1821)</f>
        <v>8</v>
      </c>
      <c r="T1821" s="35">
        <f>COUNT(F1821:R1821)</f>
        <v>1</v>
      </c>
      <c r="U1821" s="36">
        <f>IF(T1821&gt;=2,ROUND((IF(T1821=2,0.55,IF(T1821&lt;=4,0.7,IF(T1821&lt;=6,0.8,IF(T1821&lt;=9,0.9,1))))*(S1821/T1821)+(1-(IF(T1821=2,0.55,IF(T1821&lt;=4,0.7,IF(T1821&lt;=6,0.8,IF(T1821&lt;=9,0.9,1))))))*$Y$1),1),"")</f>
      </c>
      <c r="V1821" s="37">
        <v>6.8</v>
      </c>
      <c r="W1821" s="38"/>
    </row>
    <row r="1822" ht="24" customHeight="1" spans="1:23" s="39" customFormat="1" x14ac:dyDescent="0.25">
      <c r="A1822" s="31">
        <v>1326</v>
      </c>
      <c r="B1822" s="32" t="s">
        <v>1938</v>
      </c>
      <c r="C1822" s="33" t="s">
        <v>24</v>
      </c>
      <c r="D1822" s="34">
        <v>2022</v>
      </c>
      <c r="E1822" s="34" t="s">
        <v>30</v>
      </c>
      <c r="F1822" s="6"/>
      <c r="G1822" s="6"/>
      <c r="H1822" s="6"/>
      <c r="I1822" s="6"/>
      <c r="J1822" s="6">
        <v>8</v>
      </c>
      <c r="K1822" s="6"/>
      <c r="L1822" s="6">
        <v>8</v>
      </c>
      <c r="M1822" s="6"/>
      <c r="N1822" s="6">
        <v>6</v>
      </c>
      <c r="O1822" s="6"/>
      <c r="P1822" s="6"/>
      <c r="Q1822" s="6"/>
      <c r="R1822" s="6"/>
      <c r="S1822" s="35">
        <f>SUM(F1822:R1822)</f>
        <v>22</v>
      </c>
      <c r="T1822" s="35">
        <f>COUNT(F1822:R1822)</f>
        <v>3</v>
      </c>
      <c r="U1822" s="36">
        <f>IF(T1822&gt;=2,ROUND((IF(T1822=2,0.55,IF(T1822&lt;=4,0.7,IF(T1822&lt;=6,0.8,IF(T1822&lt;=9,0.9,1))))*(S1822/T1822)+(1-(IF(T1822=2,0.55,IF(T1822&lt;=4,0.7,IF(T1822&lt;=6,0.8,IF(T1822&lt;=9,0.9,1))))))*$Y$1),1),"")</f>
        <v>7.6</v>
      </c>
      <c r="V1822" s="37">
        <v>7.3</v>
      </c>
      <c r="W1822" s="38"/>
    </row>
    <row r="1823" ht="24" customHeight="1" spans="1:23" x14ac:dyDescent="0.25">
      <c r="A1823" s="31">
        <v>737</v>
      </c>
      <c r="B1823" s="32" t="s">
        <v>1939</v>
      </c>
      <c r="C1823" s="33" t="s">
        <v>24</v>
      </c>
      <c r="D1823" s="34">
        <v>2008</v>
      </c>
      <c r="E1823" s="34" t="s">
        <v>27</v>
      </c>
      <c r="F1823" s="6">
        <v>7</v>
      </c>
      <c r="G1823" s="6"/>
      <c r="H1823" s="6"/>
      <c r="I1823" s="6"/>
      <c r="J1823" s="6">
        <v>8</v>
      </c>
      <c r="K1823" s="6">
        <v>8</v>
      </c>
      <c r="L1823" s="6">
        <v>8</v>
      </c>
      <c r="M1823" s="6"/>
      <c r="N1823" s="6"/>
      <c r="O1823" s="6"/>
      <c r="P1823" s="6"/>
      <c r="Q1823" s="6">
        <v>8</v>
      </c>
      <c r="R1823" s="6"/>
      <c r="S1823" s="35">
        <f>SUM(F1823:R1823)</f>
        <v>39</v>
      </c>
      <c r="T1823" s="35">
        <f>COUNT(F1823:R1823)</f>
        <v>5</v>
      </c>
      <c r="U1823" s="36">
        <f>IF(T1823&gt;=2,ROUND((IF(T1823=2,0.55,IF(T1823&lt;=4,0.7,IF(T1823&lt;=6,0.8,IF(T1823&lt;=9,0.9,1))))*(S1823/T1823)+(1-(IF(T1823=2,0.55,IF(T1823&lt;=4,0.7,IF(T1823&lt;=6,0.8,IF(T1823&lt;=9,0.9,1))))))*$Y$1),1),"")</f>
        <v>7.9</v>
      </c>
      <c r="V1823" s="37">
        <v>7.4</v>
      </c>
      <c r="W1823" s="38"/>
    </row>
    <row r="1824" ht="24" customHeight="1" spans="1:23" x14ac:dyDescent="0.25">
      <c r="A1824" s="31">
        <v>1080</v>
      </c>
      <c r="B1824" s="32" t="s">
        <v>1940</v>
      </c>
      <c r="C1824" s="33" t="s">
        <v>24</v>
      </c>
      <c r="D1824" s="34">
        <v>2020</v>
      </c>
      <c r="E1824" s="34" t="s">
        <v>69</v>
      </c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>
        <v>10</v>
      </c>
      <c r="S1824" s="35">
        <f>SUM(F1824:R1824)</f>
        <v>10</v>
      </c>
      <c r="T1824" s="35">
        <f>COUNT(F1824:R1824)</f>
        <v>1</v>
      </c>
      <c r="U1824" s="36">
        <f>IF(T1824&gt;=2,ROUND((IF(T1824=2,0.55,IF(T1824&lt;=4,0.7,IF(T1824&lt;=6,0.8,IF(T1824&lt;=9,0.9,1))))*(S1824/T1824)+(1-(IF(T1824=2,0.55,IF(T1824&lt;=4,0.7,IF(T1824&lt;=6,0.8,IF(T1824&lt;=9,0.9,1))))))*$Y$1),1),"")</f>
      </c>
      <c r="V1824" s="37">
        <v>6.6</v>
      </c>
      <c r="W1824" s="38"/>
    </row>
    <row r="1825" ht="24" customHeight="1" spans="1:23" x14ac:dyDescent="0.25">
      <c r="A1825" s="40">
        <v>2438</v>
      </c>
      <c r="B1825" s="32" t="s">
        <v>1941</v>
      </c>
      <c r="C1825" s="33" t="s">
        <v>24</v>
      </c>
      <c r="D1825" s="34">
        <v>2016</v>
      </c>
      <c r="E1825" s="41"/>
      <c r="F1825" s="6"/>
      <c r="G1825" s="6"/>
      <c r="H1825" s="6"/>
      <c r="I1825" s="6"/>
      <c r="J1825" s="6"/>
      <c r="K1825" s="6">
        <v>8</v>
      </c>
      <c r="L1825" s="6"/>
      <c r="M1825" s="6"/>
      <c r="N1825" s="6"/>
      <c r="O1825" s="6"/>
      <c r="P1825" s="6"/>
      <c r="Q1825" s="6">
        <v>8</v>
      </c>
      <c r="R1825" s="6"/>
      <c r="S1825" s="35">
        <f>SUM(F1825:R1825)</f>
        <v>16</v>
      </c>
      <c r="T1825" s="35">
        <f>COUNT(F1825:R1825)</f>
        <v>2</v>
      </c>
      <c r="U1825" s="36">
        <f>IF(T1825&gt;=2,ROUND((IF(T1825=2,0.55,IF(T1825&lt;=4,0.7,IF(T1825&lt;=6,0.8,IF(T1825&lt;=9,0.9,1))))*(S1825/T1825)+(1-(IF(T1825=2,0.55,IF(T1825&lt;=4,0.7,IF(T1825&lt;=6,0.8,IF(T1825&lt;=9,0.9,1))))))*$Y$1),1),"")</f>
        <v>8</v>
      </c>
      <c r="V1825" s="37">
        <v>7.5</v>
      </c>
      <c r="W1825" s="38"/>
    </row>
    <row r="1826" ht="24" customHeight="1" spans="1:23" x14ac:dyDescent="0.25">
      <c r="A1826" s="31">
        <v>467</v>
      </c>
      <c r="B1826" s="32" t="s">
        <v>1942</v>
      </c>
      <c r="C1826" s="33" t="s">
        <v>24</v>
      </c>
      <c r="D1826" s="34">
        <v>2012</v>
      </c>
      <c r="E1826" s="34" t="s">
        <v>106</v>
      </c>
      <c r="F1826" s="6"/>
      <c r="G1826" s="6">
        <v>8</v>
      </c>
      <c r="H1826" s="6"/>
      <c r="I1826" s="6"/>
      <c r="J1826" s="6"/>
      <c r="K1826" s="6"/>
      <c r="L1826" s="6">
        <v>8</v>
      </c>
      <c r="M1826" s="6"/>
      <c r="N1826" s="6"/>
      <c r="O1826" s="6"/>
      <c r="P1826" s="6">
        <v>8</v>
      </c>
      <c r="Q1826" s="6"/>
      <c r="R1826" s="6"/>
      <c r="S1826" s="35">
        <f>SUM(F1826:R1826)</f>
        <v>24</v>
      </c>
      <c r="T1826" s="35">
        <f>COUNT(F1826:R1826)</f>
        <v>3</v>
      </c>
      <c r="U1826" s="36">
        <f>IF(T1826&gt;=2,ROUND((IF(T1826=2,0.55,IF(T1826&lt;=4,0.7,IF(T1826&lt;=6,0.8,IF(T1826&lt;=9,0.9,1))))*(S1826/T1826)+(1-(IF(T1826=2,0.55,IF(T1826&lt;=4,0.7,IF(T1826&lt;=6,0.8,IF(T1826&lt;=9,0.9,1))))))*$Y$1),1),"")</f>
        <v>8</v>
      </c>
      <c r="V1826" s="37">
        <v>7.7</v>
      </c>
      <c r="W1826" s="38"/>
    </row>
    <row r="1827" ht="47.25" customHeight="1" spans="1:23" x14ac:dyDescent="0.25">
      <c r="A1827" s="31">
        <v>1441</v>
      </c>
      <c r="B1827" s="32" t="s">
        <v>1943</v>
      </c>
      <c r="C1827" s="33" t="s">
        <v>24</v>
      </c>
      <c r="D1827" s="34">
        <v>2022</v>
      </c>
      <c r="E1827" s="34" t="s">
        <v>27</v>
      </c>
      <c r="F1827" s="6">
        <v>8</v>
      </c>
      <c r="G1827" s="6"/>
      <c r="H1827" s="6"/>
      <c r="I1827" s="6">
        <v>9</v>
      </c>
      <c r="J1827" s="6"/>
      <c r="K1827" s="6">
        <v>9</v>
      </c>
      <c r="L1827" s="6">
        <v>8</v>
      </c>
      <c r="M1827" s="6"/>
      <c r="N1827" s="6"/>
      <c r="O1827" s="6">
        <v>8</v>
      </c>
      <c r="P1827" s="6"/>
      <c r="Q1827" s="6">
        <v>9</v>
      </c>
      <c r="R1827" s="6"/>
      <c r="S1827" s="35">
        <f>SUM(F1827:R1827)</f>
        <v>51</v>
      </c>
      <c r="T1827" s="35">
        <f>COUNT(F1827:R1827)</f>
        <v>6</v>
      </c>
      <c r="U1827" s="36">
        <f>IF(T1827&gt;=2,ROUND((IF(T1827=2,0.55,IF(T1827&lt;=4,0.7,IF(T1827&lt;=6,0.8,IF(T1827&lt;=9,0.9,1))))*(S1827/T1827)+(1-(IF(T1827=2,0.55,IF(T1827&lt;=4,0.7,IF(T1827&lt;=6,0.8,IF(T1827&lt;=9,0.9,1))))))*$Y$1),1),"")</f>
        <v>8.4</v>
      </c>
      <c r="V1827" s="37">
        <v>7.6</v>
      </c>
      <c r="W1827" s="38"/>
    </row>
    <row r="1828" ht="24" customHeight="1" spans="1:23" x14ac:dyDescent="0.25">
      <c r="A1828" s="31">
        <v>1476</v>
      </c>
      <c r="B1828" s="32" t="s">
        <v>1944</v>
      </c>
      <c r="C1828" s="33" t="s">
        <v>24</v>
      </c>
      <c r="D1828" s="34">
        <v>2022</v>
      </c>
      <c r="E1828" s="34" t="s">
        <v>27</v>
      </c>
      <c r="F1828" s="6"/>
      <c r="G1828" s="6"/>
      <c r="H1828" s="6"/>
      <c r="I1828" s="6"/>
      <c r="J1828" s="6"/>
      <c r="K1828" s="6"/>
      <c r="L1828" s="6"/>
      <c r="M1828" s="6"/>
      <c r="N1828" s="6"/>
      <c r="O1828" s="6">
        <v>8</v>
      </c>
      <c r="P1828" s="6"/>
      <c r="Q1828" s="6"/>
      <c r="R1828" s="6"/>
      <c r="S1828" s="35">
        <f>SUM(F1828:R1828)</f>
        <v>8</v>
      </c>
      <c r="T1828" s="35">
        <f>COUNT(F1828:R1828)</f>
        <v>1</v>
      </c>
      <c r="U1828" s="36">
        <f>IF(T1828&gt;=2,ROUND((IF(T1828=2,0.55,IF(T1828&lt;=4,0.7,IF(T1828&lt;=6,0.8,IF(T1828&lt;=9,0.9,1))))*(S1828/T1828)+(1-(IF(T1828=2,0.55,IF(T1828&lt;=4,0.7,IF(T1828&lt;=6,0.8,IF(T1828&lt;=9,0.9,1))))))*$Y$1),1),"")</f>
      </c>
      <c r="V1828" s="37"/>
      <c r="W1828" s="38"/>
    </row>
    <row r="1829" ht="24" customHeight="1" spans="1:23" x14ac:dyDescent="0.25">
      <c r="A1829" s="31">
        <v>883</v>
      </c>
      <c r="B1829" s="32" t="s">
        <v>1945</v>
      </c>
      <c r="C1829" s="33" t="s">
        <v>260</v>
      </c>
      <c r="D1829" s="34">
        <v>2019</v>
      </c>
      <c r="E1829" s="34" t="s">
        <v>30</v>
      </c>
      <c r="F1829" s="6">
        <v>7</v>
      </c>
      <c r="G1829" s="6"/>
      <c r="H1829" s="6">
        <v>8</v>
      </c>
      <c r="I1829" s="6"/>
      <c r="J1829" s="6">
        <v>8</v>
      </c>
      <c r="K1829" s="6"/>
      <c r="L1829" s="6">
        <v>8</v>
      </c>
      <c r="M1829" s="6">
        <v>8</v>
      </c>
      <c r="N1829" s="6"/>
      <c r="O1829" s="6"/>
      <c r="P1829" s="6"/>
      <c r="Q1829" s="6"/>
      <c r="R1829" s="6"/>
      <c r="S1829" s="35">
        <f>SUM(F1829:R1829)</f>
        <v>39</v>
      </c>
      <c r="T1829" s="35">
        <f>COUNT(F1829:R1829)</f>
        <v>5</v>
      </c>
      <c r="U1829" s="36">
        <f>IF(T1829&gt;=2,ROUND((IF(T1829=2,0.55,IF(T1829&lt;=4,0.7,IF(T1829&lt;=6,0.8,IF(T1829&lt;=9,0.9,1))))*(S1829/T1829)+(1-(IF(T1829=2,0.55,IF(T1829&lt;=4,0.7,IF(T1829&lt;=6,0.8,IF(T1829&lt;=9,0.9,1))))))*$Y$1),1),"")</f>
        <v>7.9</v>
      </c>
      <c r="V1829" s="37">
        <v>7.4</v>
      </c>
      <c r="W1829" s="38"/>
    </row>
    <row r="1830" ht="24" customHeight="1" spans="1:23" x14ac:dyDescent="0.25">
      <c r="A1830" s="47">
        <v>372</v>
      </c>
      <c r="B1830" s="32" t="s">
        <v>1946</v>
      </c>
      <c r="C1830" s="48" t="s">
        <v>24</v>
      </c>
      <c r="D1830" s="49">
        <v>2016</v>
      </c>
      <c r="E1830" s="49" t="s">
        <v>1947</v>
      </c>
      <c r="F1830" s="6">
        <v>8</v>
      </c>
      <c r="G1830" s="6">
        <v>8</v>
      </c>
      <c r="H1830" s="6">
        <v>8</v>
      </c>
      <c r="I1830" s="6">
        <v>8</v>
      </c>
      <c r="J1830" s="6">
        <v>8</v>
      </c>
      <c r="K1830" s="6"/>
      <c r="L1830" s="6">
        <v>6</v>
      </c>
      <c r="M1830" s="6"/>
      <c r="N1830" s="6">
        <v>8</v>
      </c>
      <c r="O1830" s="6">
        <v>8</v>
      </c>
      <c r="P1830" s="6">
        <v>8</v>
      </c>
      <c r="Q1830" s="6"/>
      <c r="R1830" s="6"/>
      <c r="S1830" s="35">
        <f>SUM(F1830:R1830)</f>
        <v>70</v>
      </c>
      <c r="T1830" s="35">
        <f>COUNT(F1830:R1830)</f>
        <v>9</v>
      </c>
      <c r="U1830" s="36">
        <f>IF(T1830&gt;=2,ROUND((IF(T1830=2,0.55,IF(T1830&lt;=4,0.7,IF(T1830&lt;=6,0.8,IF(T1830&lt;=9,0.9,1))))*(S1830/T1830)+(1-(IF(T1830=2,0.55,IF(T1830&lt;=4,0.7,IF(T1830&lt;=6,0.8,IF(T1830&lt;=9,0.9,1))))))*$Y$1),1),"")</f>
        <v>7.8</v>
      </c>
      <c r="V1830" s="37">
        <v>7.4</v>
      </c>
      <c r="W1830" s="38" t="s">
        <v>44</v>
      </c>
    </row>
    <row r="1831" ht="24" customHeight="1" spans="1:23" x14ac:dyDescent="0.25">
      <c r="A1831" s="31">
        <v>1210</v>
      </c>
      <c r="B1831" s="32" t="s">
        <v>1948</v>
      </c>
      <c r="C1831" s="33" t="s">
        <v>24</v>
      </c>
      <c r="D1831" s="34">
        <v>2021</v>
      </c>
      <c r="E1831" s="34" t="s">
        <v>27</v>
      </c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>
        <v>8</v>
      </c>
      <c r="Q1831" s="6"/>
      <c r="R1831" s="6"/>
      <c r="S1831" s="35">
        <f>SUM(F1831:R1831)</f>
        <v>8</v>
      </c>
      <c r="T1831" s="35">
        <f>COUNT(F1831:R1831)</f>
        <v>1</v>
      </c>
      <c r="U1831" s="36">
        <f>IF(T1831&gt;=2,ROUND((IF(T1831=2,0.55,IF(T1831&lt;=4,0.7,IF(T1831&lt;=6,0.8,IF(T1831&lt;=9,0.9,1))))*(S1831/T1831)+(1-(IF(T1831=2,0.55,IF(T1831&lt;=4,0.7,IF(T1831&lt;=6,0.8,IF(T1831&lt;=9,0.9,1))))))*$Y$1),1),"")</f>
      </c>
      <c r="V1831" s="37">
        <v>6.5</v>
      </c>
      <c r="W1831" s="38"/>
    </row>
    <row r="1832" ht="24" customHeight="1" spans="1:23" x14ac:dyDescent="0.25">
      <c r="A1832" s="40">
        <v>2178</v>
      </c>
      <c r="B1832" s="32" t="s">
        <v>1949</v>
      </c>
      <c r="C1832" s="33" t="s">
        <v>24</v>
      </c>
      <c r="D1832" s="34">
        <v>2006</v>
      </c>
      <c r="E1832" s="41"/>
      <c r="F1832" s="6"/>
      <c r="G1832" s="6">
        <v>7</v>
      </c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35">
        <f>SUM(F1832:R1832)</f>
        <v>7</v>
      </c>
      <c r="T1832" s="35">
        <f>COUNT(F1832:R1832)</f>
        <v>1</v>
      </c>
      <c r="U1832" s="36">
        <f>IF(T1832&gt;=2,ROUND((IF(T1832=2,0.55,IF(T1832&lt;=4,0.7,IF(T1832&lt;=6,0.8,IF(T1832&lt;=9,0.9,1))))*(S1832/T1832)+(1-(IF(T1832=2,0.55,IF(T1832&lt;=4,0.7,IF(T1832&lt;=6,0.8,IF(T1832&lt;=9,0.9,1))))))*$Y$1),1),"")</f>
      </c>
      <c r="V1832" s="37">
        <v>7.9</v>
      </c>
      <c r="W1832" s="38"/>
    </row>
    <row r="1833" ht="24" customHeight="1" spans="1:23" x14ac:dyDescent="0.25">
      <c r="A1833" s="40">
        <v>2081</v>
      </c>
      <c r="B1833" s="32" t="s">
        <v>1950</v>
      </c>
      <c r="C1833" s="33" t="s">
        <v>24</v>
      </c>
      <c r="D1833" s="34">
        <v>1979</v>
      </c>
      <c r="E1833" s="41"/>
      <c r="F1833" s="6"/>
      <c r="G1833" s="6">
        <v>7</v>
      </c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35">
        <f>SUM(F1833:R1833)</f>
        <v>7</v>
      </c>
      <c r="T1833" s="35">
        <f>COUNT(F1833:R1833)</f>
        <v>1</v>
      </c>
      <c r="U1833" s="36">
        <f>IF(T1833&gt;=2,ROUND((IF(T1833=2,0.55,IF(T1833&lt;=4,0.7,IF(T1833&lt;=6,0.8,IF(T1833&lt;=9,0.9,1))))*(S1833/T1833)+(1-(IF(T1833=2,0.55,IF(T1833&lt;=4,0.7,IF(T1833&lt;=6,0.8,IF(T1833&lt;=9,0.9,1))))))*$Y$1),1),"")</f>
      </c>
      <c r="V1833" s="37">
        <v>8.4</v>
      </c>
      <c r="W1833" s="38"/>
    </row>
    <row r="1834" ht="24" customHeight="1" spans="1:23" x14ac:dyDescent="0.25">
      <c r="A1834" s="31">
        <v>971</v>
      </c>
      <c r="B1834" s="32" t="s">
        <v>1951</v>
      </c>
      <c r="C1834" s="33" t="s">
        <v>24</v>
      </c>
      <c r="D1834" s="34">
        <v>2016</v>
      </c>
      <c r="E1834" s="34" t="s">
        <v>27</v>
      </c>
      <c r="F1834" s="6"/>
      <c r="G1834" s="6"/>
      <c r="H1834" s="6"/>
      <c r="I1834" s="6"/>
      <c r="J1834" s="6"/>
      <c r="K1834" s="6">
        <v>6</v>
      </c>
      <c r="L1834" s="6"/>
      <c r="M1834" s="6"/>
      <c r="N1834" s="6"/>
      <c r="O1834" s="6"/>
      <c r="P1834" s="6"/>
      <c r="Q1834" s="6">
        <v>6</v>
      </c>
      <c r="R1834" s="6"/>
      <c r="S1834" s="35">
        <f>SUM(F1834:R1834)</f>
        <v>12</v>
      </c>
      <c r="T1834" s="35">
        <f>COUNT(F1834:R1834)</f>
        <v>2</v>
      </c>
      <c r="U1834" s="36">
        <f>IF(T1834&gt;=2,ROUND((IF(T1834=2,0.55,IF(T1834&lt;=4,0.7,IF(T1834&lt;=6,0.8,IF(T1834&lt;=9,0.9,1))))*(S1834/T1834)+(1-(IF(T1834=2,0.55,IF(T1834&lt;=4,0.7,IF(T1834&lt;=6,0.8,IF(T1834&lt;=9,0.9,1))))))*$Y$1),1),"")</f>
        <v>6.9</v>
      </c>
      <c r="V1834" s="37">
        <v>5.8</v>
      </c>
      <c r="W1834" s="38"/>
    </row>
    <row r="1835" ht="24" customHeight="1" spans="1:23" x14ac:dyDescent="0.25">
      <c r="A1835" s="31">
        <v>741</v>
      </c>
      <c r="B1835" s="32" t="s">
        <v>1952</v>
      </c>
      <c r="C1835" s="33" t="s">
        <v>24</v>
      </c>
      <c r="D1835" s="34">
        <v>2010</v>
      </c>
      <c r="E1835" s="34" t="s">
        <v>27</v>
      </c>
      <c r="F1835" s="6"/>
      <c r="G1835" s="6"/>
      <c r="H1835" s="6"/>
      <c r="I1835" s="6"/>
      <c r="J1835" s="6"/>
      <c r="K1835" s="6">
        <v>8</v>
      </c>
      <c r="L1835" s="6"/>
      <c r="M1835" s="6">
        <v>8</v>
      </c>
      <c r="N1835" s="6"/>
      <c r="O1835" s="6"/>
      <c r="P1835" s="6"/>
      <c r="Q1835" s="6">
        <v>8</v>
      </c>
      <c r="R1835" s="6"/>
      <c r="S1835" s="35">
        <f>SUM(F1835:R1835)</f>
        <v>24</v>
      </c>
      <c r="T1835" s="35">
        <f>COUNT(F1835:R1835)</f>
        <v>3</v>
      </c>
      <c r="U1835" s="36">
        <f>IF(T1835&gt;=2,ROUND((IF(T1835=2,0.55,IF(T1835&lt;=4,0.7,IF(T1835&lt;=6,0.8,IF(T1835&lt;=9,0.9,1))))*(S1835/T1835)+(1-(IF(T1835=2,0.55,IF(T1835&lt;=4,0.7,IF(T1835&lt;=6,0.8,IF(T1835&lt;=9,0.9,1))))))*$Y$1),1),"")</f>
        <v>8</v>
      </c>
      <c r="V1835" s="37">
        <v>6.5</v>
      </c>
      <c r="W1835" s="38"/>
    </row>
    <row r="1836" ht="24" customHeight="1" spans="1:23" x14ac:dyDescent="0.25">
      <c r="A1836" s="31">
        <v>2489</v>
      </c>
      <c r="B1836" s="32" t="s">
        <v>1953</v>
      </c>
      <c r="C1836" s="33" t="s">
        <v>29</v>
      </c>
      <c r="D1836" s="34">
        <v>2025</v>
      </c>
      <c r="E1836" s="41"/>
      <c r="F1836" s="6">
        <v>7</v>
      </c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35">
        <f>SUM(F1836:R1836)</f>
        <v>7</v>
      </c>
      <c r="T1836" s="35">
        <f>COUNT(F1836:R1836)</f>
        <v>1</v>
      </c>
      <c r="U1836" s="36">
        <f>IF(T1836&gt;=2,ROUND((IF(T1836=2,0.55,IF(T1836&lt;=4,0.7,IF(T1836&lt;=6,0.8,IF(T1836&lt;=9,0.9,1))))*(S1836/T1836)+(1-(IF(T1836=2,0.55,IF(T1836&lt;=4,0.7,IF(T1836&lt;=6,0.8,IF(T1836&lt;=9,0.9,1))))))*$Y$1),1),"")</f>
      </c>
      <c r="V1836" s="37">
        <v>6.2</v>
      </c>
      <c r="W1836" s="38"/>
    </row>
    <row r="1837" ht="24" customHeight="1" spans="1:23" x14ac:dyDescent="0.25">
      <c r="A1837" s="47">
        <v>733</v>
      </c>
      <c r="B1837" s="32" t="s">
        <v>1954</v>
      </c>
      <c r="C1837" s="48" t="s">
        <v>24</v>
      </c>
      <c r="D1837" s="49">
        <v>2017</v>
      </c>
      <c r="E1837" s="49" t="s">
        <v>27</v>
      </c>
      <c r="F1837" s="6">
        <v>8</v>
      </c>
      <c r="G1837" s="6">
        <v>7</v>
      </c>
      <c r="H1837" s="6">
        <v>8</v>
      </c>
      <c r="I1837" s="6">
        <v>8</v>
      </c>
      <c r="J1837" s="6">
        <v>7</v>
      </c>
      <c r="K1837" s="6">
        <v>8</v>
      </c>
      <c r="L1837" s="6">
        <v>8</v>
      </c>
      <c r="M1837" s="6">
        <v>8</v>
      </c>
      <c r="N1837" s="6">
        <v>8</v>
      </c>
      <c r="O1837" s="6">
        <v>9</v>
      </c>
      <c r="P1837" s="6">
        <v>6</v>
      </c>
      <c r="Q1837" s="6">
        <v>8</v>
      </c>
      <c r="R1837" s="6">
        <v>6</v>
      </c>
      <c r="S1837" s="35">
        <f>SUM(F1837:R1837)</f>
        <v>99</v>
      </c>
      <c r="T1837" s="35">
        <f>COUNT(F1837:R1837)</f>
        <v>13</v>
      </c>
      <c r="U1837" s="36">
        <f>IF(T1837&gt;=2,ROUND((IF(T1837=2,0.55,IF(T1837&lt;=4,0.7,IF(T1837&lt;=6,0.8,IF(T1837&lt;=9,0.9,1))))*(S1837/T1837)+(1-(IF(T1837=2,0.55,IF(T1837&lt;=4,0.7,IF(T1837&lt;=6,0.8,IF(T1837&lt;=9,0.9,1))))))*$Y$1),1),"")</f>
        <v>7.6</v>
      </c>
      <c r="V1837" s="37">
        <v>6.4</v>
      </c>
      <c r="W1837" s="38" t="s">
        <v>44</v>
      </c>
    </row>
    <row r="1838" ht="24" customHeight="1" spans="1:23" x14ac:dyDescent="0.25">
      <c r="A1838" s="47">
        <v>1060</v>
      </c>
      <c r="B1838" s="32" t="s">
        <v>1955</v>
      </c>
      <c r="C1838" s="48" t="s">
        <v>24</v>
      </c>
      <c r="D1838" s="49">
        <v>2018</v>
      </c>
      <c r="E1838" s="49" t="s">
        <v>30</v>
      </c>
      <c r="F1838" s="6">
        <v>8</v>
      </c>
      <c r="G1838" s="6">
        <v>7</v>
      </c>
      <c r="H1838" s="6">
        <v>10</v>
      </c>
      <c r="I1838" s="6">
        <v>10</v>
      </c>
      <c r="J1838" s="6">
        <v>8</v>
      </c>
      <c r="K1838" s="6">
        <v>10</v>
      </c>
      <c r="L1838" s="6">
        <v>8</v>
      </c>
      <c r="M1838" s="6">
        <v>8</v>
      </c>
      <c r="N1838" s="6">
        <v>6</v>
      </c>
      <c r="O1838" s="6">
        <v>8</v>
      </c>
      <c r="P1838" s="6">
        <v>6</v>
      </c>
      <c r="Q1838" s="6">
        <v>10</v>
      </c>
      <c r="R1838" s="6">
        <v>10</v>
      </c>
      <c r="S1838" s="35">
        <f>SUM(F1838:R1838)</f>
        <v>109</v>
      </c>
      <c r="T1838" s="35">
        <f>COUNT(F1838:R1838)</f>
        <v>13</v>
      </c>
      <c r="U1838" s="36">
        <f>IF(T1838&gt;=2,ROUND((IF(T1838=2,0.55,IF(T1838&lt;=4,0.7,IF(T1838&lt;=6,0.8,IF(T1838&lt;=9,0.9,1))))*(S1838/T1838)+(1-(IF(T1838=2,0.55,IF(T1838&lt;=4,0.7,IF(T1838&lt;=6,0.8,IF(T1838&lt;=9,0.9,1))))))*$Y$1),1),"")</f>
        <v>8.4</v>
      </c>
      <c r="V1838" s="37">
        <v>7.3</v>
      </c>
      <c r="W1838" s="38" t="s">
        <v>44</v>
      </c>
    </row>
    <row r="1839" ht="24" customHeight="1" spans="1:23" x14ac:dyDescent="0.25">
      <c r="A1839" s="40">
        <v>2235</v>
      </c>
      <c r="B1839" s="32" t="s">
        <v>1956</v>
      </c>
      <c r="C1839" s="33" t="s">
        <v>24</v>
      </c>
      <c r="D1839" s="34">
        <v>2009</v>
      </c>
      <c r="E1839" s="41"/>
      <c r="F1839" s="6"/>
      <c r="G1839" s="6">
        <v>7</v>
      </c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35">
        <f>SUM(F1839:R1839)</f>
        <v>7</v>
      </c>
      <c r="T1839" s="35">
        <f>COUNT(F1839:R1839)</f>
        <v>1</v>
      </c>
      <c r="U1839" s="36">
        <f>IF(T1839&gt;=2,ROUND((IF(T1839=2,0.55,IF(T1839&lt;=4,0.7,IF(T1839&lt;=6,0.8,IF(T1839&lt;=9,0.9,1))))*(S1839/T1839)+(1-(IF(T1839=2,0.55,IF(T1839&lt;=4,0.7,IF(T1839&lt;=6,0.8,IF(T1839&lt;=9,0.9,1))))))*$Y$1),1),"")</f>
      </c>
      <c r="V1839" s="37">
        <v>7</v>
      </c>
      <c r="W1839" s="38"/>
    </row>
    <row r="1840" ht="47.25" customHeight="1" spans="1:23" x14ac:dyDescent="0.25">
      <c r="A1840" s="31">
        <v>1668</v>
      </c>
      <c r="B1840" s="32" t="s">
        <v>1957</v>
      </c>
      <c r="C1840" s="33" t="s">
        <v>24</v>
      </c>
      <c r="D1840" s="34">
        <v>2018</v>
      </c>
      <c r="E1840" s="34" t="s">
        <v>30</v>
      </c>
      <c r="F1840" s="6"/>
      <c r="G1840" s="6"/>
      <c r="H1840" s="6"/>
      <c r="I1840" s="6">
        <v>8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35">
        <f>SUM(F1840:R1840)</f>
        <v>8</v>
      </c>
      <c r="T1840" s="35">
        <f>COUNT(F1840:R1840)</f>
        <v>1</v>
      </c>
      <c r="U1840" s="36">
        <f>IF(T1840&gt;=2,ROUND((IF(T1840=2,0.55,IF(T1840&lt;=4,0.7,IF(T1840&lt;=6,0.8,IF(T1840&lt;=9,0.9,1))))*(S1840/T1840)+(1-(IF(T1840=2,0.55,IF(T1840&lt;=4,0.7,IF(T1840&lt;=6,0.8,IF(T1840&lt;=9,0.9,1))))))*$Y$1),1),"")</f>
      </c>
      <c r="V1840" s="37">
        <v>6.7</v>
      </c>
      <c r="W1840" s="38"/>
    </row>
    <row r="1841" ht="24" customHeight="1" spans="1:23" x14ac:dyDescent="0.25">
      <c r="A1841" s="31">
        <v>466</v>
      </c>
      <c r="B1841" s="32" t="s">
        <v>1958</v>
      </c>
      <c r="C1841" s="33" t="s">
        <v>24</v>
      </c>
      <c r="D1841" s="34">
        <v>2004</v>
      </c>
      <c r="E1841" s="34" t="s">
        <v>106</v>
      </c>
      <c r="F1841" s="6">
        <v>8</v>
      </c>
      <c r="G1841" s="6">
        <v>8</v>
      </c>
      <c r="H1841" s="6"/>
      <c r="I1841" s="6"/>
      <c r="J1841" s="6">
        <v>10</v>
      </c>
      <c r="K1841" s="6">
        <v>9</v>
      </c>
      <c r="L1841" s="6">
        <v>8</v>
      </c>
      <c r="M1841" s="6"/>
      <c r="N1841" s="6"/>
      <c r="O1841" s="6"/>
      <c r="P1841" s="6">
        <v>8</v>
      </c>
      <c r="Q1841" s="6">
        <v>9</v>
      </c>
      <c r="R1841" s="6"/>
      <c r="S1841" s="35">
        <f>SUM(F1841:R1841)</f>
        <v>60</v>
      </c>
      <c r="T1841" s="35">
        <f>COUNT(F1841:R1841)</f>
        <v>7</v>
      </c>
      <c r="U1841" s="36">
        <f>IF(T1841&gt;=2,ROUND((IF(T1841=2,0.55,IF(T1841&lt;=4,0.7,IF(T1841&lt;=6,0.8,IF(T1841&lt;=9,0.9,1))))*(S1841/T1841)+(1-(IF(T1841=2,0.55,IF(T1841&lt;=4,0.7,IF(T1841&lt;=6,0.8,IF(T1841&lt;=9,0.9,1))))))*$Y$1),1),"")</f>
        <v>8.5</v>
      </c>
      <c r="V1841" s="37">
        <v>8.1</v>
      </c>
      <c r="W1841" s="38"/>
    </row>
    <row r="1842" ht="24" customHeight="1" spans="1:23" x14ac:dyDescent="0.25">
      <c r="A1842" s="31">
        <v>754</v>
      </c>
      <c r="B1842" s="32" t="s">
        <v>1959</v>
      </c>
      <c r="C1842" s="33" t="s">
        <v>24</v>
      </c>
      <c r="D1842" s="34">
        <v>1995</v>
      </c>
      <c r="E1842" s="34" t="s">
        <v>52</v>
      </c>
      <c r="F1842" s="6"/>
      <c r="G1842" s="6">
        <v>8</v>
      </c>
      <c r="H1842" s="6"/>
      <c r="I1842" s="6"/>
      <c r="J1842" s="6"/>
      <c r="K1842" s="6">
        <v>8</v>
      </c>
      <c r="L1842" s="6">
        <v>8</v>
      </c>
      <c r="M1842" s="6"/>
      <c r="N1842" s="6"/>
      <c r="O1842" s="6"/>
      <c r="P1842" s="6"/>
      <c r="Q1842" s="6">
        <v>8</v>
      </c>
      <c r="R1842" s="6"/>
      <c r="S1842" s="35">
        <f>SUM(F1842:R1842)</f>
        <v>32</v>
      </c>
      <c r="T1842" s="35">
        <f>COUNT(F1842:R1842)</f>
        <v>4</v>
      </c>
      <c r="U1842" s="36">
        <f>IF(T1842&gt;=2,ROUND((IF(T1842=2,0.55,IF(T1842&lt;=4,0.7,IF(T1842&lt;=6,0.8,IF(T1842&lt;=9,0.9,1))))*(S1842/T1842)+(1-(IF(T1842=2,0.55,IF(T1842&lt;=4,0.7,IF(T1842&lt;=6,0.8,IF(T1842&lt;=9,0.9,1))))))*$Y$1),1),"")</f>
        <v>8</v>
      </c>
      <c r="V1842" s="37">
        <v>8.1</v>
      </c>
      <c r="W1842" s="38"/>
    </row>
    <row r="1843" ht="24" customHeight="1" spans="1:23" x14ac:dyDescent="0.25">
      <c r="A1843" s="31">
        <v>20</v>
      </c>
      <c r="B1843" s="32" t="s">
        <v>1960</v>
      </c>
      <c r="C1843" s="33" t="s">
        <v>24</v>
      </c>
      <c r="D1843" s="34">
        <v>2007</v>
      </c>
      <c r="E1843" s="34" t="s">
        <v>30</v>
      </c>
      <c r="F1843" s="6">
        <v>8</v>
      </c>
      <c r="G1843" s="6">
        <v>8</v>
      </c>
      <c r="H1843" s="6">
        <v>8</v>
      </c>
      <c r="I1843" s="6"/>
      <c r="J1843" s="6">
        <v>8</v>
      </c>
      <c r="K1843" s="6">
        <v>8</v>
      </c>
      <c r="L1843" s="6">
        <v>10</v>
      </c>
      <c r="M1843" s="6">
        <v>8</v>
      </c>
      <c r="N1843" s="6"/>
      <c r="O1843" s="6"/>
      <c r="P1843" s="6">
        <v>8</v>
      </c>
      <c r="Q1843" s="6">
        <v>8</v>
      </c>
      <c r="R1843" s="6">
        <v>8</v>
      </c>
      <c r="S1843" s="35">
        <f>SUM(F1843:R1843)</f>
        <v>82</v>
      </c>
      <c r="T1843" s="35">
        <f>COUNT(F1843:R1843)</f>
        <v>10</v>
      </c>
      <c r="U1843" s="36">
        <f>IF(T1843&gt;=2,ROUND((IF(T1843=2,0.55,IF(T1843&lt;=4,0.7,IF(T1843&lt;=6,0.8,IF(T1843&lt;=9,0.9,1))))*(S1843/T1843)+(1-(IF(T1843=2,0.55,IF(T1843&lt;=4,0.7,IF(T1843&lt;=6,0.8,IF(T1843&lt;=9,0.9,1))))))*$Y$1),1),"")</f>
        <v>8.2</v>
      </c>
      <c r="V1843" s="37">
        <v>7.3</v>
      </c>
      <c r="W1843" s="38"/>
    </row>
    <row r="1844" ht="24" customHeight="1" spans="1:23" x14ac:dyDescent="0.25">
      <c r="A1844" s="31">
        <v>465</v>
      </c>
      <c r="B1844" s="32" t="s">
        <v>1961</v>
      </c>
      <c r="C1844" s="33" t="s">
        <v>24</v>
      </c>
      <c r="D1844" s="34">
        <v>2013</v>
      </c>
      <c r="E1844" s="34" t="s">
        <v>106</v>
      </c>
      <c r="F1844" s="6"/>
      <c r="G1844" s="6">
        <v>8</v>
      </c>
      <c r="H1844" s="6"/>
      <c r="I1844" s="6"/>
      <c r="J1844" s="6"/>
      <c r="K1844" s="6">
        <v>6</v>
      </c>
      <c r="L1844" s="6">
        <v>8</v>
      </c>
      <c r="M1844" s="6"/>
      <c r="N1844" s="6"/>
      <c r="O1844" s="6"/>
      <c r="P1844" s="6">
        <v>8</v>
      </c>
      <c r="Q1844" s="6">
        <v>6</v>
      </c>
      <c r="R1844" s="6"/>
      <c r="S1844" s="35">
        <f>SUM(F1844:R1844)</f>
        <v>36</v>
      </c>
      <c r="T1844" s="35">
        <f>COUNT(F1844:R1844)</f>
        <v>5</v>
      </c>
      <c r="U1844" s="36">
        <f>IF(T1844&gt;=2,ROUND((IF(T1844=2,0.55,IF(T1844&lt;=4,0.7,IF(T1844&lt;=6,0.8,IF(T1844&lt;=9,0.9,1))))*(S1844/T1844)+(1-(IF(T1844=2,0.55,IF(T1844&lt;=4,0.7,IF(T1844&lt;=6,0.8,IF(T1844&lt;=9,0.9,1))))))*$Y$1),1),"")</f>
        <v>7.4</v>
      </c>
      <c r="V1844" s="37">
        <v>7.9</v>
      </c>
      <c r="W1844" s="38"/>
    </row>
    <row r="1845" ht="47.25" customHeight="1" spans="1:23" x14ac:dyDescent="0.25">
      <c r="A1845" s="40">
        <v>2088</v>
      </c>
      <c r="B1845" s="32" t="s">
        <v>1962</v>
      </c>
      <c r="C1845" s="33" t="s">
        <v>24</v>
      </c>
      <c r="D1845" s="34">
        <v>1994</v>
      </c>
      <c r="E1845" s="41"/>
      <c r="F1845" s="6"/>
      <c r="G1845" s="6">
        <v>7</v>
      </c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35">
        <f>SUM(F1845:R1845)</f>
        <v>7</v>
      </c>
      <c r="T1845" s="35">
        <f>COUNT(F1845:R1845)</f>
        <v>1</v>
      </c>
      <c r="U1845" s="36">
        <f>IF(T1845&gt;=2,ROUND((IF(T1845=2,0.55,IF(T1845&lt;=4,0.7,IF(T1845&lt;=6,0.8,IF(T1845&lt;=9,0.9,1))))*(S1845/T1845)+(1-(IF(T1845=2,0.55,IF(T1845&lt;=4,0.7,IF(T1845&lt;=6,0.8,IF(T1845&lt;=9,0.9,1))))))*$Y$1),1),"")</f>
      </c>
      <c r="V1845" s="37">
        <v>7.8</v>
      </c>
      <c r="W1845" s="38"/>
    </row>
    <row r="1846" ht="24" customHeight="1" spans="1:23" x14ac:dyDescent="0.25">
      <c r="A1846" s="31">
        <v>1949</v>
      </c>
      <c r="B1846" s="32" t="s">
        <v>1963</v>
      </c>
      <c r="C1846" s="33" t="s">
        <v>24</v>
      </c>
      <c r="D1846" s="34">
        <v>2024</v>
      </c>
      <c r="E1846" s="34" t="s">
        <v>25</v>
      </c>
      <c r="F1846" s="6">
        <v>8</v>
      </c>
      <c r="G1846" s="6">
        <v>8</v>
      </c>
      <c r="H1846" s="6">
        <v>8</v>
      </c>
      <c r="I1846" s="6"/>
      <c r="J1846" s="6">
        <v>9</v>
      </c>
      <c r="K1846" s="6">
        <v>8</v>
      </c>
      <c r="L1846" s="6">
        <v>7</v>
      </c>
      <c r="M1846" s="6"/>
      <c r="N1846" s="6"/>
      <c r="O1846" s="6">
        <v>8</v>
      </c>
      <c r="P1846" s="6">
        <v>7</v>
      </c>
      <c r="Q1846" s="6">
        <v>8</v>
      </c>
      <c r="R1846" s="6">
        <v>8</v>
      </c>
      <c r="S1846" s="35">
        <f>SUM(F1846:R1846)</f>
        <v>79</v>
      </c>
      <c r="T1846" s="35">
        <f>COUNT(F1846:R1846)</f>
        <v>10</v>
      </c>
      <c r="U1846" s="36">
        <f>IF(T1846&gt;=2,ROUND((IF(T1846=2,0.55,IF(T1846&lt;=4,0.7,IF(T1846&lt;=6,0.8,IF(T1846&lt;=9,0.9,1))))*(S1846/T1846)+(1-(IF(T1846=2,0.55,IF(T1846&lt;=4,0.7,IF(T1846&lt;=6,0.8,IF(T1846&lt;=9,0.9,1))))))*$Y$1),1),"")</f>
        <v>7.9</v>
      </c>
      <c r="V1846" s="37">
        <v>7.4</v>
      </c>
      <c r="W1846" s="38"/>
    </row>
    <row r="1847" ht="24" customHeight="1" spans="1:23" x14ac:dyDescent="0.25">
      <c r="A1847" s="31">
        <v>1735</v>
      </c>
      <c r="B1847" s="32" t="s">
        <v>1964</v>
      </c>
      <c r="C1847" s="33" t="s">
        <v>24</v>
      </c>
      <c r="D1847" s="34">
        <v>2021</v>
      </c>
      <c r="E1847" s="34" t="s">
        <v>25</v>
      </c>
      <c r="F1847" s="6"/>
      <c r="G1847" s="6"/>
      <c r="H1847" s="6"/>
      <c r="I1847" s="6"/>
      <c r="J1847" s="6">
        <v>8</v>
      </c>
      <c r="K1847" s="6"/>
      <c r="L1847" s="6"/>
      <c r="M1847" s="6"/>
      <c r="N1847" s="6"/>
      <c r="O1847" s="6"/>
      <c r="P1847" s="6"/>
      <c r="Q1847" s="6"/>
      <c r="R1847" s="6"/>
      <c r="S1847" s="35">
        <f>SUM(F1847:R1847)</f>
        <v>8</v>
      </c>
      <c r="T1847" s="35">
        <f>COUNT(F1847:R1847)</f>
        <v>1</v>
      </c>
      <c r="U1847" s="36">
        <f>IF(T1847&gt;=2,ROUND((IF(T1847=2,0.55,IF(T1847&lt;=4,0.7,IF(T1847&lt;=6,0.8,IF(T1847&lt;=9,0.9,1))))*(S1847/T1847)+(1-(IF(T1847=2,0.55,IF(T1847&lt;=4,0.7,IF(T1847&lt;=6,0.8,IF(T1847&lt;=9,0.9,1))))))*$Y$1),1),"")</f>
      </c>
      <c r="V1847" s="37">
        <v>7.4</v>
      </c>
      <c r="W1847" s="38"/>
    </row>
    <row r="1848" ht="24" customHeight="1" spans="1:23" x14ac:dyDescent="0.25">
      <c r="A1848" s="31">
        <v>579</v>
      </c>
      <c r="B1848" s="32" t="s">
        <v>1965</v>
      </c>
      <c r="C1848" s="33" t="s">
        <v>24</v>
      </c>
      <c r="D1848" s="34">
        <v>2019</v>
      </c>
      <c r="E1848" s="34" t="s">
        <v>30</v>
      </c>
      <c r="F1848" s="6">
        <v>8</v>
      </c>
      <c r="G1848" s="6">
        <v>7</v>
      </c>
      <c r="H1848" s="6">
        <v>8</v>
      </c>
      <c r="I1848" s="6">
        <v>10</v>
      </c>
      <c r="J1848" s="6">
        <v>10</v>
      </c>
      <c r="K1848" s="6">
        <v>10</v>
      </c>
      <c r="L1848" s="6">
        <v>8</v>
      </c>
      <c r="M1848" s="6">
        <v>8</v>
      </c>
      <c r="N1848" s="6">
        <v>10</v>
      </c>
      <c r="O1848" s="6"/>
      <c r="P1848" s="6">
        <v>6</v>
      </c>
      <c r="Q1848" s="6">
        <v>10</v>
      </c>
      <c r="R1848" s="6">
        <v>10</v>
      </c>
      <c r="S1848" s="35">
        <f>SUM(F1848:R1848)</f>
        <v>105</v>
      </c>
      <c r="T1848" s="35">
        <f>COUNT(F1848:R1848)</f>
        <v>12</v>
      </c>
      <c r="U1848" s="36">
        <f>IF(T1848&gt;=2,ROUND((IF(T1848=2,0.55,IF(T1848&lt;=4,0.7,IF(T1848&lt;=6,0.8,IF(T1848&lt;=9,0.9,1))))*(S1848/T1848)+(1-(IF(T1848=2,0.55,IF(T1848&lt;=4,0.7,IF(T1848&lt;=6,0.8,IF(T1848&lt;=9,0.9,1))))))*$Y$1),1),"")</f>
        <v>8.8</v>
      </c>
      <c r="V1848" s="37">
        <v>6.5</v>
      </c>
      <c r="W1848" s="38"/>
    </row>
    <row r="1849" ht="47.25" customHeight="1" spans="1:23" x14ac:dyDescent="0.25">
      <c r="A1849" s="31">
        <v>1241</v>
      </c>
      <c r="B1849" s="32" t="s">
        <v>1966</v>
      </c>
      <c r="C1849" s="33" t="s">
        <v>24</v>
      </c>
      <c r="D1849" s="34">
        <v>2021</v>
      </c>
      <c r="E1849" s="34" t="s">
        <v>30</v>
      </c>
      <c r="F1849" s="6"/>
      <c r="G1849" s="6"/>
      <c r="H1849" s="6"/>
      <c r="I1849" s="6"/>
      <c r="J1849" s="6"/>
      <c r="K1849" s="6">
        <v>8</v>
      </c>
      <c r="L1849" s="6">
        <v>6</v>
      </c>
      <c r="M1849" s="6"/>
      <c r="N1849" s="6">
        <v>7</v>
      </c>
      <c r="O1849" s="6">
        <v>7</v>
      </c>
      <c r="P1849" s="6"/>
      <c r="Q1849" s="6">
        <v>8</v>
      </c>
      <c r="R1849" s="6"/>
      <c r="S1849" s="35">
        <f>SUM(F1849:R1849)</f>
        <v>36</v>
      </c>
      <c r="T1849" s="35">
        <f>COUNT(F1849:R1849)</f>
        <v>5</v>
      </c>
      <c r="U1849" s="36">
        <f>IF(T1849&gt;=2,ROUND((IF(T1849=2,0.55,IF(T1849&lt;=4,0.7,IF(T1849&lt;=6,0.8,IF(T1849&lt;=9,0.9,1))))*(S1849/T1849)+(1-(IF(T1849=2,0.55,IF(T1849&lt;=4,0.7,IF(T1849&lt;=6,0.8,IF(T1849&lt;=9,0.9,1))))))*$Y$1),1),"")</f>
        <v>7.4</v>
      </c>
      <c r="V1849" s="37">
        <v>6.3</v>
      </c>
      <c r="W1849" s="38"/>
    </row>
    <row r="1850" ht="47.25" customHeight="1" spans="1:23" x14ac:dyDescent="0.25">
      <c r="A1850" s="31">
        <v>19</v>
      </c>
      <c r="B1850" s="32" t="s">
        <v>1967</v>
      </c>
      <c r="C1850" s="33" t="s">
        <v>29</v>
      </c>
      <c r="D1850" s="34">
        <v>2017</v>
      </c>
      <c r="E1850" s="34" t="s">
        <v>30</v>
      </c>
      <c r="F1850" s="6">
        <v>10</v>
      </c>
      <c r="G1850" s="6"/>
      <c r="H1850" s="6">
        <v>10</v>
      </c>
      <c r="I1850" s="6">
        <v>10</v>
      </c>
      <c r="J1850" s="6"/>
      <c r="K1850" s="6">
        <v>8</v>
      </c>
      <c r="L1850" s="6"/>
      <c r="M1850" s="6">
        <v>10</v>
      </c>
      <c r="N1850" s="6">
        <v>10</v>
      </c>
      <c r="O1850" s="6">
        <v>10</v>
      </c>
      <c r="P1850" s="6">
        <v>6</v>
      </c>
      <c r="Q1850" s="6">
        <v>8</v>
      </c>
      <c r="R1850" s="6">
        <v>10</v>
      </c>
      <c r="S1850" s="35">
        <f>SUM(F1850:R1850)</f>
        <v>92</v>
      </c>
      <c r="T1850" s="35">
        <f>COUNT(F1850:R1850)</f>
        <v>10</v>
      </c>
      <c r="U1850" s="36">
        <f>IF(T1850&gt;=2,ROUND((IF(T1850=2,0.55,IF(T1850&lt;=4,0.7,IF(T1850&lt;=6,0.8,IF(T1850&lt;=9,0.9,1))))*(S1850/T1850)+(1-(IF(T1850=2,0.55,IF(T1850&lt;=4,0.7,IF(T1850&lt;=6,0.8,IF(T1850&lt;=9,0.9,1))))))*$Y$1),1),"")</f>
        <v>9.2</v>
      </c>
      <c r="V1850" s="37">
        <v>8.6</v>
      </c>
      <c r="W1850" s="38"/>
    </row>
    <row r="1851" ht="24" customHeight="1" spans="1:23" x14ac:dyDescent="0.25">
      <c r="A1851" s="31">
        <v>194</v>
      </c>
      <c r="B1851" s="32" t="s">
        <v>1968</v>
      </c>
      <c r="C1851" s="33" t="s">
        <v>24</v>
      </c>
      <c r="D1851" s="34">
        <v>2016</v>
      </c>
      <c r="E1851" s="34" t="s">
        <v>595</v>
      </c>
      <c r="F1851" s="6">
        <v>8</v>
      </c>
      <c r="G1851" s="6"/>
      <c r="H1851" s="6">
        <v>7</v>
      </c>
      <c r="I1851" s="6"/>
      <c r="J1851" s="6">
        <v>8</v>
      </c>
      <c r="K1851" s="6">
        <v>8</v>
      </c>
      <c r="L1851" s="6">
        <v>8</v>
      </c>
      <c r="M1851" s="6"/>
      <c r="N1851" s="6"/>
      <c r="O1851" s="6">
        <v>6</v>
      </c>
      <c r="P1851" s="6"/>
      <c r="Q1851" s="6">
        <v>8</v>
      </c>
      <c r="R1851" s="6">
        <v>6</v>
      </c>
      <c r="S1851" s="35">
        <f>SUM(F1851:R1851)</f>
        <v>59</v>
      </c>
      <c r="T1851" s="35">
        <f>COUNT(F1851:R1851)</f>
        <v>8</v>
      </c>
      <c r="U1851" s="36">
        <f>IF(T1851&gt;=2,ROUND((IF(T1851=2,0.55,IF(T1851&lt;=4,0.7,IF(T1851&lt;=6,0.8,IF(T1851&lt;=9,0.9,1))))*(S1851/T1851)+(1-(IF(T1851=2,0.55,IF(T1851&lt;=4,0.7,IF(T1851&lt;=6,0.8,IF(T1851&lt;=9,0.9,1))))))*$Y$1),1),"")</f>
        <v>7.4</v>
      </c>
      <c r="V1851" s="37">
        <v>7.4</v>
      </c>
      <c r="W1851" s="38"/>
    </row>
    <row r="1852" ht="24" customHeight="1" spans="1:23" x14ac:dyDescent="0.25">
      <c r="A1852" s="40">
        <v>2341</v>
      </c>
      <c r="B1852" s="32" t="s">
        <v>1969</v>
      </c>
      <c r="C1852" s="33" t="s">
        <v>29</v>
      </c>
      <c r="D1852" s="34">
        <v>2025</v>
      </c>
      <c r="E1852" s="41"/>
      <c r="F1852" s="6"/>
      <c r="G1852" s="6"/>
      <c r="H1852" s="6"/>
      <c r="I1852" s="6"/>
      <c r="J1852" s="6"/>
      <c r="K1852" s="6"/>
      <c r="L1852" s="6">
        <v>7</v>
      </c>
      <c r="M1852" s="6"/>
      <c r="N1852" s="6"/>
      <c r="O1852" s="6">
        <v>8</v>
      </c>
      <c r="P1852" s="6"/>
      <c r="Q1852" s="6"/>
      <c r="R1852" s="6"/>
      <c r="S1852" s="35">
        <f>SUM(F1852:R1852)</f>
        <v>15</v>
      </c>
      <c r="T1852" s="35">
        <f>COUNT(F1852:R1852)</f>
        <v>2</v>
      </c>
      <c r="U1852" s="36">
        <f>IF(T1852&gt;=2,ROUND((IF(T1852=2,0.55,IF(T1852&lt;=4,0.7,IF(T1852&lt;=6,0.8,IF(T1852&lt;=9,0.9,1))))*(S1852/T1852)+(1-(IF(T1852=2,0.55,IF(T1852&lt;=4,0.7,IF(T1852&lt;=6,0.8,IF(T1852&lt;=9,0.9,1))))))*$Y$1),1),"")</f>
        <v>7.8</v>
      </c>
      <c r="V1852" s="37">
        <v>8.5</v>
      </c>
      <c r="W1852" s="38"/>
    </row>
    <row r="1853" ht="24" customHeight="1" spans="1:23" x14ac:dyDescent="0.25">
      <c r="A1853" s="31">
        <v>1674</v>
      </c>
      <c r="B1853" s="32" t="s">
        <v>1969</v>
      </c>
      <c r="C1853" s="33" t="s">
        <v>24</v>
      </c>
      <c r="D1853" s="34">
        <v>2023</v>
      </c>
      <c r="E1853" s="34" t="s">
        <v>27</v>
      </c>
      <c r="F1853" s="6"/>
      <c r="G1853" s="6"/>
      <c r="H1853" s="6"/>
      <c r="I1853" s="6">
        <v>8</v>
      </c>
      <c r="J1853" s="6"/>
      <c r="K1853" s="6">
        <v>7</v>
      </c>
      <c r="L1853" s="6"/>
      <c r="M1853" s="6"/>
      <c r="N1853" s="6"/>
      <c r="O1853" s="6"/>
      <c r="P1853" s="6"/>
      <c r="Q1853" s="6">
        <v>7</v>
      </c>
      <c r="R1853" s="6"/>
      <c r="S1853" s="35">
        <f>SUM(F1853:R1853)</f>
        <v>22</v>
      </c>
      <c r="T1853" s="35">
        <f>COUNT(F1853:R1853)</f>
        <v>3</v>
      </c>
      <c r="U1853" s="36">
        <f>IF(T1853&gt;=2,ROUND((IF(T1853=2,0.55,IF(T1853&lt;=4,0.7,IF(T1853&lt;=6,0.8,IF(T1853&lt;=9,0.9,1))))*(S1853/T1853)+(1-(IF(T1853=2,0.55,IF(T1853&lt;=4,0.7,IF(T1853&lt;=6,0.8,IF(T1853&lt;=9,0.9,1))))))*$Y$1),1),"")</f>
        <v>7.6</v>
      </c>
      <c r="V1853" s="37">
        <v>5.4</v>
      </c>
      <c r="W1853" s="38"/>
    </row>
    <row r="1854" ht="24" customHeight="1" spans="1:23" x14ac:dyDescent="0.25">
      <c r="A1854" s="47">
        <v>1728</v>
      </c>
      <c r="B1854" s="32" t="s">
        <v>1970</v>
      </c>
      <c r="C1854" s="48" t="s">
        <v>24</v>
      </c>
      <c r="D1854" s="49">
        <v>2023</v>
      </c>
      <c r="E1854" s="49" t="s">
        <v>25</v>
      </c>
      <c r="F1854" s="6">
        <v>8</v>
      </c>
      <c r="G1854" s="6">
        <v>8</v>
      </c>
      <c r="H1854" s="6">
        <v>8</v>
      </c>
      <c r="I1854" s="6">
        <v>9</v>
      </c>
      <c r="J1854" s="6">
        <v>8</v>
      </c>
      <c r="K1854" s="6">
        <v>8</v>
      </c>
      <c r="L1854" s="6">
        <v>9</v>
      </c>
      <c r="M1854" s="6">
        <v>9</v>
      </c>
      <c r="N1854" s="6">
        <v>9</v>
      </c>
      <c r="O1854" s="6">
        <v>9</v>
      </c>
      <c r="P1854" s="6">
        <v>9</v>
      </c>
      <c r="Q1854" s="6">
        <v>8</v>
      </c>
      <c r="R1854" s="6"/>
      <c r="S1854" s="35">
        <f>SUM(F1854:R1854)</f>
        <v>102</v>
      </c>
      <c r="T1854" s="35">
        <f>COUNT(F1854:R1854)</f>
        <v>12</v>
      </c>
      <c r="U1854" s="36">
        <f>IF(T1854&gt;=2,ROUND((IF(T1854=2,0.55,IF(T1854&lt;=4,0.7,IF(T1854&lt;=6,0.8,IF(T1854&lt;=9,0.9,1))))*(S1854/T1854)+(1-(IF(T1854=2,0.55,IF(T1854&lt;=4,0.7,IF(T1854&lt;=6,0.8,IF(T1854&lt;=9,0.9,1))))))*$Y$1),1),"")</f>
        <v>8.5</v>
      </c>
      <c r="V1854" s="37">
        <v>7.6</v>
      </c>
      <c r="W1854" s="38" t="s">
        <v>44</v>
      </c>
    </row>
    <row r="1855" ht="24" customHeight="1" spans="1:23" x14ac:dyDescent="0.25">
      <c r="A1855" s="31">
        <v>1291</v>
      </c>
      <c r="B1855" s="32" t="s">
        <v>1971</v>
      </c>
      <c r="C1855" s="33" t="s">
        <v>29</v>
      </c>
      <c r="D1855" s="34">
        <v>2022</v>
      </c>
      <c r="E1855" s="34" t="s">
        <v>30</v>
      </c>
      <c r="F1855" s="6">
        <v>8</v>
      </c>
      <c r="G1855" s="6"/>
      <c r="H1855" s="6">
        <v>10</v>
      </c>
      <c r="I1855" s="6">
        <v>8</v>
      </c>
      <c r="J1855" s="6">
        <v>8</v>
      </c>
      <c r="K1855" s="6">
        <v>10</v>
      </c>
      <c r="L1855" s="6">
        <v>8</v>
      </c>
      <c r="M1855" s="6">
        <v>8</v>
      </c>
      <c r="N1855" s="6">
        <v>8</v>
      </c>
      <c r="O1855" s="6">
        <v>10</v>
      </c>
      <c r="P1855" s="6"/>
      <c r="Q1855" s="6">
        <v>10</v>
      </c>
      <c r="R1855" s="6">
        <v>9</v>
      </c>
      <c r="S1855" s="35">
        <f>SUM(F1855:R1855)</f>
        <v>97</v>
      </c>
      <c r="T1855" s="35">
        <f>COUNT(F1855:R1855)</f>
        <v>11</v>
      </c>
      <c r="U1855" s="36">
        <f>IF(T1855&gt;=2,ROUND((IF(T1855=2,0.55,IF(T1855&lt;=4,0.7,IF(T1855&lt;=6,0.8,IF(T1855&lt;=9,0.9,1))))*(S1855/T1855)+(1-(IF(T1855=2,0.55,IF(T1855&lt;=4,0.7,IF(T1855&lt;=6,0.8,IF(T1855&lt;=9,0.9,1))))))*$Y$1),1),"")</f>
        <v>8.8</v>
      </c>
      <c r="V1855" s="37">
        <v>7</v>
      </c>
      <c r="W1855" s="38"/>
    </row>
    <row r="1856" ht="24" customHeight="1" spans="1:23" x14ac:dyDescent="0.25">
      <c r="A1856" s="31">
        <v>1462</v>
      </c>
      <c r="B1856" s="32" t="s">
        <v>1972</v>
      </c>
      <c r="C1856" s="33" t="s">
        <v>29</v>
      </c>
      <c r="D1856" s="34">
        <v>2021</v>
      </c>
      <c r="E1856" s="34" t="s">
        <v>69</v>
      </c>
      <c r="F1856" s="6">
        <v>7</v>
      </c>
      <c r="G1856" s="6"/>
      <c r="H1856" s="6">
        <v>8</v>
      </c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35">
        <f>SUM(F1856:R1856)</f>
        <v>15</v>
      </c>
      <c r="T1856" s="35">
        <f>COUNT(F1856:R1856)</f>
        <v>2</v>
      </c>
      <c r="U1856" s="36">
        <f>IF(T1856&gt;=2,ROUND((IF(T1856=2,0.55,IF(T1856&lt;=4,0.7,IF(T1856&lt;=6,0.8,IF(T1856&lt;=9,0.9,1))))*(S1856/T1856)+(1-(IF(T1856=2,0.55,IF(T1856&lt;=4,0.7,IF(T1856&lt;=6,0.8,IF(T1856&lt;=9,0.9,1))))))*$Y$1),1),"")</f>
        <v>7.8</v>
      </c>
      <c r="V1856" s="37">
        <v>5.6</v>
      </c>
      <c r="W1856" s="38"/>
    </row>
    <row r="1857" ht="24" customHeight="1" spans="1:23" x14ac:dyDescent="0.25">
      <c r="A1857" s="31">
        <v>1082</v>
      </c>
      <c r="B1857" s="32" t="s">
        <v>1973</v>
      </c>
      <c r="C1857" s="33" t="s">
        <v>24</v>
      </c>
      <c r="D1857" s="34">
        <v>2012</v>
      </c>
      <c r="E1857" s="34" t="s">
        <v>1061</v>
      </c>
      <c r="F1857" s="6"/>
      <c r="G1857" s="6"/>
      <c r="H1857" s="6"/>
      <c r="I1857" s="6"/>
      <c r="J1857" s="6"/>
      <c r="K1857" s="6"/>
      <c r="L1857" s="6"/>
      <c r="M1857" s="6"/>
      <c r="N1857" s="6">
        <v>6</v>
      </c>
      <c r="O1857" s="6"/>
      <c r="P1857" s="6"/>
      <c r="Q1857" s="6"/>
      <c r="R1857" s="6"/>
      <c r="S1857" s="35">
        <f>SUM(F1857:R1857)</f>
        <v>6</v>
      </c>
      <c r="T1857" s="35">
        <f>COUNT(F1857:R1857)</f>
        <v>1</v>
      </c>
      <c r="U1857" s="36">
        <f>IF(T1857&gt;=2,ROUND((IF(T1857=2,0.55,IF(T1857&lt;=4,0.7,IF(T1857&lt;=6,0.8,IF(T1857&lt;=9,0.9,1))))*(S1857/T1857)+(1-(IF(T1857=2,0.55,IF(T1857&lt;=4,0.7,IF(T1857&lt;=6,0.8,IF(T1857&lt;=9,0.9,1))))))*$Y$1),1),"")</f>
      </c>
      <c r="V1857" s="37">
        <v>7.9</v>
      </c>
      <c r="W1857" s="38"/>
    </row>
    <row r="1858" ht="24" customHeight="1" spans="1:23" x14ac:dyDescent="0.25">
      <c r="A1858" s="31">
        <v>1892</v>
      </c>
      <c r="B1858" s="32" t="s">
        <v>1974</v>
      </c>
      <c r="C1858" s="33" t="s">
        <v>29</v>
      </c>
      <c r="D1858" s="34">
        <v>2024</v>
      </c>
      <c r="E1858" s="34" t="s">
        <v>30</v>
      </c>
      <c r="F1858" s="6"/>
      <c r="G1858" s="6"/>
      <c r="H1858" s="6"/>
      <c r="I1858" s="6"/>
      <c r="J1858" s="6"/>
      <c r="K1858" s="6"/>
      <c r="L1858" s="6"/>
      <c r="M1858" s="6"/>
      <c r="N1858" s="6"/>
      <c r="O1858" s="6">
        <v>8</v>
      </c>
      <c r="P1858" s="6"/>
      <c r="Q1858" s="6"/>
      <c r="R1858" s="6"/>
      <c r="S1858" s="35">
        <f>SUM(F1858:R1858)</f>
        <v>8</v>
      </c>
      <c r="T1858" s="35">
        <f>COUNT(F1858:R1858)</f>
        <v>1</v>
      </c>
      <c r="U1858" s="36">
        <f>IF(T1858&gt;=2,ROUND((IF(T1858=2,0.55,IF(T1858&lt;=4,0.7,IF(T1858&lt;=6,0.8,IF(T1858&lt;=9,0.9,1))))*(S1858/T1858)+(1-(IF(T1858=2,0.55,IF(T1858&lt;=4,0.7,IF(T1858&lt;=6,0.8,IF(T1858&lt;=9,0.9,1))))))*$Y$1),1),"")</f>
      </c>
      <c r="V1858" s="37">
        <v>5.7</v>
      </c>
      <c r="W1858" s="38"/>
    </row>
    <row r="1859" ht="24" customHeight="1" spans="1:23" x14ac:dyDescent="0.25">
      <c r="A1859" s="31">
        <v>738</v>
      </c>
      <c r="B1859" s="32" t="s">
        <v>1975</v>
      </c>
      <c r="C1859" s="33" t="s">
        <v>24</v>
      </c>
      <c r="D1859" s="34">
        <v>2000</v>
      </c>
      <c r="E1859" s="34" t="s">
        <v>27</v>
      </c>
      <c r="F1859" s="6">
        <v>7</v>
      </c>
      <c r="G1859" s="6">
        <v>7</v>
      </c>
      <c r="H1859" s="6"/>
      <c r="I1859" s="6"/>
      <c r="J1859" s="6">
        <v>8</v>
      </c>
      <c r="K1859" s="6"/>
      <c r="L1859" s="6">
        <v>8</v>
      </c>
      <c r="M1859" s="6"/>
      <c r="N1859" s="6"/>
      <c r="O1859" s="6"/>
      <c r="P1859" s="6"/>
      <c r="Q1859" s="6"/>
      <c r="R1859" s="6"/>
      <c r="S1859" s="35">
        <f>SUM(F1859:R1859)</f>
        <v>30</v>
      </c>
      <c r="T1859" s="35">
        <f>COUNT(F1859:R1859)</f>
        <v>4</v>
      </c>
      <c r="U1859" s="36">
        <f>IF(T1859&gt;=2,ROUND((IF(T1859=2,0.55,IF(T1859&lt;=4,0.7,IF(T1859&lt;=6,0.8,IF(T1859&lt;=9,0.9,1))))*(S1859/T1859)+(1-(IF(T1859=2,0.55,IF(T1859&lt;=4,0.7,IF(T1859&lt;=6,0.8,IF(T1859&lt;=9,0.9,1))))))*$Y$1),1),"")</f>
        <v>7.7</v>
      </c>
      <c r="V1859" s="37">
        <v>8</v>
      </c>
      <c r="W1859" s="38"/>
    </row>
    <row r="1860" ht="24" customHeight="1" spans="1:23" x14ac:dyDescent="0.25">
      <c r="A1860" s="31">
        <v>1273</v>
      </c>
      <c r="B1860" s="32" t="s">
        <v>1976</v>
      </c>
      <c r="C1860" s="33" t="s">
        <v>24</v>
      </c>
      <c r="D1860" s="34">
        <v>2021</v>
      </c>
      <c r="E1860" s="34" t="s">
        <v>48</v>
      </c>
      <c r="F1860" s="6"/>
      <c r="G1860" s="6">
        <v>7</v>
      </c>
      <c r="H1860" s="6"/>
      <c r="I1860" s="6"/>
      <c r="J1860" s="6"/>
      <c r="K1860" s="6"/>
      <c r="L1860" s="6"/>
      <c r="M1860" s="6"/>
      <c r="N1860" s="6"/>
      <c r="O1860" s="6"/>
      <c r="P1860" s="6">
        <v>7</v>
      </c>
      <c r="Q1860" s="6"/>
      <c r="R1860" s="6"/>
      <c r="S1860" s="35">
        <f>SUM(F1860:R1860)</f>
        <v>14</v>
      </c>
      <c r="T1860" s="35">
        <f>COUNT(F1860:R1860)</f>
        <v>2</v>
      </c>
      <c r="U1860" s="36">
        <f>IF(T1860&gt;=2,ROUND((IF(T1860=2,0.55,IF(T1860&lt;=4,0.7,IF(T1860&lt;=6,0.8,IF(T1860&lt;=9,0.9,1))))*(S1860/T1860)+(1-(IF(T1860=2,0.55,IF(T1860&lt;=4,0.7,IF(T1860&lt;=6,0.8,IF(T1860&lt;=9,0.9,1))))))*$Y$1),1),"")</f>
        <v>7.5</v>
      </c>
      <c r="V1860" s="37">
        <v>7.1</v>
      </c>
      <c r="W1860" s="38"/>
    </row>
    <row r="1861" ht="24" customHeight="1" spans="1:23" x14ac:dyDescent="0.25">
      <c r="A1861" s="31">
        <v>571</v>
      </c>
      <c r="B1861" s="32" t="s">
        <v>1977</v>
      </c>
      <c r="C1861" s="33" t="s">
        <v>24</v>
      </c>
      <c r="D1861" s="34">
        <v>2003</v>
      </c>
      <c r="E1861" s="34" t="s">
        <v>25</v>
      </c>
      <c r="F1861" s="6"/>
      <c r="G1861" s="6"/>
      <c r="H1861" s="6"/>
      <c r="I1861" s="6"/>
      <c r="J1861" s="6"/>
      <c r="K1861" s="6">
        <v>10</v>
      </c>
      <c r="L1861" s="6"/>
      <c r="M1861" s="6"/>
      <c r="N1861" s="6"/>
      <c r="O1861" s="6"/>
      <c r="P1861" s="6"/>
      <c r="Q1861" s="6">
        <v>10</v>
      </c>
      <c r="R1861" s="6"/>
      <c r="S1861" s="35">
        <f>SUM(F1861:R1861)</f>
        <v>20</v>
      </c>
      <c r="T1861" s="35">
        <f>COUNT(F1861:R1861)</f>
        <v>2</v>
      </c>
      <c r="U1861" s="36">
        <f>IF(T1861&gt;=2,ROUND((IF(T1861=2,0.55,IF(T1861&lt;=4,0.7,IF(T1861&lt;=6,0.8,IF(T1861&lt;=9,0.9,1))))*(S1861/T1861)+(1-(IF(T1861=2,0.55,IF(T1861&lt;=4,0.7,IF(T1861&lt;=6,0.8,IF(T1861&lt;=9,0.9,1))))))*$Y$1),1),"")</f>
        <v>9.1</v>
      </c>
      <c r="V1861" s="37">
        <v>6.4</v>
      </c>
      <c r="W1861" s="38"/>
    </row>
    <row r="1862" ht="24" customHeight="1" spans="1:23" x14ac:dyDescent="0.25">
      <c r="A1862" s="31">
        <v>229</v>
      </c>
      <c r="B1862" s="32" t="s">
        <v>1978</v>
      </c>
      <c r="C1862" s="33" t="s">
        <v>24</v>
      </c>
      <c r="D1862" s="34">
        <v>2009</v>
      </c>
      <c r="E1862" s="34" t="s">
        <v>30</v>
      </c>
      <c r="F1862" s="6">
        <v>6</v>
      </c>
      <c r="G1862" s="6">
        <v>7</v>
      </c>
      <c r="H1862" s="6"/>
      <c r="I1862" s="6"/>
      <c r="J1862" s="6"/>
      <c r="K1862" s="6">
        <v>6</v>
      </c>
      <c r="L1862" s="6">
        <v>6</v>
      </c>
      <c r="M1862" s="6"/>
      <c r="N1862" s="6"/>
      <c r="O1862" s="6"/>
      <c r="P1862" s="6"/>
      <c r="Q1862" s="6">
        <v>6</v>
      </c>
      <c r="R1862" s="6"/>
      <c r="S1862" s="35">
        <f>SUM(F1862:R1862)</f>
        <v>31</v>
      </c>
      <c r="T1862" s="35">
        <f>COUNT(F1862:R1862)</f>
        <v>5</v>
      </c>
      <c r="U1862" s="36">
        <f>IF(T1862&gt;=2,ROUND((IF(T1862=2,0.55,IF(T1862&lt;=4,0.7,IF(T1862&lt;=6,0.8,IF(T1862&lt;=9,0.9,1))))*(S1862/T1862)+(1-(IF(T1862=2,0.55,IF(T1862&lt;=4,0.7,IF(T1862&lt;=6,0.8,IF(T1862&lt;=9,0.9,1))))))*$Y$1),1),"")</f>
        <v>6.6</v>
      </c>
      <c r="V1862" s="37">
        <v>7.4</v>
      </c>
      <c r="W1862" s="38"/>
    </row>
    <row r="1863" ht="24" customHeight="1" spans="1:23" x14ac:dyDescent="0.25">
      <c r="A1863" s="40">
        <v>2277</v>
      </c>
      <c r="B1863" s="32" t="s">
        <v>1979</v>
      </c>
      <c r="C1863" s="33" t="s">
        <v>24</v>
      </c>
      <c r="D1863" s="34">
        <v>2012</v>
      </c>
      <c r="E1863" s="41"/>
      <c r="F1863" s="6"/>
      <c r="G1863" s="6">
        <v>6</v>
      </c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35">
        <f>SUM(F1863:R1863)</f>
        <v>6</v>
      </c>
      <c r="T1863" s="35">
        <f>COUNT(F1863:R1863)</f>
        <v>1</v>
      </c>
      <c r="U1863" s="36">
        <f>IF(T1863&gt;=2,ROUND((IF(T1863=2,0.55,IF(T1863&lt;=4,0.7,IF(T1863&lt;=6,0.8,IF(T1863&lt;=9,0.9,1))))*(S1863/T1863)+(1-(IF(T1863=2,0.55,IF(T1863&lt;=4,0.7,IF(T1863&lt;=6,0.8,IF(T1863&lt;=9,0.9,1))))))*$Y$1),1),"")</f>
      </c>
      <c r="V1863" s="37">
        <v>5.8</v>
      </c>
      <c r="W1863" s="38"/>
    </row>
    <row r="1864" ht="24" customHeight="1" spans="1:23" x14ac:dyDescent="0.25">
      <c r="A1864" s="31">
        <v>464</v>
      </c>
      <c r="B1864" s="32" t="s">
        <v>1980</v>
      </c>
      <c r="C1864" s="33" t="s">
        <v>29</v>
      </c>
      <c r="D1864" s="34">
        <v>2019</v>
      </c>
      <c r="E1864" s="34" t="s">
        <v>27</v>
      </c>
      <c r="F1864" s="6"/>
      <c r="G1864" s="6">
        <v>8</v>
      </c>
      <c r="H1864" s="6">
        <v>8</v>
      </c>
      <c r="I1864" s="6"/>
      <c r="J1864" s="6"/>
      <c r="K1864" s="6">
        <v>8</v>
      </c>
      <c r="L1864" s="6">
        <v>10</v>
      </c>
      <c r="M1864" s="6"/>
      <c r="N1864" s="6"/>
      <c r="O1864" s="6"/>
      <c r="P1864" s="6">
        <v>8</v>
      </c>
      <c r="Q1864" s="6">
        <v>8</v>
      </c>
      <c r="R1864" s="6"/>
      <c r="S1864" s="35">
        <f>SUM(F1864:R1864)</f>
        <v>50</v>
      </c>
      <c r="T1864" s="35">
        <f>COUNT(F1864:R1864)</f>
        <v>6</v>
      </c>
      <c r="U1864" s="36">
        <f>IF(T1864&gt;=2,ROUND((IF(T1864=2,0.55,IF(T1864&lt;=4,0.7,IF(T1864&lt;=6,0.8,IF(T1864&lt;=9,0.9,1))))*(S1864/T1864)+(1-(IF(T1864=2,0.55,IF(T1864&lt;=4,0.7,IF(T1864&lt;=6,0.8,IF(T1864&lt;=9,0.9,1))))))*$Y$1),1),"")</f>
        <v>8.3</v>
      </c>
      <c r="V1864" s="37">
        <v>7.9</v>
      </c>
      <c r="W1864" s="38"/>
    </row>
    <row r="1865" ht="24" customHeight="1" spans="1:23" x14ac:dyDescent="0.25">
      <c r="A1865" s="31">
        <v>779</v>
      </c>
      <c r="B1865" s="32" t="s">
        <v>1981</v>
      </c>
      <c r="C1865" s="33" t="s">
        <v>24</v>
      </c>
      <c r="D1865" s="34">
        <v>2020</v>
      </c>
      <c r="E1865" s="34" t="s">
        <v>30</v>
      </c>
      <c r="F1865" s="6"/>
      <c r="G1865" s="6"/>
      <c r="H1865" s="6"/>
      <c r="I1865" s="6"/>
      <c r="J1865" s="6"/>
      <c r="K1865" s="6">
        <v>6</v>
      </c>
      <c r="L1865" s="6"/>
      <c r="M1865" s="6"/>
      <c r="N1865" s="6"/>
      <c r="O1865" s="6">
        <v>8</v>
      </c>
      <c r="P1865" s="6"/>
      <c r="Q1865" s="6">
        <v>6</v>
      </c>
      <c r="R1865" s="6"/>
      <c r="S1865" s="35">
        <f>SUM(F1865:R1865)</f>
        <v>20</v>
      </c>
      <c r="T1865" s="35">
        <f>COUNT(F1865:R1865)</f>
        <v>3</v>
      </c>
      <c r="U1865" s="36">
        <f>IF(T1865&gt;=2,ROUND((IF(T1865=2,0.55,IF(T1865&lt;=4,0.7,IF(T1865&lt;=6,0.8,IF(T1865&lt;=9,0.9,1))))*(S1865/T1865)+(1-(IF(T1865=2,0.55,IF(T1865&lt;=4,0.7,IF(T1865&lt;=6,0.8,IF(T1865&lt;=9,0.9,1))))))*$Y$1),1),"")</f>
        <v>7.1</v>
      </c>
      <c r="V1865" s="37">
        <v>5.6</v>
      </c>
      <c r="W1865" s="38"/>
    </row>
    <row r="1866" ht="24" customHeight="1" spans="1:23" x14ac:dyDescent="0.25">
      <c r="A1866" s="31">
        <v>1795</v>
      </c>
      <c r="B1866" s="32" t="s">
        <v>1982</v>
      </c>
      <c r="C1866" s="33" t="s">
        <v>24</v>
      </c>
      <c r="D1866" s="34">
        <v>2008</v>
      </c>
      <c r="E1866" s="34" t="s">
        <v>48</v>
      </c>
      <c r="F1866" s="6"/>
      <c r="G1866" s="6"/>
      <c r="H1866" s="6">
        <v>7</v>
      </c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35">
        <f>SUM(F1866:R1866)</f>
        <v>7</v>
      </c>
      <c r="T1866" s="35">
        <f>COUNT(F1866:R1866)</f>
        <v>1</v>
      </c>
      <c r="U1866" s="36">
        <f>IF(T1866&gt;=2,ROUND((IF(T1866=2,0.55,IF(T1866&lt;=4,0.7,IF(T1866&lt;=6,0.8,IF(T1866&lt;=9,0.9,1))))*(S1866/T1866)+(1-(IF(T1866=2,0.55,IF(T1866&lt;=4,0.7,IF(T1866&lt;=6,0.8,IF(T1866&lt;=9,0.9,1))))))*$Y$1),1),"")</f>
      </c>
      <c r="V1866" s="37">
        <v>6.1</v>
      </c>
      <c r="W1866" s="38"/>
    </row>
    <row r="1867" ht="24" customHeight="1" spans="1:23" x14ac:dyDescent="0.25">
      <c r="A1867" s="31">
        <v>1666</v>
      </c>
      <c r="B1867" s="32" t="s">
        <v>1983</v>
      </c>
      <c r="C1867" s="33" t="s">
        <v>24</v>
      </c>
      <c r="D1867" s="34">
        <v>2023</v>
      </c>
      <c r="E1867" s="34" t="s">
        <v>30</v>
      </c>
      <c r="F1867" s="6">
        <v>8</v>
      </c>
      <c r="G1867" s="6">
        <v>7</v>
      </c>
      <c r="H1867" s="6"/>
      <c r="I1867" s="6">
        <v>8</v>
      </c>
      <c r="J1867" s="6">
        <v>8</v>
      </c>
      <c r="K1867" s="6"/>
      <c r="L1867" s="6">
        <v>7</v>
      </c>
      <c r="M1867" s="6">
        <v>8</v>
      </c>
      <c r="N1867" s="6"/>
      <c r="O1867" s="6">
        <v>8</v>
      </c>
      <c r="P1867" s="6">
        <v>6</v>
      </c>
      <c r="Q1867" s="6"/>
      <c r="R1867" s="6"/>
      <c r="S1867" s="35">
        <f>SUM(F1867:R1867)</f>
        <v>60</v>
      </c>
      <c r="T1867" s="35">
        <f>COUNT(F1867:R1867)</f>
        <v>8</v>
      </c>
      <c r="U1867" s="36">
        <f>IF(T1867&gt;=2,ROUND((IF(T1867=2,0.55,IF(T1867&lt;=4,0.7,IF(T1867&lt;=6,0.8,IF(T1867&lt;=9,0.9,1))))*(S1867/T1867)+(1-(IF(T1867=2,0.55,IF(T1867&lt;=4,0.7,IF(T1867&lt;=6,0.8,IF(T1867&lt;=9,0.9,1))))))*$Y$1),1),"")</f>
        <v>7.6</v>
      </c>
      <c r="V1867" s="37">
        <v>7.5</v>
      </c>
      <c r="W1867" s="38"/>
    </row>
    <row r="1868" ht="24" customHeight="1" spans="1:23" x14ac:dyDescent="0.25">
      <c r="A1868" s="31">
        <v>366</v>
      </c>
      <c r="B1868" s="32" t="s">
        <v>1984</v>
      </c>
      <c r="C1868" s="33" t="s">
        <v>24</v>
      </c>
      <c r="D1868" s="34">
        <v>2019</v>
      </c>
      <c r="E1868" s="34" t="s">
        <v>30</v>
      </c>
      <c r="F1868" s="6"/>
      <c r="G1868" s="6"/>
      <c r="H1868" s="6"/>
      <c r="I1868" s="6"/>
      <c r="J1868" s="6"/>
      <c r="K1868" s="6">
        <v>6</v>
      </c>
      <c r="L1868" s="6"/>
      <c r="M1868" s="6"/>
      <c r="N1868" s="6"/>
      <c r="O1868" s="6"/>
      <c r="P1868" s="6"/>
      <c r="Q1868" s="6">
        <v>6</v>
      </c>
      <c r="R1868" s="6">
        <v>8</v>
      </c>
      <c r="S1868" s="35">
        <f>SUM(F1868:R1868)</f>
        <v>20</v>
      </c>
      <c r="T1868" s="35">
        <f>COUNT(F1868:R1868)</f>
        <v>3</v>
      </c>
      <c r="U1868" s="36">
        <f>IF(T1868&gt;=2,ROUND((IF(T1868=2,0.55,IF(T1868&lt;=4,0.7,IF(T1868&lt;=6,0.8,IF(T1868&lt;=9,0.9,1))))*(S1868/T1868)+(1-(IF(T1868=2,0.55,IF(T1868&lt;=4,0.7,IF(T1868&lt;=6,0.8,IF(T1868&lt;=9,0.9,1))))))*$Y$1),1),"")</f>
        <v>7.1</v>
      </c>
      <c r="V1868" s="37">
        <v>5.7</v>
      </c>
      <c r="W1868" s="38"/>
    </row>
    <row r="1869" ht="24" customHeight="1" spans="1:23" x14ac:dyDescent="0.25">
      <c r="A1869" s="31">
        <v>2455</v>
      </c>
      <c r="B1869" s="32" t="s">
        <v>1985</v>
      </c>
      <c r="C1869" s="33" t="s">
        <v>29</v>
      </c>
      <c r="D1869" s="34">
        <v>2023</v>
      </c>
      <c r="E1869" s="41"/>
      <c r="F1869" s="6">
        <v>8</v>
      </c>
      <c r="G1869" s="6"/>
      <c r="H1869" s="6">
        <v>8</v>
      </c>
      <c r="I1869" s="6"/>
      <c r="J1869" s="6">
        <v>8</v>
      </c>
      <c r="K1869" s="6">
        <v>8</v>
      </c>
      <c r="L1869" s="6">
        <v>7</v>
      </c>
      <c r="M1869" s="6">
        <v>8</v>
      </c>
      <c r="N1869" s="6"/>
      <c r="O1869" s="6"/>
      <c r="P1869" s="6"/>
      <c r="Q1869" s="6">
        <v>8</v>
      </c>
      <c r="R1869" s="6"/>
      <c r="S1869" s="35">
        <f>SUM(F1869:R1869)</f>
        <v>55</v>
      </c>
      <c r="T1869" s="35">
        <f>COUNT(F1869:R1869)</f>
        <v>7</v>
      </c>
      <c r="U1869" s="36">
        <f>IF(T1869&gt;=2,ROUND((IF(T1869=2,0.55,IF(T1869&lt;=4,0.7,IF(T1869&lt;=6,0.8,IF(T1869&lt;=9,0.9,1))))*(S1869/T1869)+(1-(IF(T1869=2,0.55,IF(T1869&lt;=4,0.7,IF(T1869&lt;=6,0.8,IF(T1869&lt;=9,0.9,1))))))*$Y$1),1),"")</f>
        <v>7.9</v>
      </c>
      <c r="V1869" s="37">
        <v>7.5</v>
      </c>
      <c r="W1869" s="38"/>
    </row>
    <row r="1870" ht="24" customHeight="1" spans="1:23" x14ac:dyDescent="0.25">
      <c r="A1870" s="31">
        <v>1358</v>
      </c>
      <c r="B1870" s="32" t="s">
        <v>1986</v>
      </c>
      <c r="C1870" s="33" t="s">
        <v>24</v>
      </c>
      <c r="D1870" s="34">
        <v>2022</v>
      </c>
      <c r="E1870" s="34" t="s">
        <v>27</v>
      </c>
      <c r="F1870" s="6">
        <v>7</v>
      </c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35">
        <f>SUM(F1870:R1870)</f>
        <v>7</v>
      </c>
      <c r="T1870" s="35">
        <f>COUNT(F1870:R1870)</f>
        <v>1</v>
      </c>
      <c r="U1870" s="36">
        <f>IF(T1870&gt;=2,ROUND((IF(T1870=2,0.55,IF(T1870&lt;=4,0.7,IF(T1870&lt;=6,0.8,IF(T1870&lt;=9,0.9,1))))*(S1870/T1870)+(1-(IF(T1870=2,0.55,IF(T1870&lt;=4,0.7,IF(T1870&lt;=6,0.8,IF(T1870&lt;=9,0.9,1))))))*$Y$1),1),"")</f>
      </c>
      <c r="V1870" s="37">
        <v>6.8</v>
      </c>
      <c r="W1870" s="38"/>
    </row>
    <row r="1871" ht="24" customHeight="1" spans="1:23" x14ac:dyDescent="0.25">
      <c r="A1871" s="31">
        <v>675</v>
      </c>
      <c r="B1871" s="32" t="s">
        <v>1987</v>
      </c>
      <c r="C1871" s="33" t="s">
        <v>24</v>
      </c>
      <c r="D1871" s="34">
        <v>2015</v>
      </c>
      <c r="E1871" s="34" t="s">
        <v>27</v>
      </c>
      <c r="F1871" s="6">
        <v>6</v>
      </c>
      <c r="G1871" s="6"/>
      <c r="H1871" s="6"/>
      <c r="I1871" s="6"/>
      <c r="J1871" s="6"/>
      <c r="K1871" s="6"/>
      <c r="L1871" s="6">
        <v>8</v>
      </c>
      <c r="M1871" s="6"/>
      <c r="N1871" s="6"/>
      <c r="O1871" s="6"/>
      <c r="P1871" s="6"/>
      <c r="Q1871" s="6"/>
      <c r="R1871" s="6"/>
      <c r="S1871" s="35">
        <f>SUM(F1871:R1871)</f>
        <v>14</v>
      </c>
      <c r="T1871" s="35">
        <f>COUNT(F1871:R1871)</f>
        <v>2</v>
      </c>
      <c r="U1871" s="36">
        <f>IF(T1871&gt;=2,ROUND((IF(T1871=2,0.55,IF(T1871&lt;=4,0.7,IF(T1871&lt;=6,0.8,IF(T1871&lt;=9,0.9,1))))*(S1871/T1871)+(1-(IF(T1871=2,0.55,IF(T1871&lt;=4,0.7,IF(T1871&lt;=6,0.8,IF(T1871&lt;=9,0.9,1))))))*$Y$1),1),"")</f>
        <v>7.5</v>
      </c>
      <c r="V1871" s="37">
        <v>5.9</v>
      </c>
      <c r="W1871" s="38"/>
    </row>
    <row r="1872" ht="47.25" customHeight="1" spans="1:23" x14ac:dyDescent="0.25">
      <c r="A1872" s="31">
        <v>1727</v>
      </c>
      <c r="B1872" s="32" t="s">
        <v>1988</v>
      </c>
      <c r="C1872" s="33" t="s">
        <v>24</v>
      </c>
      <c r="D1872" s="34">
        <v>2023</v>
      </c>
      <c r="E1872" s="34" t="s">
        <v>25</v>
      </c>
      <c r="F1872" s="6"/>
      <c r="G1872" s="6"/>
      <c r="H1872" s="6"/>
      <c r="I1872" s="6"/>
      <c r="J1872" s="6"/>
      <c r="K1872" s="6">
        <v>8</v>
      </c>
      <c r="L1872" s="6"/>
      <c r="M1872" s="6"/>
      <c r="N1872" s="6"/>
      <c r="O1872" s="6"/>
      <c r="P1872" s="6"/>
      <c r="Q1872" s="6">
        <v>8</v>
      </c>
      <c r="R1872" s="6"/>
      <c r="S1872" s="35">
        <f>SUM(F1872:R1872)</f>
        <v>16</v>
      </c>
      <c r="T1872" s="35">
        <f>COUNT(F1872:R1872)</f>
        <v>2</v>
      </c>
      <c r="U1872" s="36">
        <f>IF(T1872&gt;=2,ROUND((IF(T1872=2,0.55,IF(T1872&lt;=4,0.7,IF(T1872&lt;=6,0.8,IF(T1872&lt;=9,0.9,1))))*(S1872/T1872)+(1-(IF(T1872=2,0.55,IF(T1872&lt;=4,0.7,IF(T1872&lt;=6,0.8,IF(T1872&lt;=9,0.9,1))))))*$Y$1),1),"")</f>
        <v>8</v>
      </c>
      <c r="V1872" s="37">
        <v>5.7</v>
      </c>
      <c r="W1872" s="38"/>
    </row>
    <row r="1873" ht="24" customHeight="1" spans="1:23" x14ac:dyDescent="0.25">
      <c r="A1873" s="31">
        <v>463</v>
      </c>
      <c r="B1873" s="32" t="s">
        <v>1989</v>
      </c>
      <c r="C1873" s="33" t="s">
        <v>24</v>
      </c>
      <c r="D1873" s="34">
        <v>2011</v>
      </c>
      <c r="E1873" s="34" t="s">
        <v>25</v>
      </c>
      <c r="F1873" s="6">
        <v>8</v>
      </c>
      <c r="G1873" s="6">
        <v>8</v>
      </c>
      <c r="H1873" s="6"/>
      <c r="I1873" s="6"/>
      <c r="J1873" s="6"/>
      <c r="K1873" s="6">
        <v>6</v>
      </c>
      <c r="L1873" s="6"/>
      <c r="M1873" s="6">
        <v>8</v>
      </c>
      <c r="N1873" s="6"/>
      <c r="O1873" s="6"/>
      <c r="P1873" s="6">
        <v>8</v>
      </c>
      <c r="Q1873" s="6">
        <v>6</v>
      </c>
      <c r="R1873" s="6"/>
      <c r="S1873" s="35">
        <f>SUM(F1873:R1873)</f>
        <v>44</v>
      </c>
      <c r="T1873" s="35">
        <f>COUNT(F1873:R1873)</f>
        <v>6</v>
      </c>
      <c r="U1873" s="36">
        <f>IF(T1873&gt;=2,ROUND((IF(T1873=2,0.55,IF(T1873&lt;=4,0.7,IF(T1873&lt;=6,0.8,IF(T1873&lt;=9,0.9,1))))*(S1873/T1873)+(1-(IF(T1873=2,0.55,IF(T1873&lt;=4,0.7,IF(T1873&lt;=6,0.8,IF(T1873&lt;=9,0.9,1))))))*$Y$1),1),"")</f>
        <v>7.5</v>
      </c>
      <c r="V1873" s="37">
        <v>7.4</v>
      </c>
      <c r="W1873" s="38"/>
    </row>
    <row r="1874" ht="24" customHeight="1" spans="1:23" x14ac:dyDescent="0.25">
      <c r="A1874" s="40">
        <v>2126</v>
      </c>
      <c r="B1874" s="32" t="s">
        <v>1990</v>
      </c>
      <c r="C1874" s="33" t="s">
        <v>24</v>
      </c>
      <c r="D1874" s="34">
        <v>2002</v>
      </c>
      <c r="E1874" s="41"/>
      <c r="F1874" s="6"/>
      <c r="G1874" s="6">
        <v>7</v>
      </c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35">
        <f>SUM(F1874:R1874)</f>
        <v>7</v>
      </c>
      <c r="T1874" s="35">
        <f>COUNT(F1874:R1874)</f>
        <v>1</v>
      </c>
      <c r="U1874" s="36">
        <f>IF(T1874&gt;=2,ROUND((IF(T1874=2,0.55,IF(T1874&lt;=4,0.7,IF(T1874&lt;=6,0.8,IF(T1874&lt;=9,0.9,1))))*(S1874/T1874)+(1-(IF(T1874=2,0.55,IF(T1874&lt;=4,0.7,IF(T1874&lt;=6,0.8,IF(T1874&lt;=9,0.9,1))))))*$Y$1),1),"")</f>
      </c>
      <c r="V1874" s="37">
        <v>6.2</v>
      </c>
      <c r="W1874" s="38"/>
    </row>
    <row r="1875" ht="47.25" customHeight="1" spans="1:23" x14ac:dyDescent="0.25">
      <c r="A1875" s="40">
        <v>2110</v>
      </c>
      <c r="B1875" s="32" t="s">
        <v>1991</v>
      </c>
      <c r="C1875" s="33" t="s">
        <v>24</v>
      </c>
      <c r="D1875" s="34">
        <v>2000</v>
      </c>
      <c r="E1875" s="41"/>
      <c r="F1875" s="6"/>
      <c r="G1875" s="6">
        <v>6</v>
      </c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35">
        <f>SUM(F1875:R1875)</f>
        <v>6</v>
      </c>
      <c r="T1875" s="35">
        <f>COUNT(F1875:R1875)</f>
        <v>1</v>
      </c>
      <c r="U1875" s="36">
        <f>IF(T1875&gt;=2,ROUND((IF(T1875=2,0.55,IF(T1875&lt;=4,0.7,IF(T1875&lt;=6,0.8,IF(T1875&lt;=9,0.9,1))))*(S1875/T1875)+(1-(IF(T1875=2,0.55,IF(T1875&lt;=4,0.7,IF(T1875&lt;=6,0.8,IF(T1875&lt;=9,0.9,1))))))*$Y$1),1),"")</f>
      </c>
      <c r="V1875" s="37">
        <v>8</v>
      </c>
      <c r="W1875" s="38"/>
    </row>
    <row r="1876" ht="24" customHeight="1" spans="1:23" x14ac:dyDescent="0.25">
      <c r="A1876" s="31">
        <v>18</v>
      </c>
      <c r="B1876" s="32" t="s">
        <v>1992</v>
      </c>
      <c r="C1876" s="33" t="s">
        <v>24</v>
      </c>
      <c r="D1876" s="34">
        <v>2017</v>
      </c>
      <c r="E1876" s="34" t="s">
        <v>30</v>
      </c>
      <c r="F1876" s="6"/>
      <c r="G1876" s="6"/>
      <c r="H1876" s="6">
        <v>8</v>
      </c>
      <c r="I1876" s="6"/>
      <c r="J1876" s="6">
        <v>8</v>
      </c>
      <c r="K1876" s="6">
        <v>8</v>
      </c>
      <c r="L1876" s="6">
        <v>9</v>
      </c>
      <c r="M1876" s="6">
        <v>8</v>
      </c>
      <c r="N1876" s="6">
        <v>6</v>
      </c>
      <c r="O1876" s="6"/>
      <c r="P1876" s="6"/>
      <c r="Q1876" s="6">
        <v>8</v>
      </c>
      <c r="R1876" s="6"/>
      <c r="S1876" s="35">
        <f>SUM(F1876:R1876)</f>
        <v>55</v>
      </c>
      <c r="T1876" s="35">
        <f>COUNT(F1876:R1876)</f>
        <v>7</v>
      </c>
      <c r="U1876" s="36">
        <f>IF(T1876&gt;=2,ROUND((IF(T1876=2,0.55,IF(T1876&lt;=4,0.7,IF(T1876&lt;=6,0.8,IF(T1876&lt;=9,0.9,1))))*(S1876/T1876)+(1-(IF(T1876=2,0.55,IF(T1876&lt;=4,0.7,IF(T1876&lt;=6,0.8,IF(T1876&lt;=9,0.9,1))))))*$Y$1),1),"")</f>
        <v>7.9</v>
      </c>
      <c r="V1876" s="37">
        <v>6.2</v>
      </c>
      <c r="W1876" s="38"/>
    </row>
    <row r="1877" ht="24" customHeight="1" spans="1:23" x14ac:dyDescent="0.25">
      <c r="A1877" s="31">
        <v>17</v>
      </c>
      <c r="B1877" s="32" t="s">
        <v>1993</v>
      </c>
      <c r="C1877" s="33" t="s">
        <v>24</v>
      </c>
      <c r="D1877" s="34">
        <v>2012</v>
      </c>
      <c r="E1877" s="34" t="s">
        <v>1994</v>
      </c>
      <c r="F1877" s="6">
        <v>8</v>
      </c>
      <c r="G1877" s="6">
        <v>8</v>
      </c>
      <c r="H1877" s="6">
        <v>10</v>
      </c>
      <c r="I1877" s="6"/>
      <c r="J1877" s="6">
        <v>10</v>
      </c>
      <c r="K1877" s="6">
        <v>8</v>
      </c>
      <c r="L1877" s="6">
        <v>8</v>
      </c>
      <c r="M1877" s="6"/>
      <c r="N1877" s="6">
        <v>6</v>
      </c>
      <c r="O1877" s="6"/>
      <c r="P1877" s="6">
        <v>8</v>
      </c>
      <c r="Q1877" s="6">
        <v>8</v>
      </c>
      <c r="R1877" s="6"/>
      <c r="S1877" s="35">
        <f>SUM(F1877:R1877)</f>
        <v>74</v>
      </c>
      <c r="T1877" s="35">
        <f>COUNT(F1877:R1877)</f>
        <v>9</v>
      </c>
      <c r="U1877" s="36">
        <f>IF(T1877&gt;=2,ROUND((IF(T1877=2,0.55,IF(T1877&lt;=4,0.7,IF(T1877&lt;=6,0.8,IF(T1877&lt;=9,0.9,1))))*(S1877/T1877)+(1-(IF(T1877=2,0.55,IF(T1877&lt;=4,0.7,IF(T1877&lt;=6,0.8,IF(T1877&lt;=9,0.9,1))))))*$Y$1),1),"")</f>
        <v>8.2</v>
      </c>
      <c r="V1877" s="37">
        <v>7.9</v>
      </c>
      <c r="W1877" s="38"/>
    </row>
    <row r="1878" ht="47.25" customHeight="1" spans="1:23" x14ac:dyDescent="0.25">
      <c r="A1878" s="31">
        <v>1877</v>
      </c>
      <c r="B1878" s="32" t="s">
        <v>1995</v>
      </c>
      <c r="C1878" s="33" t="s">
        <v>24</v>
      </c>
      <c r="D1878" s="34">
        <v>2020</v>
      </c>
      <c r="E1878" s="34" t="s">
        <v>48</v>
      </c>
      <c r="F1878" s="6">
        <v>8</v>
      </c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35">
        <f>SUM(F1878:R1878)</f>
        <v>8</v>
      </c>
      <c r="T1878" s="35">
        <f>COUNT(F1878:R1878)</f>
        <v>1</v>
      </c>
      <c r="U1878" s="36">
        <f>IF(T1878&gt;=2,ROUND((IF(T1878=2,0.55,IF(T1878&lt;=4,0.7,IF(T1878&lt;=6,0.8,IF(T1878&lt;=9,0.9,1))))*(S1878/T1878)+(1-(IF(T1878=2,0.55,IF(T1878&lt;=4,0.7,IF(T1878&lt;=6,0.8,IF(T1878&lt;=9,0.9,1))))))*$Y$1),1),"")</f>
      </c>
      <c r="V1878" s="37">
        <v>6.5</v>
      </c>
      <c r="W1878" s="38"/>
    </row>
    <row r="1879" ht="24" customHeight="1" spans="1:23" x14ac:dyDescent="0.25">
      <c r="A1879" s="31">
        <v>1188</v>
      </c>
      <c r="B1879" s="32" t="s">
        <v>1996</v>
      </c>
      <c r="C1879" s="33" t="s">
        <v>24</v>
      </c>
      <c r="D1879" s="34">
        <v>2016</v>
      </c>
      <c r="E1879" s="34" t="s">
        <v>30</v>
      </c>
      <c r="F1879" s="6">
        <v>6</v>
      </c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35">
        <f>SUM(F1879:R1879)</f>
        <v>6</v>
      </c>
      <c r="T1879" s="35">
        <f>COUNT(F1879:R1879)</f>
        <v>1</v>
      </c>
      <c r="U1879" s="36">
        <f>IF(T1879&gt;=2,ROUND((IF(T1879=2,0.55,IF(T1879&lt;=4,0.7,IF(T1879&lt;=6,0.8,IF(T1879&lt;=9,0.9,1))))*(S1879/T1879)+(1-(IF(T1879=2,0.55,IF(T1879&lt;=4,0.7,IF(T1879&lt;=6,0.8,IF(T1879&lt;=9,0.9,1))))))*$Y$1),1),"")</f>
      </c>
      <c r="V1879" s="37">
        <v>7.3</v>
      </c>
      <c r="W1879" s="38"/>
    </row>
    <row r="1880" ht="47.25" customHeight="1" spans="1:23" x14ac:dyDescent="0.25">
      <c r="A1880" s="47">
        <v>1102</v>
      </c>
      <c r="B1880" s="32" t="s">
        <v>1997</v>
      </c>
      <c r="C1880" s="48" t="s">
        <v>24</v>
      </c>
      <c r="D1880" s="49">
        <v>1997</v>
      </c>
      <c r="E1880" s="49" t="s">
        <v>1998</v>
      </c>
      <c r="F1880" s="6">
        <v>8</v>
      </c>
      <c r="G1880" s="6">
        <v>7</v>
      </c>
      <c r="H1880" s="6"/>
      <c r="I1880" s="6"/>
      <c r="J1880" s="6"/>
      <c r="K1880" s="6"/>
      <c r="L1880" s="6"/>
      <c r="M1880" s="6"/>
      <c r="N1880" s="6">
        <v>10</v>
      </c>
      <c r="O1880" s="6">
        <v>8</v>
      </c>
      <c r="P1880" s="6">
        <v>8</v>
      </c>
      <c r="Q1880" s="6"/>
      <c r="R1880" s="6"/>
      <c r="S1880" s="35">
        <f>SUM(F1880:R1880)</f>
        <v>41</v>
      </c>
      <c r="T1880" s="35">
        <f>COUNT(F1880:R1880)</f>
        <v>5</v>
      </c>
      <c r="U1880" s="36">
        <f>IF(T1880&gt;=2,ROUND((IF(T1880=2,0.55,IF(T1880&lt;=4,0.7,IF(T1880&lt;=6,0.8,IF(T1880&lt;=9,0.9,1))))*(S1880/T1880)+(1-(IF(T1880=2,0.55,IF(T1880&lt;=4,0.7,IF(T1880&lt;=6,0.8,IF(T1880&lt;=9,0.9,1))))))*$Y$1),1),"")</f>
        <v>8.2</v>
      </c>
      <c r="V1880" s="37">
        <v>7.3</v>
      </c>
      <c r="W1880" s="38" t="s">
        <v>44</v>
      </c>
    </row>
    <row r="1881" ht="24" customHeight="1" spans="1:23" x14ac:dyDescent="0.25">
      <c r="A1881" s="31">
        <v>854</v>
      </c>
      <c r="B1881" s="32" t="s">
        <v>1999</v>
      </c>
      <c r="C1881" s="33" t="s">
        <v>29</v>
      </c>
      <c r="D1881" s="34">
        <v>2017</v>
      </c>
      <c r="E1881" s="34" t="s">
        <v>27</v>
      </c>
      <c r="F1881" s="6"/>
      <c r="G1881" s="6"/>
      <c r="H1881" s="6"/>
      <c r="I1881" s="6">
        <v>8</v>
      </c>
      <c r="J1881" s="6"/>
      <c r="K1881" s="6"/>
      <c r="L1881" s="6">
        <v>8</v>
      </c>
      <c r="M1881" s="6"/>
      <c r="N1881" s="6"/>
      <c r="O1881" s="6"/>
      <c r="P1881" s="6"/>
      <c r="Q1881" s="6"/>
      <c r="R1881" s="6"/>
      <c r="S1881" s="35">
        <f>SUM(F1881:R1881)</f>
        <v>16</v>
      </c>
      <c r="T1881" s="35">
        <f>COUNT(F1881:R1881)</f>
        <v>2</v>
      </c>
      <c r="U1881" s="36">
        <f>IF(T1881&gt;=2,ROUND((IF(T1881=2,0.55,IF(T1881&lt;=4,0.7,IF(T1881&lt;=6,0.8,IF(T1881&lt;=9,0.9,1))))*(S1881/T1881)+(1-(IF(T1881=2,0.55,IF(T1881&lt;=4,0.7,IF(T1881&lt;=6,0.8,IF(T1881&lt;=9,0.9,1))))))*$Y$1),1),"")</f>
        <v>8</v>
      </c>
      <c r="V1881" s="37">
        <v>7.5</v>
      </c>
      <c r="W1881" s="38"/>
    </row>
    <row r="1882" ht="24" customHeight="1" spans="1:23" x14ac:dyDescent="0.25">
      <c r="A1882" s="31">
        <v>1744</v>
      </c>
      <c r="B1882" s="32" t="s">
        <v>2000</v>
      </c>
      <c r="C1882" s="33" t="s">
        <v>24</v>
      </c>
      <c r="D1882" s="34">
        <v>2023</v>
      </c>
      <c r="E1882" s="34" t="s">
        <v>25</v>
      </c>
      <c r="F1882" s="6">
        <v>8</v>
      </c>
      <c r="G1882" s="6"/>
      <c r="H1882" s="6"/>
      <c r="I1882" s="6"/>
      <c r="J1882" s="6"/>
      <c r="K1882" s="6">
        <v>8</v>
      </c>
      <c r="L1882" s="6"/>
      <c r="M1882" s="6"/>
      <c r="N1882" s="6"/>
      <c r="O1882" s="6">
        <v>8</v>
      </c>
      <c r="P1882" s="6"/>
      <c r="Q1882" s="6">
        <v>8</v>
      </c>
      <c r="R1882" s="6"/>
      <c r="S1882" s="35">
        <f>SUM(F1882:R1882)</f>
        <v>32</v>
      </c>
      <c r="T1882" s="35">
        <f>COUNT(F1882:R1882)</f>
        <v>4</v>
      </c>
      <c r="U1882" s="36">
        <f>IF(T1882&gt;=2,ROUND((IF(T1882=2,0.55,IF(T1882&lt;=4,0.7,IF(T1882&lt;=6,0.8,IF(T1882&lt;=9,0.9,1))))*(S1882/T1882)+(1-(IF(T1882=2,0.55,IF(T1882&lt;=4,0.7,IF(T1882&lt;=6,0.8,IF(T1882&lt;=9,0.9,1))))))*$Y$1),1),"")</f>
        <v>8</v>
      </c>
      <c r="V1882" s="37">
        <v>7.5</v>
      </c>
      <c r="W1882" s="38"/>
    </row>
    <row r="1883" ht="24" customHeight="1" spans="1:23" x14ac:dyDescent="0.25">
      <c r="A1883" s="31">
        <v>1579</v>
      </c>
      <c r="B1883" s="32" t="s">
        <v>2001</v>
      </c>
      <c r="C1883" s="33" t="s">
        <v>29</v>
      </c>
      <c r="D1883" s="34">
        <v>2014</v>
      </c>
      <c r="E1883" s="34" t="s">
        <v>27</v>
      </c>
      <c r="F1883" s="6"/>
      <c r="G1883" s="6"/>
      <c r="H1883" s="6">
        <v>8</v>
      </c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35">
        <f>SUM(F1883:R1883)</f>
        <v>8</v>
      </c>
      <c r="T1883" s="35">
        <f>COUNT(F1883:R1883)</f>
        <v>1</v>
      </c>
      <c r="U1883" s="36">
        <f>IF(T1883&gt;=2,ROUND((IF(T1883=2,0.55,IF(T1883&lt;=4,0.7,IF(T1883&lt;=6,0.8,IF(T1883&lt;=9,0.9,1))))*(S1883/T1883)+(1-(IF(T1883=2,0.55,IF(T1883&lt;=4,0.7,IF(T1883&lt;=6,0.8,IF(T1883&lt;=9,0.9,1))))))*$Y$1),1),"")</f>
      </c>
      <c r="V1883" s="37">
        <v>6.7</v>
      </c>
      <c r="W1883" s="38"/>
    </row>
    <row r="1884" ht="24" customHeight="1" spans="1:23" x14ac:dyDescent="0.25">
      <c r="A1884" s="31">
        <v>1461</v>
      </c>
      <c r="B1884" s="32" t="s">
        <v>2002</v>
      </c>
      <c r="C1884" s="33" t="s">
        <v>29</v>
      </c>
      <c r="D1884" s="34">
        <v>2019</v>
      </c>
      <c r="E1884" s="34" t="s">
        <v>69</v>
      </c>
      <c r="F1884" s="6">
        <v>6</v>
      </c>
      <c r="G1884" s="6"/>
      <c r="H1884" s="6">
        <v>8</v>
      </c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35">
        <f>SUM(F1884:R1884)</f>
        <v>14</v>
      </c>
      <c r="T1884" s="35">
        <f>COUNT(F1884:R1884)</f>
        <v>2</v>
      </c>
      <c r="U1884" s="36">
        <f>IF(T1884&gt;=2,ROUND((IF(T1884=2,0.55,IF(T1884&lt;=4,0.7,IF(T1884&lt;=6,0.8,IF(T1884&lt;=9,0.9,1))))*(S1884/T1884)+(1-(IF(T1884=2,0.55,IF(T1884&lt;=4,0.7,IF(T1884&lt;=6,0.8,IF(T1884&lt;=9,0.9,1))))))*$Y$1),1),"")</f>
        <v>7.5</v>
      </c>
      <c r="V1884" s="37">
        <v>7.1</v>
      </c>
      <c r="W1884" s="38"/>
    </row>
    <row r="1885" ht="24" customHeight="1" spans="1:23" x14ac:dyDescent="0.25">
      <c r="A1885" s="31">
        <v>333</v>
      </c>
      <c r="B1885" s="32" t="s">
        <v>2003</v>
      </c>
      <c r="C1885" s="33" t="s">
        <v>24</v>
      </c>
      <c r="D1885" s="34">
        <v>1980</v>
      </c>
      <c r="E1885" s="34" t="s">
        <v>30</v>
      </c>
      <c r="F1885" s="6"/>
      <c r="G1885" s="6"/>
      <c r="H1885" s="6"/>
      <c r="I1885" s="6"/>
      <c r="J1885" s="6"/>
      <c r="K1885" s="6">
        <v>8</v>
      </c>
      <c r="L1885" s="6"/>
      <c r="M1885" s="6"/>
      <c r="N1885" s="6">
        <v>10</v>
      </c>
      <c r="O1885" s="6"/>
      <c r="P1885" s="6"/>
      <c r="Q1885" s="6">
        <v>8</v>
      </c>
      <c r="R1885" s="6">
        <v>8</v>
      </c>
      <c r="S1885" s="35">
        <f>SUM(F1885:R1885)</f>
        <v>34</v>
      </c>
      <c r="T1885" s="35">
        <f>COUNT(F1885:R1885)</f>
        <v>4</v>
      </c>
      <c r="U1885" s="36">
        <f>IF(T1885&gt;=2,ROUND((IF(T1885=2,0.55,IF(T1885&lt;=4,0.7,IF(T1885&lt;=6,0.8,IF(T1885&lt;=9,0.9,1))))*(S1885/T1885)+(1-(IF(T1885=2,0.55,IF(T1885&lt;=4,0.7,IF(T1885&lt;=6,0.8,IF(T1885&lt;=9,0.9,1))))))*$Y$1),1),"")</f>
        <v>8.4</v>
      </c>
      <c r="V1885" s="37">
        <v>7.3</v>
      </c>
      <c r="W1885" s="38"/>
    </row>
    <row r="1886" ht="24" customHeight="1" spans="1:23" x14ac:dyDescent="0.25">
      <c r="A1886" s="31">
        <v>461</v>
      </c>
      <c r="B1886" s="32" t="s">
        <v>2004</v>
      </c>
      <c r="C1886" s="33" t="s">
        <v>24</v>
      </c>
      <c r="D1886" s="34">
        <v>1973</v>
      </c>
      <c r="E1886" s="34" t="s">
        <v>179</v>
      </c>
      <c r="F1886" s="6"/>
      <c r="G1886" s="6">
        <v>8</v>
      </c>
      <c r="H1886" s="6"/>
      <c r="I1886" s="6"/>
      <c r="J1886" s="6"/>
      <c r="K1886" s="6"/>
      <c r="L1886" s="6"/>
      <c r="M1886" s="6"/>
      <c r="N1886" s="6"/>
      <c r="O1886" s="6"/>
      <c r="P1886" s="6">
        <v>8</v>
      </c>
      <c r="Q1886" s="6"/>
      <c r="R1886" s="6"/>
      <c r="S1886" s="35">
        <f>SUM(F1886:R1886)</f>
        <v>16</v>
      </c>
      <c r="T1886" s="35">
        <f>COUNT(F1886:R1886)</f>
        <v>2</v>
      </c>
      <c r="U1886" s="36">
        <f>IF(T1886&gt;=2,ROUND((IF(T1886=2,0.55,IF(T1886&lt;=4,0.7,IF(T1886&lt;=6,0.8,IF(T1886&lt;=9,0.9,1))))*(S1886/T1886)+(1-(IF(T1886=2,0.55,IF(T1886&lt;=4,0.7,IF(T1886&lt;=6,0.8,IF(T1886&lt;=9,0.9,1))))))*$Y$1),1),"")</f>
        <v>8</v>
      </c>
      <c r="V1886" s="37">
        <v>7.8</v>
      </c>
      <c r="W1886" s="38"/>
    </row>
    <row r="1887" ht="24" customHeight="1" spans="1:23" x14ac:dyDescent="0.25">
      <c r="A1887" s="31">
        <v>188</v>
      </c>
      <c r="B1887" s="32" t="s">
        <v>2005</v>
      </c>
      <c r="C1887" s="33" t="s">
        <v>24</v>
      </c>
      <c r="D1887" s="34">
        <v>2008</v>
      </c>
      <c r="E1887" s="34" t="s">
        <v>931</v>
      </c>
      <c r="F1887" s="6"/>
      <c r="G1887" s="6">
        <v>7</v>
      </c>
      <c r="H1887" s="6">
        <v>7</v>
      </c>
      <c r="I1887" s="6"/>
      <c r="J1887" s="6">
        <v>6</v>
      </c>
      <c r="K1887" s="6">
        <v>4</v>
      </c>
      <c r="L1887" s="6">
        <v>6</v>
      </c>
      <c r="M1887" s="6"/>
      <c r="N1887" s="6"/>
      <c r="O1887" s="6"/>
      <c r="P1887" s="6">
        <v>8</v>
      </c>
      <c r="Q1887" s="6">
        <v>4</v>
      </c>
      <c r="R1887" s="6"/>
      <c r="S1887" s="35">
        <f>SUM(F1887:R1887)</f>
        <v>42</v>
      </c>
      <c r="T1887" s="35">
        <f>COUNT(F1887:R1887)</f>
        <v>7</v>
      </c>
      <c r="U1887" s="36">
        <f>IF(T1887&gt;=2,ROUND((IF(T1887=2,0.55,IF(T1887&lt;=4,0.7,IF(T1887&lt;=6,0.8,IF(T1887&lt;=9,0.9,1))))*(S1887/T1887)+(1-(IF(T1887=2,0.55,IF(T1887&lt;=4,0.7,IF(T1887&lt;=6,0.8,IF(T1887&lt;=9,0.9,1))))))*$Y$1),1),"")</f>
        <v>6.2</v>
      </c>
      <c r="V1887" s="37">
        <v>7</v>
      </c>
      <c r="W1887" s="38"/>
    </row>
    <row r="1888" ht="24" customHeight="1" spans="1:23" x14ac:dyDescent="0.25">
      <c r="A1888" s="40">
        <v>2295</v>
      </c>
      <c r="B1888" s="32" t="s">
        <v>2006</v>
      </c>
      <c r="C1888" s="33" t="s">
        <v>24</v>
      </c>
      <c r="D1888" s="34">
        <v>2013</v>
      </c>
      <c r="E1888" s="41"/>
      <c r="F1888" s="6"/>
      <c r="G1888" s="6">
        <v>8</v>
      </c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35">
        <f>SUM(F1888:R1888)</f>
        <v>8</v>
      </c>
      <c r="T1888" s="35">
        <f>COUNT(F1888:R1888)</f>
        <v>1</v>
      </c>
      <c r="U1888" s="36">
        <f>IF(T1888&gt;=2,ROUND((IF(T1888=2,0.55,IF(T1888&lt;=4,0.7,IF(T1888&lt;=6,0.8,IF(T1888&lt;=9,0.9,1))))*(S1888/T1888)+(1-(IF(T1888=2,0.55,IF(T1888&lt;=4,0.7,IF(T1888&lt;=6,0.8,IF(T1888&lt;=9,0.9,1))))))*$Y$1),1),"")</f>
      </c>
      <c r="V1888" s="37">
        <v>6.2</v>
      </c>
      <c r="W1888" s="38"/>
    </row>
    <row r="1889" ht="24" customHeight="1" spans="1:23" x14ac:dyDescent="0.25">
      <c r="A1889" s="31">
        <v>1149</v>
      </c>
      <c r="B1889" s="32" t="s">
        <v>2007</v>
      </c>
      <c r="C1889" s="33" t="s">
        <v>24</v>
      </c>
      <c r="D1889" s="34">
        <v>2021</v>
      </c>
      <c r="E1889" s="34" t="s">
        <v>30</v>
      </c>
      <c r="F1889" s="6"/>
      <c r="G1889" s="6"/>
      <c r="H1889" s="6"/>
      <c r="I1889" s="6"/>
      <c r="J1889" s="6">
        <v>6</v>
      </c>
      <c r="K1889" s="6"/>
      <c r="L1889" s="6"/>
      <c r="M1889" s="6"/>
      <c r="N1889" s="6"/>
      <c r="O1889" s="6"/>
      <c r="P1889" s="6"/>
      <c r="Q1889" s="6"/>
      <c r="R1889" s="6"/>
      <c r="S1889" s="35">
        <f>SUM(F1889:R1889)</f>
        <v>6</v>
      </c>
      <c r="T1889" s="35">
        <f>COUNT(F1889:R1889)</f>
        <v>1</v>
      </c>
      <c r="U1889" s="36">
        <f>IF(T1889&gt;=2,ROUND((IF(T1889=2,0.55,IF(T1889&lt;=4,0.7,IF(T1889&lt;=6,0.8,IF(T1889&lt;=9,0.9,1))))*(S1889/T1889)+(1-(IF(T1889=2,0.55,IF(T1889&lt;=4,0.7,IF(T1889&lt;=6,0.8,IF(T1889&lt;=9,0.9,1))))))*$Y$1),1),"")</f>
      </c>
      <c r="V1889" s="37">
        <v>7</v>
      </c>
      <c r="W1889" s="38"/>
    </row>
    <row r="1890" ht="47.25" customHeight="1" spans="1:23" x14ac:dyDescent="0.25">
      <c r="A1890" s="31">
        <v>5</v>
      </c>
      <c r="B1890" s="32" t="s">
        <v>2008</v>
      </c>
      <c r="C1890" s="33" t="s">
        <v>24</v>
      </c>
      <c r="D1890" s="34">
        <v>1984</v>
      </c>
      <c r="E1890" s="34" t="s">
        <v>25</v>
      </c>
      <c r="F1890" s="6">
        <v>9</v>
      </c>
      <c r="G1890" s="6">
        <v>9</v>
      </c>
      <c r="H1890" s="6">
        <v>10</v>
      </c>
      <c r="I1890" s="6">
        <v>10</v>
      </c>
      <c r="J1890" s="6">
        <v>10</v>
      </c>
      <c r="K1890" s="6">
        <v>10</v>
      </c>
      <c r="L1890" s="6">
        <v>10</v>
      </c>
      <c r="M1890" s="6">
        <v>10</v>
      </c>
      <c r="N1890" s="6">
        <v>10</v>
      </c>
      <c r="O1890" s="6">
        <v>8</v>
      </c>
      <c r="P1890" s="6">
        <v>8</v>
      </c>
      <c r="Q1890" s="6">
        <v>10</v>
      </c>
      <c r="R1890" s="6"/>
      <c r="S1890" s="35">
        <f>SUM(F1890:R1890)</f>
        <v>114</v>
      </c>
      <c r="T1890" s="35">
        <f>COUNT(F1890:R1890)</f>
        <v>12</v>
      </c>
      <c r="U1890" s="36">
        <f>IF(T1890&gt;=2,ROUND((IF(T1890=2,0.55,IF(T1890&lt;=4,0.7,IF(T1890&lt;=6,0.8,IF(T1890&lt;=9,0.9,1))))*(S1890/T1890)+(1-(IF(T1890=2,0.55,IF(T1890&lt;=4,0.7,IF(T1890&lt;=6,0.8,IF(T1890&lt;=9,0.9,1))))))*$Y$1),1),"")</f>
        <v>9.5</v>
      </c>
      <c r="V1890" s="37">
        <v>8.4</v>
      </c>
      <c r="W1890" s="38"/>
    </row>
    <row r="1891" ht="24" customHeight="1" spans="1:23" x14ac:dyDescent="0.25">
      <c r="A1891" s="40">
        <v>2071</v>
      </c>
      <c r="B1891" s="32" t="s">
        <v>2009</v>
      </c>
      <c r="C1891" s="33" t="s">
        <v>24</v>
      </c>
      <c r="D1891" s="34">
        <v>1969</v>
      </c>
      <c r="E1891" s="41"/>
      <c r="F1891" s="6"/>
      <c r="G1891" s="6">
        <v>8</v>
      </c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35">
        <f>SUM(F1891:R1891)</f>
        <v>8</v>
      </c>
      <c r="T1891" s="35">
        <f>COUNT(F1891:R1891)</f>
        <v>1</v>
      </c>
      <c r="U1891" s="36">
        <f>IF(T1891&gt;=2,ROUND((IF(T1891=2,0.55,IF(T1891&lt;=4,0.7,IF(T1891&lt;=6,0.8,IF(T1891&lt;=9,0.9,1))))*(S1891/T1891)+(1-(IF(T1891=2,0.55,IF(T1891&lt;=4,0.7,IF(T1891&lt;=6,0.8,IF(T1891&lt;=9,0.9,1))))))*$Y$1),1),"")</f>
      </c>
      <c r="V1891" s="37">
        <v>7.1</v>
      </c>
      <c r="W1891" s="38"/>
    </row>
    <row r="1892" ht="24" customHeight="1" spans="1:23" x14ac:dyDescent="0.25">
      <c r="A1892" s="31">
        <v>985</v>
      </c>
      <c r="B1892" s="32" t="s">
        <v>2010</v>
      </c>
      <c r="C1892" s="33" t="s">
        <v>29</v>
      </c>
      <c r="D1892" s="34">
        <v>2021</v>
      </c>
      <c r="E1892" s="34" t="s">
        <v>106</v>
      </c>
      <c r="F1892" s="6"/>
      <c r="G1892" s="6"/>
      <c r="H1892" s="6"/>
      <c r="I1892" s="6"/>
      <c r="J1892" s="6"/>
      <c r="K1892" s="6"/>
      <c r="L1892" s="6">
        <v>10</v>
      </c>
      <c r="M1892" s="6"/>
      <c r="N1892" s="6"/>
      <c r="O1892" s="6"/>
      <c r="P1892" s="6"/>
      <c r="Q1892" s="6"/>
      <c r="R1892" s="6"/>
      <c r="S1892" s="35">
        <f>SUM(F1892:R1892)</f>
        <v>10</v>
      </c>
      <c r="T1892" s="35">
        <f>COUNT(F1892:R1892)</f>
        <v>1</v>
      </c>
      <c r="U1892" s="36">
        <f>IF(T1892&gt;=2,ROUND((IF(T1892=2,0.55,IF(T1892&lt;=4,0.7,IF(T1892&lt;=6,0.8,IF(T1892&lt;=9,0.9,1))))*(S1892/T1892)+(1-(IF(T1892=2,0.55,IF(T1892&lt;=4,0.7,IF(T1892&lt;=6,0.8,IF(T1892&lt;=9,0.9,1))))))*$Y$1),1),"")</f>
      </c>
      <c r="V1892" s="37">
        <v>6.7</v>
      </c>
      <c r="W1892" s="38"/>
    </row>
    <row r="1893" ht="24" customHeight="1" spans="1:23" x14ac:dyDescent="0.25">
      <c r="A1893" s="40">
        <v>2405</v>
      </c>
      <c r="B1893" s="32" t="s">
        <v>2011</v>
      </c>
      <c r="C1893" s="33" t="s">
        <v>24</v>
      </c>
      <c r="D1893" s="34">
        <v>2025</v>
      </c>
      <c r="E1893" s="41"/>
      <c r="F1893" s="6">
        <v>8</v>
      </c>
      <c r="G1893" s="6"/>
      <c r="H1893" s="6"/>
      <c r="I1893" s="6">
        <v>8</v>
      </c>
      <c r="J1893" s="6">
        <v>8</v>
      </c>
      <c r="K1893" s="6">
        <v>8</v>
      </c>
      <c r="L1893" s="6">
        <v>8</v>
      </c>
      <c r="M1893" s="6">
        <v>8</v>
      </c>
      <c r="N1893" s="6"/>
      <c r="O1893" s="6">
        <v>8</v>
      </c>
      <c r="P1893" s="6"/>
      <c r="Q1893" s="6">
        <v>8</v>
      </c>
      <c r="R1893" s="6"/>
      <c r="S1893" s="35">
        <f>SUM(F1893:R1893)</f>
        <v>64</v>
      </c>
      <c r="T1893" s="35">
        <f>COUNT(F1893:R1893)</f>
        <v>8</v>
      </c>
      <c r="U1893" s="36">
        <f>IF(T1893&gt;=2,ROUND((IF(T1893=2,0.55,IF(T1893&lt;=4,0.7,IF(T1893&lt;=6,0.8,IF(T1893&lt;=9,0.9,1))))*(S1893/T1893)+(1-(IF(T1893=2,0.55,IF(T1893&lt;=4,0.7,IF(T1893&lt;=6,0.8,IF(T1893&lt;=9,0.9,1))))))*$Y$1),1),"")</f>
        <v>8</v>
      </c>
      <c r="V1893" s="37">
        <v>7.5</v>
      </c>
      <c r="W1893" s="38"/>
    </row>
    <row r="1894" ht="24" customHeight="1" spans="1:23" x14ac:dyDescent="0.25">
      <c r="A1894" s="31">
        <v>1383</v>
      </c>
      <c r="B1894" s="32" t="s">
        <v>2012</v>
      </c>
      <c r="C1894" s="33" t="s">
        <v>29</v>
      </c>
      <c r="D1894" s="34">
        <v>2017</v>
      </c>
      <c r="E1894" s="34" t="s">
        <v>30</v>
      </c>
      <c r="F1894" s="6"/>
      <c r="G1894" s="6"/>
      <c r="H1894" s="6">
        <v>7</v>
      </c>
      <c r="I1894" s="6"/>
      <c r="J1894" s="6"/>
      <c r="K1894" s="6"/>
      <c r="L1894" s="6"/>
      <c r="M1894" s="6"/>
      <c r="N1894" s="6"/>
      <c r="O1894" s="6">
        <v>7</v>
      </c>
      <c r="P1894" s="6"/>
      <c r="Q1894" s="6"/>
      <c r="R1894" s="6"/>
      <c r="S1894" s="35">
        <f>SUM(F1894:R1894)</f>
        <v>14</v>
      </c>
      <c r="T1894" s="35">
        <f>COUNT(F1894:R1894)</f>
        <v>2</v>
      </c>
      <c r="U1894" s="36">
        <f>IF(T1894&gt;=2,ROUND((IF(T1894=2,0.55,IF(T1894&lt;=4,0.7,IF(T1894&lt;=6,0.8,IF(T1894&lt;=9,0.9,1))))*(S1894/T1894)+(1-(IF(T1894=2,0.55,IF(T1894&lt;=4,0.7,IF(T1894&lt;=6,0.8,IF(T1894&lt;=9,0.9,1))))))*$Y$1),1),"")</f>
        <v>7.5</v>
      </c>
      <c r="V1894" s="37">
        <v>7.6</v>
      </c>
      <c r="W1894" s="38"/>
    </row>
    <row r="1895" ht="47.25" customHeight="1" spans="1:23" x14ac:dyDescent="0.25">
      <c r="A1895" s="31">
        <v>1507</v>
      </c>
      <c r="B1895" s="32" t="s">
        <v>2013</v>
      </c>
      <c r="C1895" s="33" t="s">
        <v>24</v>
      </c>
      <c r="D1895" s="34">
        <v>2016</v>
      </c>
      <c r="E1895" s="34" t="s">
        <v>30</v>
      </c>
      <c r="F1895" s="6"/>
      <c r="G1895" s="6"/>
      <c r="H1895" s="6"/>
      <c r="I1895" s="6"/>
      <c r="J1895" s="6">
        <v>8</v>
      </c>
      <c r="K1895" s="6"/>
      <c r="L1895" s="6"/>
      <c r="M1895" s="6">
        <v>8</v>
      </c>
      <c r="N1895" s="6"/>
      <c r="O1895" s="6"/>
      <c r="P1895" s="6"/>
      <c r="Q1895" s="6"/>
      <c r="R1895" s="6"/>
      <c r="S1895" s="35">
        <f>SUM(F1895:R1895)</f>
        <v>16</v>
      </c>
      <c r="T1895" s="35">
        <f>COUNT(F1895:R1895)</f>
        <v>2</v>
      </c>
      <c r="U1895" s="36">
        <f>IF(T1895&gt;=2,ROUND((IF(T1895=2,0.55,IF(T1895&lt;=4,0.7,IF(T1895&lt;=6,0.8,IF(T1895&lt;=9,0.9,1))))*(S1895/T1895)+(1-(IF(T1895=2,0.55,IF(T1895&lt;=4,0.7,IF(T1895&lt;=6,0.8,IF(T1895&lt;=9,0.9,1))))))*$Y$1),1),"")</f>
        <v>8</v>
      </c>
      <c r="V1895" s="37">
        <v>7.1</v>
      </c>
      <c r="W1895" s="38"/>
    </row>
    <row r="1896" ht="24" customHeight="1" spans="1:23" x14ac:dyDescent="0.25">
      <c r="A1896" s="31">
        <v>1669</v>
      </c>
      <c r="B1896" s="32" t="s">
        <v>2014</v>
      </c>
      <c r="C1896" s="33" t="s">
        <v>24</v>
      </c>
      <c r="D1896" s="34">
        <v>2022</v>
      </c>
      <c r="E1896" s="34" t="s">
        <v>81</v>
      </c>
      <c r="F1896" s="6"/>
      <c r="G1896" s="6"/>
      <c r="H1896" s="6"/>
      <c r="I1896" s="6"/>
      <c r="J1896" s="6"/>
      <c r="K1896" s="6"/>
      <c r="L1896" s="6">
        <v>7</v>
      </c>
      <c r="M1896" s="6"/>
      <c r="N1896" s="6"/>
      <c r="O1896" s="6"/>
      <c r="P1896" s="6"/>
      <c r="Q1896" s="6"/>
      <c r="R1896" s="6"/>
      <c r="S1896" s="35">
        <f>SUM(F1896:R1896)</f>
        <v>7</v>
      </c>
      <c r="T1896" s="35">
        <f>COUNT(F1896:R1896)</f>
        <v>1</v>
      </c>
      <c r="U1896" s="36">
        <f>IF(T1896&gt;=2,ROUND((IF(T1896=2,0.55,IF(T1896&lt;=4,0.7,IF(T1896&lt;=6,0.8,IF(T1896&lt;=9,0.9,1))))*(S1896/T1896)+(1-(IF(T1896=2,0.55,IF(T1896&lt;=4,0.7,IF(T1896&lt;=6,0.8,IF(T1896&lt;=9,0.9,1))))))*$Y$1),1),"")</f>
      </c>
      <c r="V1896" s="37">
        <v>7.5</v>
      </c>
      <c r="W1896" s="38"/>
    </row>
    <row r="1897" ht="24" customHeight="1" spans="1:23" x14ac:dyDescent="0.25">
      <c r="A1897" s="31">
        <v>1159</v>
      </c>
      <c r="B1897" s="32" t="s">
        <v>2015</v>
      </c>
      <c r="C1897" s="33" t="s">
        <v>24</v>
      </c>
      <c r="D1897" s="34">
        <v>2012</v>
      </c>
      <c r="E1897" s="34" t="s">
        <v>27</v>
      </c>
      <c r="F1897" s="6"/>
      <c r="G1897" s="6"/>
      <c r="H1897" s="6"/>
      <c r="I1897" s="6"/>
      <c r="J1897" s="6"/>
      <c r="K1897" s="6"/>
      <c r="L1897" s="6">
        <v>8</v>
      </c>
      <c r="M1897" s="6"/>
      <c r="N1897" s="6"/>
      <c r="O1897" s="6"/>
      <c r="P1897" s="6"/>
      <c r="Q1897" s="6"/>
      <c r="R1897" s="6"/>
      <c r="S1897" s="35">
        <f>SUM(F1897:R1897)</f>
        <v>8</v>
      </c>
      <c r="T1897" s="35">
        <f>COUNT(F1897:R1897)</f>
        <v>1</v>
      </c>
      <c r="U1897" s="36">
        <f>IF(T1897&gt;=2,ROUND((IF(T1897=2,0.55,IF(T1897&lt;=4,0.7,IF(T1897&lt;=6,0.8,IF(T1897&lt;=9,0.9,1))))*(S1897/T1897)+(1-(IF(T1897=2,0.55,IF(T1897&lt;=4,0.7,IF(T1897&lt;=6,0.8,IF(T1897&lt;=9,0.9,1))))))*$Y$1),1),"")</f>
      </c>
      <c r="V1897" s="37">
        <v>7.5</v>
      </c>
      <c r="W1897" s="38"/>
    </row>
    <row r="1898" ht="24" customHeight="1" spans="1:23" x14ac:dyDescent="0.25">
      <c r="A1898" s="31">
        <v>872</v>
      </c>
      <c r="B1898" s="32" t="s">
        <v>2016</v>
      </c>
      <c r="C1898" s="33" t="s">
        <v>24</v>
      </c>
      <c r="D1898" s="34">
        <v>1998</v>
      </c>
      <c r="E1898" s="34" t="s">
        <v>2017</v>
      </c>
      <c r="F1898" s="6"/>
      <c r="G1898" s="6">
        <v>7</v>
      </c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35">
        <f>SUM(F1898:R1898)</f>
        <v>7</v>
      </c>
      <c r="T1898" s="35">
        <f>COUNT(F1898:R1898)</f>
        <v>1</v>
      </c>
      <c r="U1898" s="36">
        <f>IF(T1898&gt;=2,ROUND((IF(T1898=2,0.55,IF(T1898&lt;=4,0.7,IF(T1898&lt;=6,0.8,IF(T1898&lt;=9,0.9,1))))*(S1898/T1898)+(1-(IF(T1898=2,0.55,IF(T1898&lt;=4,0.7,IF(T1898&lt;=6,0.8,IF(T1898&lt;=9,0.9,1))))))*$Y$1),1),"")</f>
      </c>
      <c r="V1898" s="37">
        <v>7.6</v>
      </c>
      <c r="W1898" s="38"/>
    </row>
    <row r="1899" ht="24" customHeight="1" spans="1:23" x14ac:dyDescent="0.25">
      <c r="A1899" s="31">
        <v>598</v>
      </c>
      <c r="B1899" s="32" t="s">
        <v>2018</v>
      </c>
      <c r="C1899" s="33" t="s">
        <v>24</v>
      </c>
      <c r="D1899" s="34">
        <v>2011</v>
      </c>
      <c r="E1899" s="34" t="s">
        <v>27</v>
      </c>
      <c r="F1899" s="6">
        <v>7</v>
      </c>
      <c r="G1899" s="6"/>
      <c r="H1899" s="6"/>
      <c r="I1899" s="6"/>
      <c r="J1899" s="6">
        <v>8</v>
      </c>
      <c r="K1899" s="6"/>
      <c r="L1899" s="6"/>
      <c r="M1899" s="6"/>
      <c r="N1899" s="6">
        <v>6</v>
      </c>
      <c r="O1899" s="6">
        <v>7</v>
      </c>
      <c r="P1899" s="6"/>
      <c r="Q1899" s="6"/>
      <c r="R1899" s="6"/>
      <c r="S1899" s="35">
        <f>SUM(F1899:R1899)</f>
        <v>28</v>
      </c>
      <c r="T1899" s="35">
        <f>COUNT(F1899:R1899)</f>
        <v>4</v>
      </c>
      <c r="U1899" s="36">
        <f>IF(T1899&gt;=2,ROUND((IF(T1899=2,0.55,IF(T1899&lt;=4,0.7,IF(T1899&lt;=6,0.8,IF(T1899&lt;=9,0.9,1))))*(S1899/T1899)+(1-(IF(T1899=2,0.55,IF(T1899&lt;=4,0.7,IF(T1899&lt;=6,0.8,IF(T1899&lt;=9,0.9,1))))))*$Y$1),1),"")</f>
        <v>7.3</v>
      </c>
      <c r="V1899" s="37">
        <v>6.7</v>
      </c>
      <c r="W1899" s="38"/>
    </row>
    <row r="1900" ht="24" customHeight="1" spans="1:23" x14ac:dyDescent="0.25">
      <c r="A1900" s="31">
        <v>1367</v>
      </c>
      <c r="B1900" s="32" t="s">
        <v>2019</v>
      </c>
      <c r="C1900" s="33" t="s">
        <v>29</v>
      </c>
      <c r="D1900" s="34">
        <v>2021</v>
      </c>
      <c r="E1900" s="34" t="s">
        <v>30</v>
      </c>
      <c r="F1900" s="6"/>
      <c r="G1900" s="6"/>
      <c r="H1900" s="6"/>
      <c r="I1900" s="6"/>
      <c r="J1900" s="6"/>
      <c r="K1900" s="6"/>
      <c r="L1900" s="6">
        <v>6</v>
      </c>
      <c r="M1900" s="6"/>
      <c r="N1900" s="6"/>
      <c r="O1900" s="6"/>
      <c r="P1900" s="6"/>
      <c r="Q1900" s="6"/>
      <c r="R1900" s="6"/>
      <c r="S1900" s="35">
        <f>SUM(F1900:R1900)</f>
        <v>6</v>
      </c>
      <c r="T1900" s="35">
        <f>COUNT(F1900:R1900)</f>
        <v>1</v>
      </c>
      <c r="U1900" s="36">
        <f>IF(T1900&gt;=2,ROUND((IF(T1900=2,0.55,IF(T1900&lt;=4,0.7,IF(T1900&lt;=6,0.8,IF(T1900&lt;=9,0.9,1))))*(S1900/T1900)+(1-(IF(T1900=2,0.55,IF(T1900&lt;=4,0.7,IF(T1900&lt;=6,0.8,IF(T1900&lt;=9,0.9,1))))))*$Y$1),1),"")</f>
      </c>
      <c r="V1900" s="37">
        <v>6.4</v>
      </c>
      <c r="W1900" s="38"/>
    </row>
    <row r="1901" ht="47.25" customHeight="1" spans="1:23" x14ac:dyDescent="0.25">
      <c r="A1901" s="40">
        <v>2281</v>
      </c>
      <c r="B1901" s="32" t="s">
        <v>2020</v>
      </c>
      <c r="C1901" s="33" t="s">
        <v>24</v>
      </c>
      <c r="D1901" s="34">
        <v>2012</v>
      </c>
      <c r="E1901" s="41"/>
      <c r="F1901" s="6"/>
      <c r="G1901" s="6">
        <v>8</v>
      </c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35">
        <f>SUM(F1901:R1901)</f>
        <v>8</v>
      </c>
      <c r="T1901" s="35">
        <f>COUNT(F1901:R1901)</f>
        <v>1</v>
      </c>
      <c r="U1901" s="36">
        <f>IF(T1901&gt;=2,ROUND((IF(T1901=2,0.55,IF(T1901&lt;=4,0.7,IF(T1901&lt;=6,0.8,IF(T1901&lt;=9,0.9,1))))*(S1901/T1901)+(1-(IF(T1901=2,0.55,IF(T1901&lt;=4,0.7,IF(T1901&lt;=6,0.8,IF(T1901&lt;=9,0.9,1))))))*$Y$1),1),"")</f>
      </c>
      <c r="V1901" s="37">
        <v>7.7</v>
      </c>
      <c r="W1901" s="38"/>
    </row>
    <row r="1902" ht="24" customHeight="1" spans="1:23" x14ac:dyDescent="0.25">
      <c r="A1902" s="31">
        <v>570</v>
      </c>
      <c r="B1902" s="32" t="s">
        <v>2021</v>
      </c>
      <c r="C1902" s="33" t="s">
        <v>29</v>
      </c>
      <c r="D1902" s="34">
        <v>2017</v>
      </c>
      <c r="E1902" s="34" t="s">
        <v>30</v>
      </c>
      <c r="F1902" s="6"/>
      <c r="G1902" s="6"/>
      <c r="H1902" s="6"/>
      <c r="I1902" s="6"/>
      <c r="J1902" s="6">
        <v>8</v>
      </c>
      <c r="K1902" s="6"/>
      <c r="L1902" s="6"/>
      <c r="M1902" s="6"/>
      <c r="N1902" s="6">
        <v>8</v>
      </c>
      <c r="O1902" s="6"/>
      <c r="P1902" s="6"/>
      <c r="Q1902" s="6"/>
      <c r="R1902" s="6"/>
      <c r="S1902" s="35">
        <f>SUM(F1902:R1902)</f>
        <v>16</v>
      </c>
      <c r="T1902" s="35">
        <f>COUNT(F1902:R1902)</f>
        <v>2</v>
      </c>
      <c r="U1902" s="36">
        <f>IF(T1902&gt;=2,ROUND((IF(T1902=2,0.55,IF(T1902&lt;=4,0.7,IF(T1902&lt;=6,0.8,IF(T1902&lt;=9,0.9,1))))*(S1902/T1902)+(1-(IF(T1902=2,0.55,IF(T1902&lt;=4,0.7,IF(T1902&lt;=6,0.8,IF(T1902&lt;=9,0.9,1))))))*$Y$1),1),"")</f>
        <v>8</v>
      </c>
      <c r="V1902" s="37">
        <v>7.3</v>
      </c>
      <c r="W1902" s="38"/>
    </row>
    <row r="1903" ht="24" customHeight="1" spans="1:23" x14ac:dyDescent="0.25">
      <c r="A1903" s="31">
        <v>1697</v>
      </c>
      <c r="B1903" s="32" t="s">
        <v>2022</v>
      </c>
      <c r="C1903" s="33" t="s">
        <v>24</v>
      </c>
      <c r="D1903" s="34">
        <v>2022</v>
      </c>
      <c r="E1903" s="34" t="s">
        <v>30</v>
      </c>
      <c r="F1903" s="6"/>
      <c r="G1903" s="6"/>
      <c r="H1903" s="6"/>
      <c r="I1903" s="6"/>
      <c r="J1903" s="6"/>
      <c r="K1903" s="6"/>
      <c r="L1903" s="6"/>
      <c r="M1903" s="6">
        <v>8</v>
      </c>
      <c r="N1903" s="6"/>
      <c r="O1903" s="6">
        <v>8</v>
      </c>
      <c r="P1903" s="6"/>
      <c r="Q1903" s="6"/>
      <c r="R1903" s="6"/>
      <c r="S1903" s="35">
        <f>SUM(F1903:R1903)</f>
        <v>16</v>
      </c>
      <c r="T1903" s="35">
        <f>COUNT(F1903:R1903)</f>
        <v>2</v>
      </c>
      <c r="U1903" s="36">
        <f>IF(T1903&gt;=2,ROUND((IF(T1903=2,0.55,IF(T1903&lt;=4,0.7,IF(T1903&lt;=6,0.8,IF(T1903&lt;=9,0.9,1))))*(S1903/T1903)+(1-(IF(T1903=2,0.55,IF(T1903&lt;=4,0.7,IF(T1903&lt;=6,0.8,IF(T1903&lt;=9,0.9,1))))))*$Y$1),1),"")</f>
        <v>8</v>
      </c>
      <c r="V1903" s="37">
        <v>5.9</v>
      </c>
      <c r="W1903" s="38"/>
    </row>
    <row r="1904" ht="24" customHeight="1" spans="1:23" x14ac:dyDescent="0.25">
      <c r="A1904" s="31">
        <v>1847</v>
      </c>
      <c r="B1904" s="32" t="s">
        <v>2023</v>
      </c>
      <c r="C1904" s="33" t="s">
        <v>24</v>
      </c>
      <c r="D1904" s="34">
        <v>2009</v>
      </c>
      <c r="E1904" s="34" t="s">
        <v>25</v>
      </c>
      <c r="F1904" s="6"/>
      <c r="G1904" s="6">
        <v>6</v>
      </c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35">
        <f>SUM(F1904:R1904)</f>
        <v>6</v>
      </c>
      <c r="T1904" s="35">
        <f>COUNT(F1904:R1904)</f>
        <v>1</v>
      </c>
      <c r="U1904" s="36">
        <f>IF(T1904&gt;=2,ROUND((IF(T1904=2,0.55,IF(T1904&lt;=4,0.7,IF(T1904&lt;=6,0.8,IF(T1904&lt;=9,0.9,1))))*(S1904/T1904)+(1-(IF(T1904=2,0.55,IF(T1904&lt;=4,0.7,IF(T1904&lt;=6,0.8,IF(T1904&lt;=9,0.9,1))))))*$Y$1),1),"")</f>
      </c>
      <c r="V1904" s="37">
        <v>7.2</v>
      </c>
      <c r="W1904" s="38"/>
    </row>
    <row r="1905" ht="24" customHeight="1" spans="1:23" x14ac:dyDescent="0.25">
      <c r="A1905" s="47">
        <v>1584</v>
      </c>
      <c r="B1905" s="32" t="s">
        <v>2024</v>
      </c>
      <c r="C1905" s="48" t="s">
        <v>24</v>
      </c>
      <c r="D1905" s="49">
        <v>2023</v>
      </c>
      <c r="E1905" s="49" t="s">
        <v>27</v>
      </c>
      <c r="F1905" s="6">
        <v>7</v>
      </c>
      <c r="G1905" s="6">
        <v>8</v>
      </c>
      <c r="H1905" s="6">
        <v>8</v>
      </c>
      <c r="I1905" s="6">
        <v>7</v>
      </c>
      <c r="J1905" s="6">
        <v>8</v>
      </c>
      <c r="K1905" s="6">
        <v>8</v>
      </c>
      <c r="L1905" s="6">
        <v>7</v>
      </c>
      <c r="M1905" s="6">
        <v>8</v>
      </c>
      <c r="N1905" s="6">
        <v>8</v>
      </c>
      <c r="O1905" s="6">
        <v>7</v>
      </c>
      <c r="P1905" s="6">
        <v>8</v>
      </c>
      <c r="Q1905" s="6">
        <v>8</v>
      </c>
      <c r="R1905" s="6"/>
      <c r="S1905" s="35">
        <f>SUM(F1905:R1905)</f>
        <v>92</v>
      </c>
      <c r="T1905" s="35">
        <f>COUNT(F1905:R1905)</f>
        <v>12</v>
      </c>
      <c r="U1905" s="36">
        <f>IF(T1905&gt;=2,ROUND((IF(T1905=2,0.55,IF(T1905&lt;=4,0.7,IF(T1905&lt;=6,0.8,IF(T1905&lt;=9,0.9,1))))*(S1905/T1905)+(1-(IF(T1905=2,0.55,IF(T1905&lt;=4,0.7,IF(T1905&lt;=6,0.8,IF(T1905&lt;=9,0.9,1))))))*$Y$1),1),"")</f>
        <v>7.7</v>
      </c>
      <c r="V1905" s="37">
        <v>7.4</v>
      </c>
      <c r="W1905" s="38" t="s">
        <v>44</v>
      </c>
    </row>
    <row r="1906" ht="24" customHeight="1" spans="1:23" x14ac:dyDescent="0.25">
      <c r="A1906" s="47">
        <v>1825</v>
      </c>
      <c r="B1906" s="32" t="s">
        <v>2025</v>
      </c>
      <c r="C1906" s="48" t="s">
        <v>24</v>
      </c>
      <c r="D1906" s="49">
        <v>2023</v>
      </c>
      <c r="E1906" s="49" t="s">
        <v>1114</v>
      </c>
      <c r="F1906" s="6">
        <v>8</v>
      </c>
      <c r="G1906" s="6">
        <v>8</v>
      </c>
      <c r="H1906" s="6">
        <v>9</v>
      </c>
      <c r="I1906" s="6"/>
      <c r="J1906" s="6"/>
      <c r="K1906" s="6">
        <v>8</v>
      </c>
      <c r="L1906" s="6">
        <v>9</v>
      </c>
      <c r="M1906" s="6">
        <v>8</v>
      </c>
      <c r="N1906" s="6">
        <v>8</v>
      </c>
      <c r="O1906" s="6">
        <v>8</v>
      </c>
      <c r="P1906" s="6">
        <v>8</v>
      </c>
      <c r="Q1906" s="6">
        <v>8</v>
      </c>
      <c r="R1906" s="6"/>
      <c r="S1906" s="35">
        <f>SUM(F1906:R1906)</f>
        <v>82</v>
      </c>
      <c r="T1906" s="35">
        <f>COUNT(F1906:R1906)</f>
        <v>10</v>
      </c>
      <c r="U1906" s="36">
        <f>IF(T1906&gt;=2,ROUND((IF(T1906=2,0.55,IF(T1906&lt;=4,0.7,IF(T1906&lt;=6,0.8,IF(T1906&lt;=9,0.9,1))))*(S1906/T1906)+(1-(IF(T1906=2,0.55,IF(T1906&lt;=4,0.7,IF(T1906&lt;=6,0.8,IF(T1906&lt;=9,0.9,1))))))*$Y$1),1),"")</f>
        <v>8.2</v>
      </c>
      <c r="V1906" s="37">
        <v>7.7</v>
      </c>
      <c r="W1906" s="38" t="s">
        <v>44</v>
      </c>
    </row>
    <row r="1907" ht="24" customHeight="1" spans="1:23" x14ac:dyDescent="0.25">
      <c r="A1907" s="47">
        <v>1918</v>
      </c>
      <c r="B1907" s="32" t="s">
        <v>2026</v>
      </c>
      <c r="C1907" s="48" t="s">
        <v>24</v>
      </c>
      <c r="D1907" s="49">
        <v>2024</v>
      </c>
      <c r="E1907" s="49" t="s">
        <v>141</v>
      </c>
      <c r="F1907" s="6"/>
      <c r="G1907" s="6">
        <v>8</v>
      </c>
      <c r="H1907" s="6">
        <v>8</v>
      </c>
      <c r="I1907" s="6">
        <v>10</v>
      </c>
      <c r="J1907" s="6">
        <v>7</v>
      </c>
      <c r="K1907" s="6"/>
      <c r="L1907" s="6">
        <v>9</v>
      </c>
      <c r="M1907" s="6">
        <v>8</v>
      </c>
      <c r="N1907" s="6">
        <v>8</v>
      </c>
      <c r="O1907" s="6">
        <v>8</v>
      </c>
      <c r="P1907" s="6">
        <v>8</v>
      </c>
      <c r="Q1907" s="6"/>
      <c r="R1907" s="6"/>
      <c r="S1907" s="35">
        <f>SUM(F1907:R1907)</f>
        <v>74</v>
      </c>
      <c r="T1907" s="35">
        <f>COUNT(F1907:R1907)</f>
        <v>9</v>
      </c>
      <c r="U1907" s="36">
        <f>IF(T1907&gt;=2,ROUND((IF(T1907=2,0.55,IF(T1907&lt;=4,0.7,IF(T1907&lt;=6,0.8,IF(T1907&lt;=9,0.9,1))))*(S1907/T1907)+(1-(IF(T1907=2,0.55,IF(T1907&lt;=4,0.7,IF(T1907&lt;=6,0.8,IF(T1907&lt;=9,0.9,1))))))*$Y$1),1),"")</f>
        <v>8.2</v>
      </c>
      <c r="V1907" s="37">
        <v>8.1</v>
      </c>
      <c r="W1907" s="38" t="s">
        <v>44</v>
      </c>
    </row>
    <row r="1908" ht="47.25" customHeight="1" spans="1:23" x14ac:dyDescent="0.25">
      <c r="A1908" s="31">
        <v>1270</v>
      </c>
      <c r="B1908" s="32" t="s">
        <v>2027</v>
      </c>
      <c r="C1908" s="33" t="s">
        <v>24</v>
      </c>
      <c r="D1908" s="34">
        <v>2018</v>
      </c>
      <c r="E1908" s="34" t="s">
        <v>27</v>
      </c>
      <c r="F1908" s="6">
        <v>7</v>
      </c>
      <c r="G1908" s="6"/>
      <c r="H1908" s="6">
        <v>8</v>
      </c>
      <c r="I1908" s="6">
        <v>6</v>
      </c>
      <c r="J1908" s="6">
        <v>8</v>
      </c>
      <c r="K1908" s="6">
        <v>7</v>
      </c>
      <c r="L1908" s="6">
        <v>6</v>
      </c>
      <c r="M1908" s="6"/>
      <c r="N1908" s="6">
        <v>4</v>
      </c>
      <c r="O1908" s="6">
        <v>8</v>
      </c>
      <c r="P1908" s="6"/>
      <c r="Q1908" s="6">
        <v>7</v>
      </c>
      <c r="R1908" s="6">
        <v>4</v>
      </c>
      <c r="S1908" s="35">
        <f>SUM(F1908:R1908)</f>
        <v>65</v>
      </c>
      <c r="T1908" s="35">
        <f>COUNT(F1908:R1908)</f>
        <v>10</v>
      </c>
      <c r="U1908" s="36">
        <f>IF(T1908&gt;=2,ROUND((IF(T1908=2,0.55,IF(T1908&lt;=4,0.7,IF(T1908&lt;=6,0.8,IF(T1908&lt;=9,0.9,1))))*(S1908/T1908)+(1-(IF(T1908=2,0.55,IF(T1908&lt;=4,0.7,IF(T1908&lt;=6,0.8,IF(T1908&lt;=9,0.9,1))))))*$Y$1),1),"")</f>
        <v>6.5</v>
      </c>
      <c r="V1908" s="37"/>
      <c r="W1908" s="38"/>
    </row>
    <row r="1909" ht="24" customHeight="1" spans="1:23" x14ac:dyDescent="0.25">
      <c r="A1909" s="31">
        <v>392</v>
      </c>
      <c r="B1909" s="32" t="s">
        <v>2028</v>
      </c>
      <c r="C1909" s="33" t="s">
        <v>24</v>
      </c>
      <c r="D1909" s="34">
        <v>2016</v>
      </c>
      <c r="E1909" s="34" t="s">
        <v>30</v>
      </c>
      <c r="F1909" s="6">
        <v>8</v>
      </c>
      <c r="G1909" s="6">
        <v>8</v>
      </c>
      <c r="H1909" s="6">
        <v>8</v>
      </c>
      <c r="I1909" s="6">
        <v>10</v>
      </c>
      <c r="J1909" s="6">
        <v>8</v>
      </c>
      <c r="K1909" s="6">
        <v>8</v>
      </c>
      <c r="L1909" s="6">
        <v>8</v>
      </c>
      <c r="M1909" s="6">
        <v>8</v>
      </c>
      <c r="N1909" s="6">
        <v>8</v>
      </c>
      <c r="O1909" s="6"/>
      <c r="P1909" s="6">
        <v>8</v>
      </c>
      <c r="Q1909" s="6">
        <v>8</v>
      </c>
      <c r="R1909" s="6"/>
      <c r="S1909" s="35">
        <f>SUM(F1909:R1909)</f>
        <v>90</v>
      </c>
      <c r="T1909" s="35">
        <f>COUNT(F1909:R1909)</f>
        <v>11</v>
      </c>
      <c r="U1909" s="36">
        <f>IF(T1909&gt;=2,ROUND((IF(T1909=2,0.55,IF(T1909&lt;=4,0.7,IF(T1909&lt;=6,0.8,IF(T1909&lt;=9,0.9,1))))*(S1909/T1909)+(1-(IF(T1909=2,0.55,IF(T1909&lt;=4,0.7,IF(T1909&lt;=6,0.8,IF(T1909&lt;=9,0.9,1))))))*$Y$1),1),"")</f>
        <v>8.2</v>
      </c>
      <c r="V1909" s="37">
        <v>7.3</v>
      </c>
      <c r="W1909" s="38"/>
    </row>
    <row r="1910" ht="24" customHeight="1" spans="1:23" x14ac:dyDescent="0.25">
      <c r="A1910" s="47">
        <v>1785</v>
      </c>
      <c r="B1910" s="32" t="s">
        <v>2029</v>
      </c>
      <c r="C1910" s="48" t="s">
        <v>24</v>
      </c>
      <c r="D1910" s="49">
        <v>2020</v>
      </c>
      <c r="E1910" s="49" t="s">
        <v>48</v>
      </c>
      <c r="F1910" s="6">
        <v>8</v>
      </c>
      <c r="G1910" s="6"/>
      <c r="H1910" s="6">
        <v>8</v>
      </c>
      <c r="I1910" s="6">
        <v>7</v>
      </c>
      <c r="J1910" s="6">
        <v>8</v>
      </c>
      <c r="K1910" s="6"/>
      <c r="L1910" s="6"/>
      <c r="M1910" s="6">
        <v>9</v>
      </c>
      <c r="N1910" s="6">
        <v>9</v>
      </c>
      <c r="O1910" s="6">
        <v>8</v>
      </c>
      <c r="P1910" s="6">
        <v>8</v>
      </c>
      <c r="Q1910" s="6"/>
      <c r="R1910" s="6"/>
      <c r="S1910" s="35">
        <f>SUM(F1910:R1910)</f>
        <v>65</v>
      </c>
      <c r="T1910" s="35">
        <f>COUNT(F1910:R1910)</f>
        <v>8</v>
      </c>
      <c r="U1910" s="36">
        <f>IF(T1910&gt;=2,ROUND((IF(T1910=2,0.55,IF(T1910&lt;=4,0.7,IF(T1910&lt;=6,0.8,IF(T1910&lt;=9,0.9,1))))*(S1910/T1910)+(1-(IF(T1910=2,0.55,IF(T1910&lt;=4,0.7,IF(T1910&lt;=6,0.8,IF(T1910&lt;=9,0.9,1))))))*$Y$1),1),"")</f>
        <v>8.1</v>
      </c>
      <c r="V1910" s="37">
        <v>7.5</v>
      </c>
      <c r="W1910" s="38" t="s">
        <v>44</v>
      </c>
    </row>
    <row r="1911" ht="24" customHeight="1" spans="1:23" x14ac:dyDescent="0.25">
      <c r="A1911" s="31">
        <v>1509</v>
      </c>
      <c r="B1911" s="32" t="s">
        <v>2030</v>
      </c>
      <c r="C1911" s="33" t="s">
        <v>24</v>
      </c>
      <c r="D1911" s="34">
        <v>2022</v>
      </c>
      <c r="E1911" s="34" t="s">
        <v>25</v>
      </c>
      <c r="F1911" s="6">
        <v>8</v>
      </c>
      <c r="G1911" s="6">
        <v>7</v>
      </c>
      <c r="H1911" s="6"/>
      <c r="I1911" s="6"/>
      <c r="J1911" s="6">
        <v>8</v>
      </c>
      <c r="K1911" s="6"/>
      <c r="L1911" s="6"/>
      <c r="M1911" s="6"/>
      <c r="N1911" s="6"/>
      <c r="O1911" s="6"/>
      <c r="P1911" s="6">
        <v>9</v>
      </c>
      <c r="Q1911" s="6"/>
      <c r="R1911" s="6"/>
      <c r="S1911" s="35">
        <f>SUM(F1911:R1911)</f>
        <v>32</v>
      </c>
      <c r="T1911" s="35">
        <f>COUNT(F1911:R1911)</f>
        <v>4</v>
      </c>
      <c r="U1911" s="36">
        <f>IF(T1911&gt;=2,ROUND((IF(T1911=2,0.55,IF(T1911&lt;=4,0.7,IF(T1911&lt;=6,0.8,IF(T1911&lt;=9,0.9,1))))*(S1911/T1911)+(1-(IF(T1911=2,0.55,IF(T1911&lt;=4,0.7,IF(T1911&lt;=6,0.8,IF(T1911&lt;=9,0.9,1))))))*$Y$1),1),"")</f>
        <v>8</v>
      </c>
      <c r="V1911" s="37">
        <v>7.6</v>
      </c>
      <c r="W1911" s="38"/>
    </row>
    <row r="1912" ht="24" customHeight="1" spans="1:23" x14ac:dyDescent="0.25">
      <c r="A1912" s="31">
        <v>1223</v>
      </c>
      <c r="B1912" s="32" t="s">
        <v>2031</v>
      </c>
      <c r="C1912" s="33" t="s">
        <v>29</v>
      </c>
      <c r="D1912" s="34">
        <v>2019</v>
      </c>
      <c r="E1912" s="34" t="s">
        <v>30</v>
      </c>
      <c r="F1912" s="6"/>
      <c r="G1912" s="6"/>
      <c r="H1912" s="6"/>
      <c r="I1912" s="6"/>
      <c r="J1912" s="6">
        <v>8</v>
      </c>
      <c r="K1912" s="6">
        <v>8</v>
      </c>
      <c r="L1912" s="6"/>
      <c r="M1912" s="6"/>
      <c r="N1912" s="6"/>
      <c r="O1912" s="6"/>
      <c r="P1912" s="6"/>
      <c r="Q1912" s="6">
        <v>8</v>
      </c>
      <c r="R1912" s="6"/>
      <c r="S1912" s="35">
        <f>SUM(F1912:R1912)</f>
        <v>24</v>
      </c>
      <c r="T1912" s="35">
        <f>COUNT(F1912:R1912)</f>
        <v>3</v>
      </c>
      <c r="U1912" s="36">
        <f>IF(T1912&gt;=2,ROUND((IF(T1912=2,0.55,IF(T1912&lt;=4,0.7,IF(T1912&lt;=6,0.8,IF(T1912&lt;=9,0.9,1))))*(S1912/T1912)+(1-(IF(T1912=2,0.55,IF(T1912&lt;=4,0.7,IF(T1912&lt;=6,0.8,IF(T1912&lt;=9,0.9,1))))))*$Y$1),1),"")</f>
        <v>8</v>
      </c>
      <c r="V1912" s="37">
        <v>8.4</v>
      </c>
      <c r="W1912" s="38"/>
    </row>
    <row r="1913" ht="24" customHeight="1" spans="1:23" x14ac:dyDescent="0.25">
      <c r="A1913" s="31">
        <v>1857</v>
      </c>
      <c r="B1913" s="32" t="s">
        <v>2032</v>
      </c>
      <c r="C1913" s="33" t="s">
        <v>24</v>
      </c>
      <c r="D1913" s="34">
        <v>2023</v>
      </c>
      <c r="E1913" s="34" t="s">
        <v>25</v>
      </c>
      <c r="F1913" s="6"/>
      <c r="G1913" s="6">
        <v>7</v>
      </c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35">
        <f>SUM(F1913:R1913)</f>
        <v>7</v>
      </c>
      <c r="T1913" s="35">
        <f>COUNT(F1913:R1913)</f>
        <v>1</v>
      </c>
      <c r="U1913" s="36">
        <f>IF(T1913&gt;=2,ROUND((IF(T1913=2,0.55,IF(T1913&lt;=4,0.7,IF(T1913&lt;=6,0.8,IF(T1913&lt;=9,0.9,1))))*(S1913/T1913)+(1-(IF(T1913=2,0.55,IF(T1913&lt;=4,0.7,IF(T1913&lt;=6,0.8,IF(T1913&lt;=9,0.9,1))))))*$Y$1),1),"")</f>
      </c>
      <c r="V1913" s="37">
        <v>7</v>
      </c>
      <c r="W1913" s="38"/>
    </row>
    <row r="1914" ht="24" customHeight="1" spans="1:23" s="39" customFormat="1" x14ac:dyDescent="0.25">
      <c r="A1914" s="31">
        <v>573</v>
      </c>
      <c r="B1914" s="32" t="s">
        <v>2033</v>
      </c>
      <c r="C1914" s="33" t="s">
        <v>24</v>
      </c>
      <c r="D1914" s="34">
        <v>2020</v>
      </c>
      <c r="E1914" s="34" t="s">
        <v>30</v>
      </c>
      <c r="F1914" s="6"/>
      <c r="G1914" s="6"/>
      <c r="H1914" s="6"/>
      <c r="I1914" s="6">
        <v>6</v>
      </c>
      <c r="J1914" s="6">
        <v>6</v>
      </c>
      <c r="K1914" s="6">
        <v>8</v>
      </c>
      <c r="L1914" s="6"/>
      <c r="M1914" s="6">
        <v>6</v>
      </c>
      <c r="N1914" s="6">
        <v>6</v>
      </c>
      <c r="O1914" s="6"/>
      <c r="P1914" s="6"/>
      <c r="Q1914" s="6">
        <v>8</v>
      </c>
      <c r="R1914" s="6"/>
      <c r="S1914" s="35">
        <f>SUM(F1914:R1914)</f>
        <v>40</v>
      </c>
      <c r="T1914" s="35">
        <f>COUNT(F1914:R1914)</f>
        <v>6</v>
      </c>
      <c r="U1914" s="36">
        <f>IF(T1914&gt;=2,ROUND((IF(T1914=2,0.55,IF(T1914&lt;=4,0.7,IF(T1914&lt;=6,0.8,IF(T1914&lt;=9,0.9,1))))*(S1914/T1914)+(1-(IF(T1914=2,0.55,IF(T1914&lt;=4,0.7,IF(T1914&lt;=6,0.8,IF(T1914&lt;=9,0.9,1))))))*$Y$1),1),"")</f>
        <v>7</v>
      </c>
      <c r="V1914" s="37">
        <v>6.8</v>
      </c>
      <c r="W1914" s="38"/>
    </row>
    <row r="1915" ht="24" customHeight="1" spans="1:23" x14ac:dyDescent="0.25">
      <c r="A1915" s="31">
        <v>2454</v>
      </c>
      <c r="B1915" s="32" t="s">
        <v>2034</v>
      </c>
      <c r="C1915" s="33" t="s">
        <v>24</v>
      </c>
      <c r="D1915" s="34">
        <v>2019</v>
      </c>
      <c r="E1915" s="41"/>
      <c r="F1915" s="6"/>
      <c r="G1915" s="6">
        <v>7.5</v>
      </c>
      <c r="H1915" s="6"/>
      <c r="I1915" s="6"/>
      <c r="J1915" s="6">
        <v>8</v>
      </c>
      <c r="K1915" s="6"/>
      <c r="L1915" s="6"/>
      <c r="M1915" s="6"/>
      <c r="N1915" s="6"/>
      <c r="O1915" s="6"/>
      <c r="P1915" s="6"/>
      <c r="Q1915" s="6"/>
      <c r="R1915" s="6"/>
      <c r="S1915" s="35">
        <f>SUM(F1915:R1915)</f>
        <v>15.5</v>
      </c>
      <c r="T1915" s="35">
        <f>COUNT(F1915:R1915)</f>
        <v>2</v>
      </c>
      <c r="U1915" s="36">
        <f>IF(T1915&gt;=2,ROUND((IF(T1915=2,0.55,IF(T1915&lt;=4,0.7,IF(T1915&lt;=6,0.8,IF(T1915&lt;=9,0.9,1))))*(S1915/T1915)+(1-(IF(T1915=2,0.55,IF(T1915&lt;=4,0.7,IF(T1915&lt;=6,0.8,IF(T1915&lt;=9,0.9,1))))))*$Y$1),1),"")</f>
        <v>7.9</v>
      </c>
      <c r="V1915" s="37">
        <v>7.7</v>
      </c>
      <c r="W1915" s="38"/>
    </row>
    <row r="1916" ht="24" customHeight="1" spans="1:23" x14ac:dyDescent="0.25">
      <c r="A1916" s="31">
        <v>1217</v>
      </c>
      <c r="B1916" s="32" t="s">
        <v>2034</v>
      </c>
      <c r="C1916" s="33" t="s">
        <v>24</v>
      </c>
      <c r="D1916" s="34">
        <v>1994</v>
      </c>
      <c r="E1916" s="34" t="s">
        <v>244</v>
      </c>
      <c r="F1916" s="6"/>
      <c r="G1916" s="6">
        <v>7</v>
      </c>
      <c r="H1916" s="6">
        <v>8</v>
      </c>
      <c r="I1916" s="6"/>
      <c r="J1916" s="6">
        <v>8</v>
      </c>
      <c r="K1916" s="6">
        <v>8</v>
      </c>
      <c r="L1916" s="6">
        <v>8</v>
      </c>
      <c r="M1916" s="6"/>
      <c r="N1916" s="6"/>
      <c r="O1916" s="6">
        <v>8</v>
      </c>
      <c r="P1916" s="6"/>
      <c r="Q1916" s="6">
        <v>8</v>
      </c>
      <c r="R1916" s="6"/>
      <c r="S1916" s="35">
        <f>SUM(F1916:R1916)</f>
        <v>55</v>
      </c>
      <c r="T1916" s="35">
        <f>COUNT(F1916:R1916)</f>
        <v>7</v>
      </c>
      <c r="U1916" s="36">
        <f>IF(T1916&gt;=2,ROUND((IF(T1916=2,0.55,IF(T1916&lt;=4,0.7,IF(T1916&lt;=6,0.8,IF(T1916&lt;=9,0.9,1))))*(S1916/T1916)+(1-(IF(T1916=2,0.55,IF(T1916&lt;=4,0.7,IF(T1916&lt;=6,0.8,IF(T1916&lt;=9,0.9,1))))))*$Y$1),1),"")</f>
        <v>7.9</v>
      </c>
      <c r="V1916" s="37">
        <v>7.3</v>
      </c>
      <c r="W1916" s="38"/>
    </row>
    <row r="1917" ht="24" customHeight="1" spans="1:23" x14ac:dyDescent="0.25">
      <c r="A1917" s="31">
        <v>2006</v>
      </c>
      <c r="B1917" s="32" t="s">
        <v>2035</v>
      </c>
      <c r="C1917" s="33" t="s">
        <v>29</v>
      </c>
      <c r="D1917" s="34">
        <v>2025</v>
      </c>
      <c r="E1917" s="34"/>
      <c r="F1917" s="6">
        <v>8</v>
      </c>
      <c r="G1917" s="6">
        <v>8</v>
      </c>
      <c r="H1917" s="6">
        <v>8</v>
      </c>
      <c r="I1917" s="6"/>
      <c r="J1917" s="6">
        <v>8</v>
      </c>
      <c r="K1917" s="6">
        <v>9</v>
      </c>
      <c r="L1917" s="6">
        <v>8</v>
      </c>
      <c r="M1917" s="6"/>
      <c r="N1917" s="6">
        <v>8</v>
      </c>
      <c r="O1917" s="6">
        <v>8</v>
      </c>
      <c r="P1917" s="6"/>
      <c r="Q1917" s="6">
        <v>9</v>
      </c>
      <c r="R1917" s="6"/>
      <c r="S1917" s="35">
        <f>SUM(F1917:R1917)</f>
        <v>74</v>
      </c>
      <c r="T1917" s="35">
        <f>COUNT(F1917:R1917)</f>
        <v>9</v>
      </c>
      <c r="U1917" s="36">
        <f>IF(T1917&gt;=2,ROUND((IF(T1917=2,0.55,IF(T1917&lt;=4,0.7,IF(T1917&lt;=6,0.8,IF(T1917&lt;=9,0.9,1))))*(S1917/T1917)+(1-(IF(T1917=2,0.55,IF(T1917&lt;=4,0.7,IF(T1917&lt;=6,0.8,IF(T1917&lt;=9,0.9,1))))))*$Y$1),1),"")</f>
        <v>8.2</v>
      </c>
      <c r="V1917" s="37">
        <v>8.1</v>
      </c>
      <c r="W1917" s="38"/>
    </row>
    <row r="1918" ht="24" customHeight="1" spans="1:23" x14ac:dyDescent="0.25">
      <c r="A1918" s="40">
        <v>2084</v>
      </c>
      <c r="B1918" s="32" t="s">
        <v>2036</v>
      </c>
      <c r="C1918" s="33" t="s">
        <v>24</v>
      </c>
      <c r="D1918" s="34">
        <v>1987</v>
      </c>
      <c r="E1918" s="41"/>
      <c r="F1918" s="6"/>
      <c r="G1918" s="6">
        <v>7</v>
      </c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35">
        <f>SUM(F1918:R1918)</f>
        <v>7</v>
      </c>
      <c r="T1918" s="35">
        <f>COUNT(F1918:R1918)</f>
        <v>1</v>
      </c>
      <c r="U1918" s="36">
        <f>IF(T1918&gt;=2,ROUND((IF(T1918=2,0.55,IF(T1918&lt;=4,0.7,IF(T1918&lt;=6,0.8,IF(T1918&lt;=9,0.9,1))))*(S1918/T1918)+(1-(IF(T1918=2,0.55,IF(T1918&lt;=4,0.7,IF(T1918&lt;=6,0.8,IF(T1918&lt;=9,0.9,1))))))*$Y$1),1),"")</f>
      </c>
      <c r="V1918" s="37">
        <v>8</v>
      </c>
      <c r="W1918" s="38"/>
    </row>
    <row r="1919" ht="24" customHeight="1" spans="1:23" x14ac:dyDescent="0.25">
      <c r="A1919" s="31">
        <v>1794</v>
      </c>
      <c r="B1919" s="32" t="s">
        <v>2037</v>
      </c>
      <c r="C1919" s="33" t="s">
        <v>24</v>
      </c>
      <c r="D1919" s="34">
        <v>2003</v>
      </c>
      <c r="E1919" s="34" t="s">
        <v>48</v>
      </c>
      <c r="F1919" s="6"/>
      <c r="G1919" s="6">
        <v>7</v>
      </c>
      <c r="H1919" s="6"/>
      <c r="I1919" s="6"/>
      <c r="J1919" s="6">
        <v>8</v>
      </c>
      <c r="K1919" s="6"/>
      <c r="L1919" s="6"/>
      <c r="M1919" s="6"/>
      <c r="N1919" s="6"/>
      <c r="O1919" s="6">
        <v>7</v>
      </c>
      <c r="P1919" s="6"/>
      <c r="Q1919" s="6"/>
      <c r="R1919" s="6"/>
      <c r="S1919" s="35">
        <f>SUM(F1919:R1919)</f>
        <v>22</v>
      </c>
      <c r="T1919" s="35">
        <f>COUNT(F1919:R1919)</f>
        <v>3</v>
      </c>
      <c r="U1919" s="36">
        <f>IF(T1919&gt;=2,ROUND((IF(T1919=2,0.55,IF(T1919&lt;=4,0.7,IF(T1919&lt;=6,0.8,IF(T1919&lt;=9,0.9,1))))*(S1919/T1919)+(1-(IF(T1919=2,0.55,IF(T1919&lt;=4,0.7,IF(T1919&lt;=6,0.8,IF(T1919&lt;=9,0.9,1))))))*$Y$1),1),"")</f>
        <v>7.6</v>
      </c>
      <c r="V1919" s="37">
        <v>7.7</v>
      </c>
      <c r="W1919" s="38"/>
    </row>
    <row r="1920" ht="24" customHeight="1" spans="1:23" x14ac:dyDescent="0.25">
      <c r="A1920" s="40">
        <v>2400</v>
      </c>
      <c r="B1920" s="32" t="s">
        <v>2038</v>
      </c>
      <c r="C1920" s="33" t="s">
        <v>24</v>
      </c>
      <c r="D1920" s="34">
        <v>2025</v>
      </c>
      <c r="E1920" s="41"/>
      <c r="F1920" s="6">
        <v>8</v>
      </c>
      <c r="G1920" s="6"/>
      <c r="H1920" s="6"/>
      <c r="I1920" s="6"/>
      <c r="J1920" s="6">
        <v>7</v>
      </c>
      <c r="K1920" s="6">
        <v>8</v>
      </c>
      <c r="L1920" s="6"/>
      <c r="M1920" s="6"/>
      <c r="N1920" s="6"/>
      <c r="O1920" s="6"/>
      <c r="P1920" s="6"/>
      <c r="Q1920" s="6">
        <v>8</v>
      </c>
      <c r="R1920" s="6"/>
      <c r="S1920" s="35">
        <f>SUM(F1920:R1920)</f>
        <v>31</v>
      </c>
      <c r="T1920" s="35">
        <f>COUNT(F1920:R1920)</f>
        <v>4</v>
      </c>
      <c r="U1920" s="36">
        <f>IF(T1920&gt;=2,ROUND((IF(T1920=2,0.55,IF(T1920&lt;=4,0.7,IF(T1920&lt;=6,0.8,IF(T1920&lt;=9,0.9,1))))*(S1920/T1920)+(1-(IF(T1920=2,0.55,IF(T1920&lt;=4,0.7,IF(T1920&lt;=6,0.8,IF(T1920&lt;=9,0.9,1))))))*$Y$1),1),"")</f>
        <v>7.9</v>
      </c>
      <c r="V1920" s="37">
        <v>6.7</v>
      </c>
      <c r="W1920" s="38"/>
    </row>
    <row r="1921" ht="24" customHeight="1" spans="1:23" x14ac:dyDescent="0.25">
      <c r="A1921" s="40">
        <v>2132</v>
      </c>
      <c r="B1921" s="32" t="s">
        <v>2039</v>
      </c>
      <c r="C1921" s="33" t="s">
        <v>24</v>
      </c>
      <c r="D1921" s="34">
        <v>2002</v>
      </c>
      <c r="E1921" s="41"/>
      <c r="F1921" s="6"/>
      <c r="G1921" s="6">
        <v>7</v>
      </c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35">
        <f>SUM(F1921:R1921)</f>
        <v>7</v>
      </c>
      <c r="T1921" s="35">
        <f>COUNT(F1921:R1921)</f>
        <v>1</v>
      </c>
      <c r="U1921" s="36">
        <f>IF(T1921&gt;=2,ROUND((IF(T1921=2,0.55,IF(T1921&lt;=4,0.7,IF(T1921&lt;=6,0.8,IF(T1921&lt;=9,0.9,1))))*(S1921/T1921)+(1-(IF(T1921=2,0.55,IF(T1921&lt;=4,0.7,IF(T1921&lt;=6,0.8,IF(T1921&lt;=9,0.9,1))))))*$Y$1),1),"")</f>
      </c>
      <c r="V1921" s="37">
        <v>7.6</v>
      </c>
      <c r="W1921" s="38"/>
    </row>
    <row r="1922" ht="24" customHeight="1" spans="1:23" x14ac:dyDescent="0.25">
      <c r="A1922" s="31">
        <v>1029</v>
      </c>
      <c r="B1922" s="32" t="s">
        <v>2040</v>
      </c>
      <c r="C1922" s="33" t="s">
        <v>24</v>
      </c>
      <c r="D1922" s="34">
        <v>2009</v>
      </c>
      <c r="E1922" s="34" t="s">
        <v>27</v>
      </c>
      <c r="F1922" s="6"/>
      <c r="G1922" s="6"/>
      <c r="H1922" s="6"/>
      <c r="I1922" s="6">
        <v>8</v>
      </c>
      <c r="J1922" s="6">
        <v>8</v>
      </c>
      <c r="K1922" s="6">
        <v>8</v>
      </c>
      <c r="L1922" s="6"/>
      <c r="M1922" s="6"/>
      <c r="N1922" s="6"/>
      <c r="O1922" s="6"/>
      <c r="P1922" s="6"/>
      <c r="Q1922" s="6">
        <v>8</v>
      </c>
      <c r="R1922" s="6"/>
      <c r="S1922" s="35">
        <f>SUM(F1922:R1922)</f>
        <v>32</v>
      </c>
      <c r="T1922" s="35">
        <f>COUNT(F1922:R1922)</f>
        <v>4</v>
      </c>
      <c r="U1922" s="36">
        <f>IF(T1922&gt;=2,ROUND((IF(T1922=2,0.55,IF(T1922&lt;=4,0.7,IF(T1922&lt;=6,0.8,IF(T1922&lt;=9,0.9,1))))*(S1922/T1922)+(1-(IF(T1922=2,0.55,IF(T1922&lt;=4,0.7,IF(T1922&lt;=6,0.8,IF(T1922&lt;=9,0.9,1))))))*$Y$1),1),"")</f>
        <v>8</v>
      </c>
      <c r="V1922" s="37">
        <v>7.1</v>
      </c>
      <c r="W1922" s="38"/>
    </row>
    <row r="1923" ht="24" customHeight="1" spans="1:23" x14ac:dyDescent="0.25">
      <c r="A1923" s="40">
        <v>2196</v>
      </c>
      <c r="B1923" s="32" t="s">
        <v>2041</v>
      </c>
      <c r="C1923" s="33" t="s">
        <v>24</v>
      </c>
      <c r="D1923" s="34">
        <v>2007</v>
      </c>
      <c r="E1923" s="41"/>
      <c r="F1923" s="6"/>
      <c r="G1923" s="6">
        <v>7</v>
      </c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35">
        <f>SUM(F1923:R1923)</f>
        <v>7</v>
      </c>
      <c r="T1923" s="35">
        <f>COUNT(F1923:R1923)</f>
        <v>1</v>
      </c>
      <c r="U1923" s="36">
        <f>IF(T1923&gt;=2,ROUND((IF(T1923=2,0.55,IF(T1923&lt;=4,0.7,IF(T1923&lt;=6,0.8,IF(T1923&lt;=9,0.9,1))))*(S1923/T1923)+(1-(IF(T1923=2,0.55,IF(T1923&lt;=4,0.7,IF(T1923&lt;=6,0.8,IF(T1923&lt;=9,0.9,1))))))*$Y$1),1),"")</f>
      </c>
      <c r="V1923" s="37">
        <v>7.3</v>
      </c>
      <c r="W1923" s="38"/>
    </row>
    <row r="1924" ht="70.5" customHeight="1" spans="1:23" x14ac:dyDescent="0.25">
      <c r="A1924" s="31">
        <v>924</v>
      </c>
      <c r="B1924" s="32" t="s">
        <v>2042</v>
      </c>
      <c r="C1924" s="33" t="s">
        <v>24</v>
      </c>
      <c r="D1924" s="34">
        <v>2018</v>
      </c>
      <c r="E1924" s="34" t="s">
        <v>30</v>
      </c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>
        <v>6</v>
      </c>
      <c r="Q1924" s="6"/>
      <c r="R1924" s="6"/>
      <c r="S1924" s="35">
        <f>SUM(F1924:R1924)</f>
        <v>6</v>
      </c>
      <c r="T1924" s="35">
        <f>COUNT(F1924:R1924)</f>
        <v>1</v>
      </c>
      <c r="U1924" s="36">
        <f>IF(T1924&gt;=2,ROUND((IF(T1924=2,0.55,IF(T1924&lt;=4,0.7,IF(T1924&lt;=6,0.8,IF(T1924&lt;=9,0.9,1))))*(S1924/T1924)+(1-(IF(T1924=2,0.55,IF(T1924&lt;=4,0.7,IF(T1924&lt;=6,0.8,IF(T1924&lt;=9,0.9,1))))))*$Y$1),1),"")</f>
      </c>
      <c r="V1924" s="37">
        <v>5.9</v>
      </c>
      <c r="W1924" s="38"/>
    </row>
    <row r="1925" ht="24" customHeight="1" spans="1:23" x14ac:dyDescent="0.25">
      <c r="A1925" s="31">
        <v>1215</v>
      </c>
      <c r="B1925" s="32" t="s">
        <v>2043</v>
      </c>
      <c r="C1925" s="33" t="s">
        <v>24</v>
      </c>
      <c r="D1925" s="34">
        <v>2018</v>
      </c>
      <c r="E1925" s="34" t="s">
        <v>30</v>
      </c>
      <c r="F1925" s="6"/>
      <c r="G1925" s="6"/>
      <c r="H1925" s="6">
        <v>8</v>
      </c>
      <c r="I1925" s="6"/>
      <c r="J1925" s="6">
        <v>8</v>
      </c>
      <c r="K1925" s="6">
        <v>8</v>
      </c>
      <c r="L1925" s="6"/>
      <c r="M1925" s="6"/>
      <c r="N1925" s="6"/>
      <c r="O1925" s="6">
        <v>10</v>
      </c>
      <c r="P1925" s="6"/>
      <c r="Q1925" s="6">
        <v>8</v>
      </c>
      <c r="R1925" s="6"/>
      <c r="S1925" s="35">
        <f>SUM(F1925:R1925)</f>
        <v>42</v>
      </c>
      <c r="T1925" s="35">
        <f>COUNT(F1925:R1925)</f>
        <v>5</v>
      </c>
      <c r="U1925" s="36">
        <f>IF(T1925&gt;=2,ROUND((IF(T1925=2,0.55,IF(T1925&lt;=4,0.7,IF(T1925&lt;=6,0.8,IF(T1925&lt;=9,0.9,1))))*(S1925/T1925)+(1-(IF(T1925=2,0.55,IF(T1925&lt;=4,0.7,IF(T1925&lt;=6,0.8,IF(T1925&lt;=9,0.9,1))))))*$Y$1),1),"")</f>
        <v>8.3</v>
      </c>
      <c r="V1925" s="37">
        <v>7.2</v>
      </c>
      <c r="W1925" s="38"/>
    </row>
    <row r="1926" ht="24" customHeight="1" spans="1:23" x14ac:dyDescent="0.25">
      <c r="A1926" s="31">
        <v>1910</v>
      </c>
      <c r="B1926" s="32" t="s">
        <v>2044</v>
      </c>
      <c r="C1926" s="33" t="s">
        <v>29</v>
      </c>
      <c r="D1926" s="34">
        <v>2024</v>
      </c>
      <c r="E1926" s="34" t="s">
        <v>25</v>
      </c>
      <c r="F1926" s="6"/>
      <c r="G1926" s="6"/>
      <c r="H1926" s="6"/>
      <c r="I1926" s="6"/>
      <c r="J1926" s="6"/>
      <c r="K1926" s="6">
        <v>8</v>
      </c>
      <c r="L1926" s="6">
        <v>8</v>
      </c>
      <c r="M1926" s="6"/>
      <c r="N1926" s="6"/>
      <c r="O1926" s="6"/>
      <c r="P1926" s="6"/>
      <c r="Q1926" s="6">
        <v>8</v>
      </c>
      <c r="R1926" s="6"/>
      <c r="S1926" s="35">
        <f>SUM(F1926:R1926)</f>
        <v>24</v>
      </c>
      <c r="T1926" s="35">
        <f>COUNT(F1926:R1926)</f>
        <v>3</v>
      </c>
      <c r="U1926" s="36">
        <f>IF(T1926&gt;=2,ROUND((IF(T1926=2,0.55,IF(T1926&lt;=4,0.7,IF(T1926&lt;=6,0.8,IF(T1926&lt;=9,0.9,1))))*(S1926/T1926)+(1-(IF(T1926=2,0.55,IF(T1926&lt;=4,0.7,IF(T1926&lt;=6,0.8,IF(T1926&lt;=9,0.9,1))))))*$Y$1),1),"")</f>
        <v>8</v>
      </c>
      <c r="V1926" s="37">
        <v>7.7</v>
      </c>
      <c r="W1926" s="38"/>
    </row>
    <row r="1927" ht="24" customHeight="1" spans="1:23" x14ac:dyDescent="0.25">
      <c r="A1927" s="40">
        <v>2402</v>
      </c>
      <c r="B1927" s="32" t="s">
        <v>2045</v>
      </c>
      <c r="C1927" s="33" t="s">
        <v>29</v>
      </c>
      <c r="D1927" s="34">
        <v>2017</v>
      </c>
      <c r="E1927" s="41"/>
      <c r="F1927" s="6">
        <v>8</v>
      </c>
      <c r="G1927" s="6"/>
      <c r="H1927" s="6">
        <v>8</v>
      </c>
      <c r="I1927" s="6"/>
      <c r="J1927" s="6"/>
      <c r="K1927" s="6"/>
      <c r="L1927" s="6"/>
      <c r="M1927" s="6">
        <v>8</v>
      </c>
      <c r="N1927" s="6"/>
      <c r="O1927" s="6"/>
      <c r="P1927" s="6"/>
      <c r="Q1927" s="6"/>
      <c r="R1927" s="6"/>
      <c r="S1927" s="35">
        <f>SUM(F1927:R1927)</f>
        <v>24</v>
      </c>
      <c r="T1927" s="35">
        <f>COUNT(F1927:R1927)</f>
        <v>3</v>
      </c>
      <c r="U1927" s="36">
        <f>IF(T1927&gt;=2,ROUND((IF(T1927=2,0.55,IF(T1927&lt;=4,0.7,IF(T1927&lt;=6,0.8,IF(T1927&lt;=9,0.9,1))))*(S1927/T1927)+(1-(IF(T1927=2,0.55,IF(T1927&lt;=4,0.7,IF(T1927&lt;=6,0.8,IF(T1927&lt;=9,0.9,1))))))*$Y$1),1),"")</f>
        <v>8</v>
      </c>
      <c r="V1927" s="37">
        <v>7.1</v>
      </c>
      <c r="W1927" s="38"/>
    </row>
    <row r="1928" ht="24" customHeight="1" spans="1:23" x14ac:dyDescent="0.25">
      <c r="A1928" s="31">
        <v>460</v>
      </c>
      <c r="B1928" s="32" t="s">
        <v>2046</v>
      </c>
      <c r="C1928" s="33" t="s">
        <v>24</v>
      </c>
      <c r="D1928" s="34">
        <v>2001</v>
      </c>
      <c r="E1928" s="34" t="s">
        <v>25</v>
      </c>
      <c r="F1928" s="6"/>
      <c r="G1928" s="6">
        <v>8</v>
      </c>
      <c r="H1928" s="6"/>
      <c r="I1928" s="6"/>
      <c r="J1928" s="6">
        <v>8</v>
      </c>
      <c r="K1928" s="6"/>
      <c r="L1928" s="6"/>
      <c r="M1928" s="6"/>
      <c r="N1928" s="6"/>
      <c r="O1928" s="6"/>
      <c r="P1928" s="6">
        <v>8</v>
      </c>
      <c r="Q1928" s="6"/>
      <c r="R1928" s="6"/>
      <c r="S1928" s="35">
        <f>SUM(F1928:R1928)</f>
        <v>24</v>
      </c>
      <c r="T1928" s="35">
        <f>COUNT(F1928:R1928)</f>
        <v>3</v>
      </c>
      <c r="U1928" s="36">
        <f>IF(T1928&gt;=2,ROUND((IF(T1928=2,0.55,IF(T1928&lt;=4,0.7,IF(T1928&lt;=6,0.8,IF(T1928&lt;=9,0.9,1))))*(S1928/T1928)+(1-(IF(T1928=2,0.55,IF(T1928&lt;=4,0.7,IF(T1928&lt;=6,0.8,IF(T1928&lt;=9,0.9,1))))))*$Y$1),1),"")</f>
        <v>8</v>
      </c>
      <c r="V1928" s="37">
        <v>7.6</v>
      </c>
      <c r="W1928" s="38"/>
    </row>
    <row r="1929" ht="24" customHeight="1" spans="1:23" x14ac:dyDescent="0.25">
      <c r="A1929" s="31">
        <v>915</v>
      </c>
      <c r="B1929" s="32" t="s">
        <v>2047</v>
      </c>
      <c r="C1929" s="33" t="s">
        <v>24</v>
      </c>
      <c r="D1929" s="34">
        <v>2021</v>
      </c>
      <c r="E1929" s="34" t="s">
        <v>30</v>
      </c>
      <c r="F1929" s="6">
        <v>7</v>
      </c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35">
        <f>SUM(F1929:R1929)</f>
        <v>7</v>
      </c>
      <c r="T1929" s="35">
        <f>COUNT(F1929:R1929)</f>
        <v>1</v>
      </c>
      <c r="U1929" s="36">
        <f>IF(T1929&gt;=2,ROUND((IF(T1929=2,0.55,IF(T1929&lt;=4,0.7,IF(T1929&lt;=6,0.8,IF(T1929&lt;=9,0.9,1))))*(S1929/T1929)+(1-(IF(T1929=2,0.55,IF(T1929&lt;=4,0.7,IF(T1929&lt;=6,0.8,IF(T1929&lt;=9,0.9,1))))))*$Y$1),1),"")</f>
      </c>
      <c r="V1929" s="37">
        <v>6.2</v>
      </c>
      <c r="W1929" s="38"/>
    </row>
    <row r="1930" ht="24" customHeight="1" spans="1:23" x14ac:dyDescent="0.25">
      <c r="A1930" s="31">
        <v>459</v>
      </c>
      <c r="B1930" s="32" t="s">
        <v>2048</v>
      </c>
      <c r="C1930" s="33" t="s">
        <v>24</v>
      </c>
      <c r="D1930" s="34">
        <v>2008</v>
      </c>
      <c r="E1930" s="34" t="s">
        <v>25</v>
      </c>
      <c r="F1930" s="6"/>
      <c r="G1930" s="6">
        <v>8</v>
      </c>
      <c r="H1930" s="6"/>
      <c r="I1930" s="6"/>
      <c r="J1930" s="6"/>
      <c r="K1930" s="6"/>
      <c r="L1930" s="6"/>
      <c r="M1930" s="6"/>
      <c r="N1930" s="6"/>
      <c r="O1930" s="6"/>
      <c r="P1930" s="6">
        <v>8</v>
      </c>
      <c r="Q1930" s="6"/>
      <c r="R1930" s="6"/>
      <c r="S1930" s="35">
        <f>SUM(F1930:R1930)</f>
        <v>16</v>
      </c>
      <c r="T1930" s="35">
        <f>COUNT(F1930:R1930)</f>
        <v>2</v>
      </c>
      <c r="U1930" s="36">
        <f>IF(T1930&gt;=2,ROUND((IF(T1930=2,0.55,IF(T1930&lt;=4,0.7,IF(T1930&lt;=6,0.8,IF(T1930&lt;=9,0.9,1))))*(S1930/T1930)+(1-(IF(T1930=2,0.55,IF(T1930&lt;=4,0.7,IF(T1930&lt;=6,0.8,IF(T1930&lt;=9,0.9,1))))))*$Y$1),1),"")</f>
        <v>8</v>
      </c>
      <c r="V1930" s="37">
        <v>8.1</v>
      </c>
      <c r="W1930" s="38"/>
    </row>
    <row r="1931" ht="24" customHeight="1" spans="1:23" x14ac:dyDescent="0.25">
      <c r="A1931" s="47">
        <v>886</v>
      </c>
      <c r="B1931" s="32" t="s">
        <v>2049</v>
      </c>
      <c r="C1931" s="48" t="s">
        <v>24</v>
      </c>
      <c r="D1931" s="49">
        <v>2020</v>
      </c>
      <c r="E1931" s="49" t="s">
        <v>30</v>
      </c>
      <c r="F1931" s="6">
        <v>6</v>
      </c>
      <c r="G1931" s="6">
        <v>7</v>
      </c>
      <c r="H1931" s="6">
        <v>6</v>
      </c>
      <c r="I1931" s="6"/>
      <c r="J1931" s="6">
        <v>8</v>
      </c>
      <c r="K1931" s="6">
        <v>8</v>
      </c>
      <c r="L1931" s="6">
        <v>6</v>
      </c>
      <c r="M1931" s="6">
        <v>6</v>
      </c>
      <c r="N1931" s="6">
        <v>8</v>
      </c>
      <c r="O1931" s="6"/>
      <c r="P1931" s="6">
        <v>8</v>
      </c>
      <c r="Q1931" s="6">
        <v>8</v>
      </c>
      <c r="R1931" s="6">
        <v>6</v>
      </c>
      <c r="S1931" s="35">
        <f>SUM(F1931:R1931)</f>
        <v>77</v>
      </c>
      <c r="T1931" s="35">
        <f>COUNT(F1931:R1931)</f>
        <v>11</v>
      </c>
      <c r="U1931" s="36">
        <f>IF(T1931&gt;=2,ROUND((IF(T1931=2,0.55,IF(T1931&lt;=4,0.7,IF(T1931&lt;=6,0.8,IF(T1931&lt;=9,0.9,1))))*(S1931/T1931)+(1-(IF(T1931=2,0.55,IF(T1931&lt;=4,0.7,IF(T1931&lt;=6,0.8,IF(T1931&lt;=9,0.9,1))))))*$Y$1),1),"")</f>
        <v>7</v>
      </c>
      <c r="V1931" s="37">
        <v>6.9</v>
      </c>
      <c r="W1931" s="38" t="s">
        <v>44</v>
      </c>
    </row>
    <row r="1932" ht="24" customHeight="1" spans="1:23" x14ac:dyDescent="0.25">
      <c r="A1932" s="31">
        <v>1308</v>
      </c>
      <c r="B1932" s="32" t="s">
        <v>2050</v>
      </c>
      <c r="C1932" s="33" t="s">
        <v>24</v>
      </c>
      <c r="D1932" s="34">
        <v>2022</v>
      </c>
      <c r="E1932" s="34" t="s">
        <v>30</v>
      </c>
      <c r="F1932" s="6">
        <v>8</v>
      </c>
      <c r="G1932" s="6"/>
      <c r="H1932" s="6"/>
      <c r="I1932" s="6"/>
      <c r="J1932" s="6">
        <v>8</v>
      </c>
      <c r="K1932" s="6">
        <v>7</v>
      </c>
      <c r="L1932" s="6">
        <v>7.5</v>
      </c>
      <c r="M1932" s="6"/>
      <c r="N1932" s="6"/>
      <c r="O1932" s="6">
        <v>7</v>
      </c>
      <c r="P1932" s="6"/>
      <c r="Q1932" s="6">
        <v>7</v>
      </c>
      <c r="R1932" s="6">
        <v>8</v>
      </c>
      <c r="S1932" s="35">
        <f>SUM(F1932:R1932)</f>
        <v>52.5</v>
      </c>
      <c r="T1932" s="35">
        <f>COUNT(F1932:R1932)</f>
        <v>7</v>
      </c>
      <c r="U1932" s="36">
        <f>IF(T1932&gt;=2,ROUND((IF(T1932=2,0.55,IF(T1932&lt;=4,0.7,IF(T1932&lt;=6,0.8,IF(T1932&lt;=9,0.9,1))))*(S1932/T1932)+(1-(IF(T1932=2,0.55,IF(T1932&lt;=4,0.7,IF(T1932&lt;=6,0.8,IF(T1932&lt;=9,0.9,1))))))*$Y$1),1),"")</f>
        <v>7.6</v>
      </c>
      <c r="V1932" s="37">
        <v>7.8</v>
      </c>
      <c r="W1932" s="38"/>
    </row>
    <row r="1933" ht="24" customHeight="1" spans="1:23" x14ac:dyDescent="0.25">
      <c r="A1933" s="31">
        <v>1414</v>
      </c>
      <c r="B1933" s="32" t="s">
        <v>2051</v>
      </c>
      <c r="C1933" s="33" t="s">
        <v>24</v>
      </c>
      <c r="D1933" s="34">
        <v>2004</v>
      </c>
      <c r="E1933" s="34" t="s">
        <v>25</v>
      </c>
      <c r="F1933" s="6"/>
      <c r="G1933" s="6">
        <v>7</v>
      </c>
      <c r="H1933" s="6"/>
      <c r="I1933" s="6"/>
      <c r="J1933" s="6"/>
      <c r="K1933" s="6"/>
      <c r="L1933" s="6"/>
      <c r="M1933" s="6"/>
      <c r="N1933" s="6"/>
      <c r="O1933" s="6"/>
      <c r="P1933" s="6">
        <v>9</v>
      </c>
      <c r="Q1933" s="6"/>
      <c r="R1933" s="6"/>
      <c r="S1933" s="35">
        <f>SUM(F1933:R1933)</f>
        <v>16</v>
      </c>
      <c r="T1933" s="35">
        <f>COUNT(F1933:R1933)</f>
        <v>2</v>
      </c>
      <c r="U1933" s="36">
        <f>IF(T1933&gt;=2,ROUND((IF(T1933=2,0.55,IF(T1933&lt;=4,0.7,IF(T1933&lt;=6,0.8,IF(T1933&lt;=9,0.9,1))))*(S1933/T1933)+(1-(IF(T1933=2,0.55,IF(T1933&lt;=4,0.7,IF(T1933&lt;=6,0.8,IF(T1933&lt;=9,0.9,1))))))*$Y$1),1),"")</f>
        <v>8</v>
      </c>
      <c r="V1933" s="37">
        <v>7.9</v>
      </c>
      <c r="W1933" s="38"/>
    </row>
    <row r="1934" ht="24" customHeight="1" spans="1:23" x14ac:dyDescent="0.25">
      <c r="A1934" s="31">
        <v>2505</v>
      </c>
      <c r="B1934" s="32" t="s">
        <v>2052</v>
      </c>
      <c r="C1934" s="33" t="s">
        <v>24</v>
      </c>
      <c r="D1934" s="34">
        <v>2025</v>
      </c>
      <c r="E1934" s="34"/>
      <c r="F1934" s="6"/>
      <c r="G1934" s="6"/>
      <c r="H1934" s="6"/>
      <c r="I1934" s="6"/>
      <c r="J1934" s="6"/>
      <c r="K1934" s="6"/>
      <c r="L1934" s="6">
        <v>8</v>
      </c>
      <c r="M1934" s="6"/>
      <c r="N1934" s="6"/>
      <c r="O1934" s="6"/>
      <c r="P1934" s="6"/>
      <c r="Q1934" s="6"/>
      <c r="R1934" s="6"/>
      <c r="S1934" s="35">
        <f>SUM(F1934:R1934)</f>
        <v>8</v>
      </c>
      <c r="T1934" s="35">
        <f>COUNT(F1934:R1934)</f>
        <v>1</v>
      </c>
      <c r="U1934" s="36">
        <f>IF(T1934&gt;=2,ROUND((IF(T1934=2,0.55,IF(T1934&lt;=4,0.7,IF(T1934&lt;=6,0.8,IF(T1934&lt;=9,0.9,1))))*(S1934/T1934)+(1-(IF(T1934=2,0.55,IF(T1934&lt;=4,0.7,IF(T1934&lt;=6,0.8,IF(T1934&lt;=9,0.9,1))))))*$Y$1),1),"")</f>
      </c>
      <c r="V1934" s="37">
        <v>8.2</v>
      </c>
      <c r="W1934" s="38"/>
    </row>
    <row r="1935" ht="24" customHeight="1" spans="1:23" x14ac:dyDescent="0.25">
      <c r="A1935" s="31">
        <v>1504</v>
      </c>
      <c r="B1935" s="32" t="s">
        <v>2053</v>
      </c>
      <c r="C1935" s="33" t="s">
        <v>29</v>
      </c>
      <c r="D1935" s="34">
        <v>2021</v>
      </c>
      <c r="E1935" s="34" t="s">
        <v>69</v>
      </c>
      <c r="F1935" s="6"/>
      <c r="G1935" s="6"/>
      <c r="H1935" s="6">
        <v>8</v>
      </c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35">
        <f>SUM(F1935:R1935)</f>
        <v>8</v>
      </c>
      <c r="T1935" s="35">
        <f>COUNT(F1935:R1935)</f>
        <v>1</v>
      </c>
      <c r="U1935" s="36">
        <f>IF(T1935&gt;=2,ROUND((IF(T1935=2,0.55,IF(T1935&lt;=4,0.7,IF(T1935&lt;=6,0.8,IF(T1935&lt;=9,0.9,1))))*(S1935/T1935)+(1-(IF(T1935=2,0.55,IF(T1935&lt;=4,0.7,IF(T1935&lt;=6,0.8,IF(T1935&lt;=9,0.9,1))))))*$Y$1),1),"")</f>
      </c>
      <c r="V1935" s="37">
        <v>7.2</v>
      </c>
      <c r="W1935" s="38"/>
    </row>
    <row r="1936" ht="24" customHeight="1" spans="1:23" x14ac:dyDescent="0.25">
      <c r="A1936" s="40">
        <v>2434</v>
      </c>
      <c r="B1936" s="32" t="s">
        <v>2054</v>
      </c>
      <c r="C1936" s="33" t="s">
        <v>158</v>
      </c>
      <c r="D1936" s="34">
        <v>2025</v>
      </c>
      <c r="E1936" s="41"/>
      <c r="F1936" s="6"/>
      <c r="G1936" s="6"/>
      <c r="H1936" s="6"/>
      <c r="I1936" s="6"/>
      <c r="J1936" s="6">
        <v>8</v>
      </c>
      <c r="K1936" s="6">
        <v>8</v>
      </c>
      <c r="L1936" s="6">
        <v>7</v>
      </c>
      <c r="M1936" s="6"/>
      <c r="N1936" s="6"/>
      <c r="O1936" s="6"/>
      <c r="P1936" s="6"/>
      <c r="Q1936" s="6">
        <v>8</v>
      </c>
      <c r="R1936" s="6"/>
      <c r="S1936" s="35">
        <f>SUM(F1936:R1936)</f>
        <v>31</v>
      </c>
      <c r="T1936" s="35">
        <f>COUNT(F1936:R1936)</f>
        <v>4</v>
      </c>
      <c r="U1936" s="36">
        <f>IF(T1936&gt;=2,ROUND((IF(T1936=2,0.55,IF(T1936&lt;=4,0.7,IF(T1936&lt;=6,0.8,IF(T1936&lt;=9,0.9,1))))*(S1936/T1936)+(1-(IF(T1936=2,0.55,IF(T1936&lt;=4,0.7,IF(T1936&lt;=6,0.8,IF(T1936&lt;=9,0.9,1))))))*$Y$1),1),"")</f>
        <v>7.9</v>
      </c>
      <c r="V1936" s="37">
        <v>7.1</v>
      </c>
      <c r="W1936" s="38"/>
    </row>
    <row r="1937" ht="24" customHeight="1" spans="1:23" x14ac:dyDescent="0.25">
      <c r="A1937" s="47">
        <v>1875</v>
      </c>
      <c r="B1937" s="32" t="s">
        <v>2055</v>
      </c>
      <c r="C1937" s="48" t="s">
        <v>24</v>
      </c>
      <c r="D1937" s="49">
        <v>2023</v>
      </c>
      <c r="E1937" s="49" t="s">
        <v>48</v>
      </c>
      <c r="F1937" s="6">
        <v>8</v>
      </c>
      <c r="G1937" s="6"/>
      <c r="H1937" s="6">
        <v>8</v>
      </c>
      <c r="I1937" s="6">
        <v>7</v>
      </c>
      <c r="J1937" s="6"/>
      <c r="K1937" s="6">
        <v>8</v>
      </c>
      <c r="L1937" s="6">
        <v>7</v>
      </c>
      <c r="M1937" s="6">
        <v>8</v>
      </c>
      <c r="N1937" s="6">
        <v>8</v>
      </c>
      <c r="O1937" s="6">
        <v>8</v>
      </c>
      <c r="P1937" s="6">
        <v>8</v>
      </c>
      <c r="Q1937" s="6">
        <v>8</v>
      </c>
      <c r="R1937" s="6"/>
      <c r="S1937" s="35">
        <f>SUM(F1937:R1937)</f>
        <v>78</v>
      </c>
      <c r="T1937" s="35">
        <f>COUNT(F1937:R1937)</f>
        <v>10</v>
      </c>
      <c r="U1937" s="36">
        <f>IF(T1937&gt;=2,ROUND((IF(T1937=2,0.55,IF(T1937&lt;=4,0.7,IF(T1937&lt;=6,0.8,IF(T1937&lt;=9,0.9,1))))*(S1937/T1937)+(1-(IF(T1937=2,0.55,IF(T1937&lt;=4,0.7,IF(T1937&lt;=6,0.8,IF(T1937&lt;=9,0.9,1))))))*$Y$1),1),"")</f>
        <v>7.8</v>
      </c>
      <c r="V1937" s="37">
        <v>6.3</v>
      </c>
      <c r="W1937" s="38" t="s">
        <v>44</v>
      </c>
    </row>
    <row r="1938" ht="24" customHeight="1" spans="1:23" x14ac:dyDescent="0.25">
      <c r="A1938" s="31">
        <v>2002</v>
      </c>
      <c r="B1938" s="32" t="s">
        <v>2056</v>
      </c>
      <c r="C1938" s="33" t="s">
        <v>24</v>
      </c>
      <c r="D1938" s="34">
        <v>2024</v>
      </c>
      <c r="E1938" s="34"/>
      <c r="F1938" s="6">
        <v>8</v>
      </c>
      <c r="G1938" s="6">
        <v>7</v>
      </c>
      <c r="H1938" s="6">
        <v>7</v>
      </c>
      <c r="I1938" s="6"/>
      <c r="J1938" s="6">
        <v>7</v>
      </c>
      <c r="K1938" s="6">
        <v>8</v>
      </c>
      <c r="L1938" s="6">
        <v>8</v>
      </c>
      <c r="M1938" s="6"/>
      <c r="N1938" s="6">
        <v>7</v>
      </c>
      <c r="O1938" s="6">
        <v>8</v>
      </c>
      <c r="P1938" s="6"/>
      <c r="Q1938" s="6">
        <v>8</v>
      </c>
      <c r="R1938" s="6">
        <v>8</v>
      </c>
      <c r="S1938" s="35">
        <f>SUM(F1938:R1938)</f>
        <v>76</v>
      </c>
      <c r="T1938" s="35">
        <f>COUNT(F1938:R1938)</f>
        <v>10</v>
      </c>
      <c r="U1938" s="36">
        <f>IF(T1938&gt;=2,ROUND((IF(T1938=2,0.55,IF(T1938&lt;=4,0.7,IF(T1938&lt;=6,0.8,IF(T1938&lt;=9,0.9,1))))*(S1938/T1938)+(1-(IF(T1938=2,0.55,IF(T1938&lt;=4,0.7,IF(T1938&lt;=6,0.8,IF(T1938&lt;=9,0.9,1))))))*$Y$1),1),"")</f>
        <v>7.6</v>
      </c>
      <c r="V1938" s="37">
        <v>6.8</v>
      </c>
      <c r="W1938" s="38"/>
    </row>
    <row r="1939" ht="47.25" customHeight="1" spans="1:23" x14ac:dyDescent="0.25">
      <c r="A1939" s="31">
        <v>71</v>
      </c>
      <c r="B1939" s="32" t="s">
        <v>2057</v>
      </c>
      <c r="C1939" s="33" t="s">
        <v>24</v>
      </c>
      <c r="D1939" s="34">
        <v>1958</v>
      </c>
      <c r="E1939" s="34" t="s">
        <v>25</v>
      </c>
      <c r="F1939" s="6"/>
      <c r="G1939" s="6">
        <v>6</v>
      </c>
      <c r="H1939" s="6"/>
      <c r="I1939" s="6">
        <v>8</v>
      </c>
      <c r="J1939" s="6"/>
      <c r="K1939" s="6">
        <v>8</v>
      </c>
      <c r="L1939" s="6"/>
      <c r="M1939" s="6">
        <v>10</v>
      </c>
      <c r="N1939" s="6">
        <v>10</v>
      </c>
      <c r="O1939" s="6">
        <v>6</v>
      </c>
      <c r="P1939" s="6">
        <v>6</v>
      </c>
      <c r="Q1939" s="6">
        <v>8</v>
      </c>
      <c r="R1939" s="6"/>
      <c r="S1939" s="35">
        <f>SUM(F1939:R1939)</f>
        <v>62</v>
      </c>
      <c r="T1939" s="35">
        <f>COUNT(F1939:R1939)</f>
        <v>8</v>
      </c>
      <c r="U1939" s="36">
        <f>IF(T1939&gt;=2,ROUND((IF(T1939=2,0.55,IF(T1939&lt;=4,0.7,IF(T1939&lt;=6,0.8,IF(T1939&lt;=9,0.9,1))))*(S1939/T1939)+(1-(IF(T1939=2,0.55,IF(T1939&lt;=4,0.7,IF(T1939&lt;=6,0.8,IF(T1939&lt;=9,0.9,1))))))*$Y$1),1),"")</f>
        <v>7.8</v>
      </c>
      <c r="V1939" s="37">
        <v>6.8</v>
      </c>
      <c r="W1939" s="38"/>
    </row>
    <row r="1940" ht="24" customHeight="1" spans="1:23" x14ac:dyDescent="0.25">
      <c r="A1940" s="31">
        <v>1797</v>
      </c>
      <c r="B1940" s="32" t="s">
        <v>2058</v>
      </c>
      <c r="C1940" s="33" t="s">
        <v>24</v>
      </c>
      <c r="D1940" s="34">
        <v>2015</v>
      </c>
      <c r="E1940" s="34" t="s">
        <v>30</v>
      </c>
      <c r="F1940" s="6">
        <v>8</v>
      </c>
      <c r="G1940" s="6"/>
      <c r="H1940" s="6">
        <v>7</v>
      </c>
      <c r="I1940" s="6"/>
      <c r="J1940" s="6">
        <v>7</v>
      </c>
      <c r="K1940" s="6"/>
      <c r="L1940" s="6"/>
      <c r="M1940" s="6">
        <v>7</v>
      </c>
      <c r="N1940" s="6"/>
      <c r="O1940" s="6"/>
      <c r="P1940" s="6"/>
      <c r="Q1940" s="6"/>
      <c r="R1940" s="6"/>
      <c r="S1940" s="35">
        <f>SUM(F1940:R1940)</f>
        <v>29</v>
      </c>
      <c r="T1940" s="35">
        <f>COUNT(F1940:R1940)</f>
        <v>4</v>
      </c>
      <c r="U1940" s="36">
        <f>IF(T1940&gt;=2,ROUND((IF(T1940=2,0.55,IF(T1940&lt;=4,0.7,IF(T1940&lt;=6,0.8,IF(T1940&lt;=9,0.9,1))))*(S1940/T1940)+(1-(IF(T1940=2,0.55,IF(T1940&lt;=4,0.7,IF(T1940&lt;=6,0.8,IF(T1940&lt;=9,0.9,1))))))*$Y$1),1),"")</f>
        <v>7.5</v>
      </c>
      <c r="V1940" s="37">
        <v>7</v>
      </c>
      <c r="W1940" s="38"/>
    </row>
    <row r="1941" ht="24" customHeight="1" spans="1:23" x14ac:dyDescent="0.25">
      <c r="A1941" s="31">
        <v>1116</v>
      </c>
      <c r="B1941" s="32" t="s">
        <v>2059</v>
      </c>
      <c r="C1941" s="33" t="s">
        <v>24</v>
      </c>
      <c r="D1941" s="34">
        <v>2021</v>
      </c>
      <c r="E1941" s="34" t="s">
        <v>30</v>
      </c>
      <c r="F1941" s="6"/>
      <c r="G1941" s="6"/>
      <c r="H1941" s="6"/>
      <c r="I1941" s="6"/>
      <c r="J1941" s="6"/>
      <c r="K1941" s="6"/>
      <c r="L1941" s="6"/>
      <c r="M1941" s="6"/>
      <c r="N1941" s="6"/>
      <c r="O1941" s="6">
        <v>6</v>
      </c>
      <c r="P1941" s="6"/>
      <c r="Q1941" s="6"/>
      <c r="R1941" s="6"/>
      <c r="S1941" s="35">
        <f>SUM(F1941:R1941)</f>
        <v>6</v>
      </c>
      <c r="T1941" s="35">
        <f>COUNT(F1941:R1941)</f>
        <v>1</v>
      </c>
      <c r="U1941" s="36">
        <f>IF(T1941&gt;=2,ROUND((IF(T1941=2,0.55,IF(T1941&lt;=4,0.7,IF(T1941&lt;=6,0.8,IF(T1941&lt;=9,0.9,1))))*(S1941/T1941)+(1-(IF(T1941=2,0.55,IF(T1941&lt;=4,0.7,IF(T1941&lt;=6,0.8,IF(T1941&lt;=9,0.9,1))))))*$Y$1),1),"")</f>
      </c>
      <c r="V1941" s="37">
        <v>5.4</v>
      </c>
      <c r="W1941" s="38"/>
    </row>
    <row r="1942" ht="24" customHeight="1" spans="1:23" x14ac:dyDescent="0.25">
      <c r="A1942" s="31">
        <v>458</v>
      </c>
      <c r="B1942" s="32" t="s">
        <v>2060</v>
      </c>
      <c r="C1942" s="33" t="s">
        <v>24</v>
      </c>
      <c r="D1942" s="34">
        <v>2004</v>
      </c>
      <c r="E1942" s="34" t="s">
        <v>25</v>
      </c>
      <c r="F1942" s="6"/>
      <c r="G1942" s="6">
        <v>8</v>
      </c>
      <c r="H1942" s="6"/>
      <c r="I1942" s="6"/>
      <c r="J1942" s="6"/>
      <c r="K1942" s="6"/>
      <c r="L1942" s="6"/>
      <c r="M1942" s="6"/>
      <c r="N1942" s="6"/>
      <c r="O1942" s="6"/>
      <c r="P1942" s="6">
        <v>8</v>
      </c>
      <c r="Q1942" s="6"/>
      <c r="R1942" s="6"/>
      <c r="S1942" s="35">
        <f>SUM(F1942:R1942)</f>
        <v>16</v>
      </c>
      <c r="T1942" s="35">
        <f>COUNT(F1942:R1942)</f>
        <v>2</v>
      </c>
      <c r="U1942" s="36">
        <f>IF(T1942&gt;=2,ROUND((IF(T1942=2,0.55,IF(T1942&lt;=4,0.7,IF(T1942&lt;=6,0.8,IF(T1942&lt;=9,0.9,1))))*(S1942/T1942)+(1-(IF(T1942=2,0.55,IF(T1942&lt;=4,0.7,IF(T1942&lt;=6,0.8,IF(T1942&lt;=9,0.9,1))))))*$Y$1),1),"")</f>
        <v>8</v>
      </c>
      <c r="V1942" s="37">
        <v>7.5</v>
      </c>
      <c r="W1942" s="38"/>
    </row>
    <row r="1943" ht="24" customHeight="1" spans="1:23" x14ac:dyDescent="0.25">
      <c r="A1943" s="31">
        <v>731</v>
      </c>
      <c r="B1943" s="32" t="s">
        <v>2061</v>
      </c>
      <c r="C1943" s="33" t="s">
        <v>24</v>
      </c>
      <c r="D1943" s="34">
        <v>2018</v>
      </c>
      <c r="E1943" s="34" t="s">
        <v>2062</v>
      </c>
      <c r="F1943" s="6"/>
      <c r="G1943" s="6"/>
      <c r="H1943" s="6"/>
      <c r="I1943" s="6"/>
      <c r="J1943" s="6"/>
      <c r="K1943" s="6">
        <v>8</v>
      </c>
      <c r="L1943" s="6">
        <v>10</v>
      </c>
      <c r="M1943" s="6"/>
      <c r="N1943" s="6"/>
      <c r="O1943" s="6"/>
      <c r="P1943" s="6"/>
      <c r="Q1943" s="6">
        <v>8</v>
      </c>
      <c r="R1943" s="6"/>
      <c r="S1943" s="35">
        <f>SUM(F1943:R1943)</f>
        <v>26</v>
      </c>
      <c r="T1943" s="35">
        <f>COUNT(F1943:R1943)</f>
        <v>3</v>
      </c>
      <c r="U1943" s="36">
        <f>IF(T1943&gt;=2,ROUND((IF(T1943=2,0.55,IF(T1943&lt;=4,0.7,IF(T1943&lt;=6,0.8,IF(T1943&lt;=9,0.9,1))))*(S1943/T1943)+(1-(IF(T1943=2,0.55,IF(T1943&lt;=4,0.7,IF(T1943&lt;=6,0.8,IF(T1943&lt;=9,0.9,1))))))*$Y$1),1),"")</f>
        <v>8.5</v>
      </c>
      <c r="V1943" s="37">
        <v>6.9</v>
      </c>
      <c r="W1943" s="38"/>
    </row>
    <row r="1944" ht="24" customHeight="1" spans="1:23" x14ac:dyDescent="0.25">
      <c r="A1944" s="31">
        <v>15</v>
      </c>
      <c r="B1944" s="32" t="s">
        <v>2063</v>
      </c>
      <c r="C1944" s="33" t="s">
        <v>24</v>
      </c>
      <c r="D1944" s="34">
        <v>1997</v>
      </c>
      <c r="E1944" s="34" t="s">
        <v>92</v>
      </c>
      <c r="F1944" s="6">
        <v>10</v>
      </c>
      <c r="G1944" s="6">
        <v>10</v>
      </c>
      <c r="H1944" s="6">
        <v>10</v>
      </c>
      <c r="I1944" s="6">
        <v>10</v>
      </c>
      <c r="J1944" s="6">
        <v>10</v>
      </c>
      <c r="K1944" s="6">
        <v>10</v>
      </c>
      <c r="L1944" s="6">
        <v>10</v>
      </c>
      <c r="M1944" s="6">
        <v>10</v>
      </c>
      <c r="N1944" s="6">
        <v>10</v>
      </c>
      <c r="O1944" s="6"/>
      <c r="P1944" s="6">
        <v>10</v>
      </c>
      <c r="Q1944" s="6">
        <v>10</v>
      </c>
      <c r="R1944" s="6">
        <v>10</v>
      </c>
      <c r="S1944" s="35">
        <f>SUM(F1944:R1944)</f>
        <v>120</v>
      </c>
      <c r="T1944" s="35">
        <f>COUNT(F1944:R1944)</f>
        <v>12</v>
      </c>
      <c r="U1944" s="36">
        <f>IF(T1944&gt;=2,ROUND((IF(T1944=2,0.55,IF(T1944&lt;=4,0.7,IF(T1944&lt;=6,0.8,IF(T1944&lt;=9,0.9,1))))*(S1944/T1944)+(1-(IF(T1944=2,0.55,IF(T1944&lt;=4,0.7,IF(T1944&lt;=6,0.8,IF(T1944&lt;=9,0.9,1))))))*$Y$1),1),"")</f>
        <v>10</v>
      </c>
      <c r="V1944" s="37">
        <v>8.6</v>
      </c>
      <c r="W1944" s="38"/>
    </row>
    <row r="1945" ht="24" customHeight="1" spans="1:23" x14ac:dyDescent="0.25">
      <c r="A1945" s="31">
        <v>1458</v>
      </c>
      <c r="B1945" s="32" t="s">
        <v>2064</v>
      </c>
      <c r="C1945" s="33" t="s">
        <v>24</v>
      </c>
      <c r="D1945" s="34">
        <v>2021</v>
      </c>
      <c r="E1945" s="34" t="s">
        <v>27</v>
      </c>
      <c r="F1945" s="6">
        <v>8</v>
      </c>
      <c r="G1945" s="6"/>
      <c r="H1945" s="6"/>
      <c r="I1945" s="6"/>
      <c r="J1945" s="6"/>
      <c r="K1945" s="6">
        <v>8</v>
      </c>
      <c r="L1945" s="6"/>
      <c r="M1945" s="6"/>
      <c r="N1945" s="6"/>
      <c r="O1945" s="6">
        <v>8</v>
      </c>
      <c r="P1945" s="6"/>
      <c r="Q1945" s="6">
        <v>8</v>
      </c>
      <c r="R1945" s="6"/>
      <c r="S1945" s="35">
        <f>SUM(F1945:R1945)</f>
        <v>32</v>
      </c>
      <c r="T1945" s="35">
        <f>COUNT(F1945:R1945)</f>
        <v>4</v>
      </c>
      <c r="U1945" s="36">
        <f>IF(T1945&gt;=2,ROUND((IF(T1945=2,0.55,IF(T1945&lt;=4,0.7,IF(T1945&lt;=6,0.8,IF(T1945&lt;=9,0.9,1))))*(S1945/T1945)+(1-(IF(T1945=2,0.55,IF(T1945&lt;=4,0.7,IF(T1945&lt;=6,0.8,IF(T1945&lt;=9,0.9,1))))))*$Y$1),1),"")</f>
        <v>8</v>
      </c>
      <c r="V1945" s="37">
        <v>6.7</v>
      </c>
      <c r="W1945" s="38"/>
    </row>
    <row r="1946" ht="24" customHeight="1" spans="1:23" x14ac:dyDescent="0.25">
      <c r="A1946" s="31">
        <v>16</v>
      </c>
      <c r="B1946" s="32" t="s">
        <v>2065</v>
      </c>
      <c r="C1946" s="33" t="s">
        <v>29</v>
      </c>
      <c r="D1946" s="34">
        <v>2020</v>
      </c>
      <c r="E1946" s="34" t="s">
        <v>30</v>
      </c>
      <c r="F1946" s="6">
        <v>8</v>
      </c>
      <c r="G1946" s="6"/>
      <c r="H1946" s="6">
        <v>8</v>
      </c>
      <c r="I1946" s="6"/>
      <c r="J1946" s="6">
        <v>8</v>
      </c>
      <c r="K1946" s="6">
        <v>8</v>
      </c>
      <c r="L1946" s="6"/>
      <c r="M1946" s="6">
        <v>10</v>
      </c>
      <c r="N1946" s="6">
        <v>10</v>
      </c>
      <c r="O1946" s="6">
        <v>8</v>
      </c>
      <c r="P1946" s="6"/>
      <c r="Q1946" s="6">
        <v>8</v>
      </c>
      <c r="R1946" s="6"/>
      <c r="S1946" s="35">
        <f>SUM(F1946:R1946)</f>
        <v>68</v>
      </c>
      <c r="T1946" s="35">
        <f>COUNT(F1946:R1946)</f>
        <v>8</v>
      </c>
      <c r="U1946" s="36">
        <f>IF(T1946&gt;=2,ROUND((IF(T1946=2,0.55,IF(T1946&lt;=4,0.7,IF(T1946&lt;=6,0.8,IF(T1946&lt;=9,0.9,1))))*(S1946/T1946)+(1-(IF(T1946=2,0.55,IF(T1946&lt;=4,0.7,IF(T1946&lt;=6,0.8,IF(T1946&lt;=9,0.9,1))))))*$Y$1),1),"")</f>
        <v>8.5</v>
      </c>
      <c r="V1946" s="37">
        <v>7.3</v>
      </c>
      <c r="W1946" s="38"/>
    </row>
    <row r="1947" ht="24" customHeight="1" spans="1:23" x14ac:dyDescent="0.25">
      <c r="A1947" s="47">
        <v>982</v>
      </c>
      <c r="B1947" s="32" t="s">
        <v>2066</v>
      </c>
      <c r="C1947" s="48" t="s">
        <v>24</v>
      </c>
      <c r="D1947" s="49">
        <v>2006</v>
      </c>
      <c r="E1947" s="49" t="s">
        <v>27</v>
      </c>
      <c r="F1947" s="6">
        <v>8</v>
      </c>
      <c r="G1947" s="6">
        <v>8</v>
      </c>
      <c r="H1947" s="6">
        <v>8</v>
      </c>
      <c r="I1947" s="6">
        <v>10</v>
      </c>
      <c r="J1947" s="6">
        <v>10</v>
      </c>
      <c r="K1947" s="6">
        <v>8</v>
      </c>
      <c r="L1947" s="6">
        <v>9</v>
      </c>
      <c r="M1947" s="6"/>
      <c r="N1947" s="6"/>
      <c r="O1947" s="6">
        <v>9</v>
      </c>
      <c r="P1947" s="6">
        <v>8</v>
      </c>
      <c r="Q1947" s="6">
        <v>8</v>
      </c>
      <c r="R1947" s="6">
        <v>8</v>
      </c>
      <c r="S1947" s="35">
        <f>SUM(F1947:R1947)</f>
        <v>94</v>
      </c>
      <c r="T1947" s="35">
        <f>COUNT(F1947:R1947)</f>
        <v>11</v>
      </c>
      <c r="U1947" s="36">
        <f>IF(T1947&gt;=2,ROUND((IF(T1947=2,0.55,IF(T1947&lt;=4,0.7,IF(T1947&lt;=6,0.8,IF(T1947&lt;=9,0.9,1))))*(S1947/T1947)+(1-(IF(T1947=2,0.55,IF(T1947&lt;=4,0.7,IF(T1947&lt;=6,0.8,IF(T1947&lt;=9,0.9,1))))))*$Y$1),1),"")</f>
        <v>8.5</v>
      </c>
      <c r="V1947" s="37">
        <v>8.4</v>
      </c>
      <c r="W1947" s="38" t="s">
        <v>44</v>
      </c>
    </row>
    <row r="1948" ht="24" customHeight="1" spans="1:23" x14ac:dyDescent="0.25">
      <c r="A1948" s="31">
        <v>393</v>
      </c>
      <c r="B1948" s="32" t="s">
        <v>2067</v>
      </c>
      <c r="C1948" s="33" t="s">
        <v>24</v>
      </c>
      <c r="D1948" s="34">
        <v>2016</v>
      </c>
      <c r="E1948" s="34" t="s">
        <v>27</v>
      </c>
      <c r="F1948" s="6">
        <v>8</v>
      </c>
      <c r="G1948" s="6"/>
      <c r="H1948" s="6">
        <v>8</v>
      </c>
      <c r="I1948" s="6"/>
      <c r="J1948" s="6"/>
      <c r="K1948" s="6"/>
      <c r="L1948" s="6"/>
      <c r="M1948" s="6"/>
      <c r="N1948" s="6">
        <v>7</v>
      </c>
      <c r="O1948" s="6">
        <v>7</v>
      </c>
      <c r="P1948" s="6"/>
      <c r="Q1948" s="6"/>
      <c r="R1948" s="6"/>
      <c r="S1948" s="35">
        <f>SUM(F1948:R1948)</f>
        <v>30</v>
      </c>
      <c r="T1948" s="35">
        <f>COUNT(F1948:R1948)</f>
        <v>4</v>
      </c>
      <c r="U1948" s="36">
        <f>IF(T1948&gt;=2,ROUND((IF(T1948=2,0.55,IF(T1948&lt;=4,0.7,IF(T1948&lt;=6,0.8,IF(T1948&lt;=9,0.9,1))))*(S1948/T1948)+(1-(IF(T1948=2,0.55,IF(T1948&lt;=4,0.7,IF(T1948&lt;=6,0.8,IF(T1948&lt;=9,0.9,1))))))*$Y$1),1),"")</f>
        <v>7.7</v>
      </c>
      <c r="V1948" s="37">
        <v>6.4</v>
      </c>
      <c r="W1948" s="38"/>
    </row>
    <row r="1949" ht="24" customHeight="1" spans="1:23" x14ac:dyDescent="0.25">
      <c r="A1949" s="31">
        <v>707</v>
      </c>
      <c r="B1949" s="32" t="s">
        <v>2068</v>
      </c>
      <c r="C1949" s="33" t="s">
        <v>24</v>
      </c>
      <c r="D1949" s="34">
        <v>2003</v>
      </c>
      <c r="E1949" s="34" t="s">
        <v>25</v>
      </c>
      <c r="F1949" s="6">
        <v>9</v>
      </c>
      <c r="G1949" s="6"/>
      <c r="H1949" s="6"/>
      <c r="I1949" s="6"/>
      <c r="J1949" s="6">
        <v>9</v>
      </c>
      <c r="K1949" s="6"/>
      <c r="L1949" s="6">
        <v>9</v>
      </c>
      <c r="M1949" s="6"/>
      <c r="N1949" s="6">
        <v>8</v>
      </c>
      <c r="O1949" s="6"/>
      <c r="P1949" s="6"/>
      <c r="Q1949" s="6"/>
      <c r="R1949" s="6"/>
      <c r="S1949" s="35">
        <f>SUM(F1949:R1949)</f>
        <v>35</v>
      </c>
      <c r="T1949" s="35">
        <f>COUNT(F1949:R1949)</f>
        <v>4</v>
      </c>
      <c r="U1949" s="36">
        <f>IF(T1949&gt;=2,ROUND((IF(T1949=2,0.55,IF(T1949&lt;=4,0.7,IF(T1949&lt;=6,0.8,IF(T1949&lt;=9,0.9,1))))*(S1949/T1949)+(1-(IF(T1949=2,0.55,IF(T1949&lt;=4,0.7,IF(T1949&lt;=6,0.8,IF(T1949&lt;=9,0.9,1))))))*$Y$1),1),"")</f>
        <v>8.6</v>
      </c>
      <c r="V1949" s="37">
        <v>7.5</v>
      </c>
      <c r="W1949" s="38"/>
    </row>
    <row r="1950" ht="24" customHeight="1" spans="1:23" x14ac:dyDescent="0.25">
      <c r="A1950" s="31">
        <v>1986</v>
      </c>
      <c r="B1950" s="32" t="s">
        <v>2069</v>
      </c>
      <c r="C1950" s="33" t="s">
        <v>24</v>
      </c>
      <c r="D1950" s="34">
        <v>2024</v>
      </c>
      <c r="E1950" s="34" t="s">
        <v>25</v>
      </c>
      <c r="F1950" s="6">
        <v>7</v>
      </c>
      <c r="G1950" s="6">
        <v>7</v>
      </c>
      <c r="H1950" s="6">
        <v>6</v>
      </c>
      <c r="I1950" s="6"/>
      <c r="J1950" s="6">
        <v>8</v>
      </c>
      <c r="K1950" s="6"/>
      <c r="L1950" s="6"/>
      <c r="M1950" s="6"/>
      <c r="N1950" s="6"/>
      <c r="O1950" s="6">
        <v>7</v>
      </c>
      <c r="P1950" s="6">
        <v>7</v>
      </c>
      <c r="Q1950" s="6"/>
      <c r="R1950" s="6"/>
      <c r="S1950" s="35">
        <f>SUM(F1950:R1950)</f>
        <v>42</v>
      </c>
      <c r="T1950" s="35">
        <f>COUNT(F1950:R1950)</f>
        <v>6</v>
      </c>
      <c r="U1950" s="36">
        <f>IF(T1950&gt;=2,ROUND((IF(T1950=2,0.55,IF(T1950&lt;=4,0.7,IF(T1950&lt;=6,0.8,IF(T1950&lt;=9,0.9,1))))*(S1950/T1950)+(1-(IF(T1950=2,0.55,IF(T1950&lt;=4,0.7,IF(T1950&lt;=6,0.8,IF(T1950&lt;=9,0.9,1))))))*$Y$1),1),"")</f>
        <v>7.2</v>
      </c>
      <c r="V1950" s="37">
        <v>7</v>
      </c>
      <c r="W1950" s="38"/>
    </row>
    <row r="1951" ht="24" customHeight="1" spans="1:23" x14ac:dyDescent="0.25">
      <c r="A1951" s="40">
        <v>2447</v>
      </c>
      <c r="B1951" s="32" t="s">
        <v>2070</v>
      </c>
      <c r="C1951" s="33" t="s">
        <v>24</v>
      </c>
      <c r="D1951" s="34">
        <v>2025</v>
      </c>
      <c r="E1951" s="41"/>
      <c r="F1951" s="6"/>
      <c r="G1951" s="6"/>
      <c r="H1951" s="6"/>
      <c r="I1951" s="6"/>
      <c r="J1951" s="6">
        <v>8</v>
      </c>
      <c r="K1951" s="6"/>
      <c r="L1951" s="6"/>
      <c r="M1951" s="6"/>
      <c r="N1951" s="6"/>
      <c r="O1951" s="6"/>
      <c r="P1951" s="6"/>
      <c r="Q1951" s="6"/>
      <c r="R1951" s="6"/>
      <c r="S1951" s="35">
        <f>SUM(F1951:R1951)</f>
        <v>8</v>
      </c>
      <c r="T1951" s="35">
        <f>COUNT(F1951:R1951)</f>
        <v>1</v>
      </c>
      <c r="U1951" s="36">
        <f>IF(T1951&gt;=2,ROUND((IF(T1951=2,0.55,IF(T1951&lt;=4,0.7,IF(T1951&lt;=6,0.8,IF(T1951&lt;=9,0.9,1))))*(S1951/T1951)+(1-(IF(T1951=2,0.55,IF(T1951&lt;=4,0.7,IF(T1951&lt;=6,0.8,IF(T1951&lt;=9,0.9,1))))))*$Y$1),1),"")</f>
      </c>
      <c r="V1951" s="37">
        <v>7.5</v>
      </c>
      <c r="W1951" s="38"/>
    </row>
    <row r="1952" ht="24" customHeight="1" spans="1:23" x14ac:dyDescent="0.25">
      <c r="A1952" s="40">
        <v>2398</v>
      </c>
      <c r="B1952" s="32" t="s">
        <v>2071</v>
      </c>
      <c r="C1952" s="33" t="s">
        <v>24</v>
      </c>
      <c r="D1952" s="34">
        <v>2023</v>
      </c>
      <c r="E1952" s="41"/>
      <c r="F1952" s="6">
        <v>8</v>
      </c>
      <c r="G1952" s="6"/>
      <c r="H1952" s="6"/>
      <c r="I1952" s="6">
        <v>8</v>
      </c>
      <c r="J1952" s="6"/>
      <c r="K1952" s="6"/>
      <c r="L1952" s="6"/>
      <c r="M1952" s="6"/>
      <c r="N1952" s="6"/>
      <c r="O1952" s="6"/>
      <c r="P1952" s="6"/>
      <c r="Q1952" s="6"/>
      <c r="R1952" s="6"/>
      <c r="S1952" s="35">
        <f>SUM(F1952:R1952)</f>
        <v>16</v>
      </c>
      <c r="T1952" s="35">
        <f>COUNT(F1952:R1952)</f>
        <v>2</v>
      </c>
      <c r="U1952" s="36">
        <f>IF(T1952&gt;=2,ROUND((IF(T1952=2,0.55,IF(T1952&lt;=4,0.7,IF(T1952&lt;=6,0.8,IF(T1952&lt;=9,0.9,1))))*(S1952/T1952)+(1-(IF(T1952=2,0.55,IF(T1952&lt;=4,0.7,IF(T1952&lt;=6,0.8,IF(T1952&lt;=9,0.9,1))))))*$Y$1),1),"")</f>
        <v>8</v>
      </c>
      <c r="V1952" s="37">
        <v>6.1</v>
      </c>
      <c r="W1952" s="38"/>
    </row>
    <row r="1953" ht="24" customHeight="1" spans="1:23" x14ac:dyDescent="0.25">
      <c r="A1953" s="31">
        <v>1017</v>
      </c>
      <c r="B1953" s="32" t="s">
        <v>2072</v>
      </c>
      <c r="C1953" s="33" t="s">
        <v>24</v>
      </c>
      <c r="D1953" s="34">
        <v>2019</v>
      </c>
      <c r="E1953" s="34" t="s">
        <v>30</v>
      </c>
      <c r="F1953" s="6">
        <v>8</v>
      </c>
      <c r="G1953" s="6"/>
      <c r="H1953" s="6"/>
      <c r="I1953" s="6"/>
      <c r="J1953" s="6">
        <v>8</v>
      </c>
      <c r="K1953" s="6">
        <v>8</v>
      </c>
      <c r="L1953" s="6"/>
      <c r="M1953" s="6">
        <v>8</v>
      </c>
      <c r="N1953" s="6">
        <v>8</v>
      </c>
      <c r="O1953" s="6">
        <v>8</v>
      </c>
      <c r="P1953" s="6"/>
      <c r="Q1953" s="6">
        <v>8</v>
      </c>
      <c r="R1953" s="6"/>
      <c r="S1953" s="35">
        <f>SUM(F1953:R1953)</f>
        <v>56</v>
      </c>
      <c r="T1953" s="35">
        <f>COUNT(F1953:R1953)</f>
        <v>7</v>
      </c>
      <c r="U1953" s="36">
        <f>IF(T1953&gt;=2,ROUND((IF(T1953=2,0.55,IF(T1953&lt;=4,0.7,IF(T1953&lt;=6,0.8,IF(T1953&lt;=9,0.9,1))))*(S1953/T1953)+(1-(IF(T1953=2,0.55,IF(T1953&lt;=4,0.7,IF(T1953&lt;=6,0.8,IF(T1953&lt;=9,0.9,1))))))*$Y$1),1),"")</f>
        <v>8</v>
      </c>
      <c r="V1953" s="37">
        <v>6.1</v>
      </c>
      <c r="W1953" s="38"/>
    </row>
    <row r="1954" ht="24" customHeight="1" spans="1:23" x14ac:dyDescent="0.25">
      <c r="A1954" s="40">
        <v>2125</v>
      </c>
      <c r="B1954" s="32" t="s">
        <v>2073</v>
      </c>
      <c r="C1954" s="33" t="s">
        <v>24</v>
      </c>
      <c r="D1954" s="34">
        <v>2002</v>
      </c>
      <c r="E1954" s="41"/>
      <c r="F1954" s="6"/>
      <c r="G1954" s="6">
        <v>6</v>
      </c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35">
        <f>SUM(F1954:R1954)</f>
        <v>6</v>
      </c>
      <c r="T1954" s="35">
        <f>COUNT(F1954:R1954)</f>
        <v>1</v>
      </c>
      <c r="U1954" s="36">
        <f>IF(T1954&gt;=2,ROUND((IF(T1954=2,0.55,IF(T1954&lt;=4,0.7,IF(T1954&lt;=6,0.8,IF(T1954&lt;=9,0.9,1))))*(S1954/T1954)+(1-(IF(T1954=2,0.55,IF(T1954&lt;=4,0.7,IF(T1954&lt;=6,0.8,IF(T1954&lt;=9,0.9,1))))))*$Y$1),1),"")</f>
      </c>
      <c r="V1954" s="37">
        <v>7.6</v>
      </c>
      <c r="W1954" s="38"/>
    </row>
    <row r="1955" ht="24" customHeight="1" spans="1:23" x14ac:dyDescent="0.25">
      <c r="A1955" s="31">
        <v>1823</v>
      </c>
      <c r="B1955" s="32" t="s">
        <v>2074</v>
      </c>
      <c r="C1955" s="33" t="s">
        <v>24</v>
      </c>
      <c r="D1955" s="34">
        <v>1973</v>
      </c>
      <c r="E1955" s="34" t="s">
        <v>25</v>
      </c>
      <c r="F1955" s="6"/>
      <c r="G1955" s="6"/>
      <c r="H1955" s="6"/>
      <c r="I1955" s="6"/>
      <c r="J1955" s="6">
        <v>8</v>
      </c>
      <c r="K1955" s="6"/>
      <c r="L1955" s="6"/>
      <c r="M1955" s="6"/>
      <c r="N1955" s="6"/>
      <c r="O1955" s="6"/>
      <c r="P1955" s="6"/>
      <c r="Q1955" s="6"/>
      <c r="R1955" s="6"/>
      <c r="S1955" s="35">
        <f>SUM(F1955:R1955)</f>
        <v>8</v>
      </c>
      <c r="T1955" s="35">
        <f>COUNT(F1955:R1955)</f>
        <v>1</v>
      </c>
      <c r="U1955" s="36">
        <f>IF(T1955&gt;=2,ROUND((IF(T1955=2,0.55,IF(T1955&lt;=4,0.7,IF(T1955&lt;=6,0.8,IF(T1955&lt;=9,0.9,1))))*(S1955/T1955)+(1-(IF(T1955=2,0.55,IF(T1955&lt;=4,0.7,IF(T1955&lt;=6,0.8,IF(T1955&lt;=9,0.9,1))))))*$Y$1),1),"")</f>
      </c>
      <c r="V1955" s="37">
        <v>7.5</v>
      </c>
      <c r="W1955" s="38"/>
    </row>
    <row r="1956" ht="24" customHeight="1" spans="1:23" s="39" customFormat="1" x14ac:dyDescent="0.25">
      <c r="A1956" s="31">
        <v>507</v>
      </c>
      <c r="B1956" s="32" t="s">
        <v>2075</v>
      </c>
      <c r="C1956" s="33" t="s">
        <v>24</v>
      </c>
      <c r="D1956" s="34">
        <v>2018</v>
      </c>
      <c r="E1956" s="34" t="s">
        <v>179</v>
      </c>
      <c r="F1956" s="6"/>
      <c r="G1956" s="6"/>
      <c r="H1956" s="6">
        <v>6</v>
      </c>
      <c r="I1956" s="6"/>
      <c r="J1956" s="6"/>
      <c r="K1956" s="6"/>
      <c r="L1956" s="6">
        <v>6</v>
      </c>
      <c r="M1956" s="6"/>
      <c r="N1956" s="6"/>
      <c r="O1956" s="6"/>
      <c r="P1956" s="6"/>
      <c r="Q1956" s="6"/>
      <c r="R1956" s="6"/>
      <c r="S1956" s="35">
        <f>SUM(F1956:R1956)</f>
        <v>12</v>
      </c>
      <c r="T1956" s="35">
        <f>COUNT(F1956:R1956)</f>
        <v>2</v>
      </c>
      <c r="U1956" s="36">
        <f>IF(T1956&gt;=2,ROUND((IF(T1956=2,0.55,IF(T1956&lt;=4,0.7,IF(T1956&lt;=6,0.8,IF(T1956&lt;=9,0.9,1))))*(S1956/T1956)+(1-(IF(T1956=2,0.55,IF(T1956&lt;=4,0.7,IF(T1956&lt;=6,0.8,IF(T1956&lt;=9,0.9,1))))))*$Y$1),1),"")</f>
        <v>6.9</v>
      </c>
      <c r="V1956" s="37">
        <v>5.9</v>
      </c>
      <c r="W1956" s="38"/>
    </row>
    <row r="1957" ht="24" customHeight="1" spans="1:23" x14ac:dyDescent="0.25">
      <c r="A1957" s="31">
        <v>317</v>
      </c>
      <c r="B1957" s="32" t="s">
        <v>2076</v>
      </c>
      <c r="C1957" s="33" t="s">
        <v>24</v>
      </c>
      <c r="D1957" s="34">
        <v>2016</v>
      </c>
      <c r="E1957" s="34" t="s">
        <v>27</v>
      </c>
      <c r="F1957" s="6"/>
      <c r="G1957" s="6"/>
      <c r="H1957" s="6"/>
      <c r="I1957" s="6"/>
      <c r="J1957" s="6"/>
      <c r="K1957" s="6">
        <v>6</v>
      </c>
      <c r="L1957" s="6">
        <v>6</v>
      </c>
      <c r="M1957" s="6"/>
      <c r="N1957" s="6"/>
      <c r="O1957" s="6"/>
      <c r="P1957" s="6"/>
      <c r="Q1957" s="6">
        <v>6</v>
      </c>
      <c r="R1957" s="6"/>
      <c r="S1957" s="35">
        <f>SUM(F1957:R1957)</f>
        <v>18</v>
      </c>
      <c r="T1957" s="35">
        <f>COUNT(F1957:R1957)</f>
        <v>3</v>
      </c>
      <c r="U1957" s="36">
        <f>IF(T1957&gt;=2,ROUND((IF(T1957=2,0.55,IF(T1957&lt;=4,0.7,IF(T1957&lt;=6,0.8,IF(T1957&lt;=9,0.9,1))))*(S1957/T1957)+(1-(IF(T1957=2,0.55,IF(T1957&lt;=4,0.7,IF(T1957&lt;=6,0.8,IF(T1957&lt;=9,0.9,1))))))*$Y$1),1),"")</f>
        <v>6.6</v>
      </c>
      <c r="V1957" s="37">
        <v>5</v>
      </c>
      <c r="W1957" s="38"/>
    </row>
    <row r="1958" ht="24" customHeight="1" spans="1:23" x14ac:dyDescent="0.25">
      <c r="A1958" s="31">
        <v>1045</v>
      </c>
      <c r="B1958" s="32" t="s">
        <v>2077</v>
      </c>
      <c r="C1958" s="33" t="s">
        <v>24</v>
      </c>
      <c r="D1958" s="34">
        <v>2009</v>
      </c>
      <c r="E1958" s="34" t="s">
        <v>106</v>
      </c>
      <c r="F1958" s="6"/>
      <c r="G1958" s="6">
        <v>8</v>
      </c>
      <c r="H1958" s="6"/>
      <c r="I1958" s="6"/>
      <c r="J1958" s="6">
        <v>8</v>
      </c>
      <c r="K1958" s="6"/>
      <c r="L1958" s="6"/>
      <c r="M1958" s="6"/>
      <c r="N1958" s="6"/>
      <c r="O1958" s="6"/>
      <c r="P1958" s="6">
        <v>8</v>
      </c>
      <c r="Q1958" s="6"/>
      <c r="R1958" s="6"/>
      <c r="S1958" s="35">
        <f>SUM(F1958:R1958)</f>
        <v>24</v>
      </c>
      <c r="T1958" s="35">
        <f>COUNT(F1958:R1958)</f>
        <v>3</v>
      </c>
      <c r="U1958" s="36">
        <f>IF(T1958&gt;=2,ROUND((IF(T1958=2,0.55,IF(T1958&lt;=4,0.7,IF(T1958&lt;=6,0.8,IF(T1958&lt;=9,0.9,1))))*(S1958/T1958)+(1-(IF(T1958=2,0.55,IF(T1958&lt;=4,0.7,IF(T1958&lt;=6,0.8,IF(T1958&lt;=9,0.9,1))))))*$Y$1),1),"")</f>
        <v>8</v>
      </c>
      <c r="V1958" s="37">
        <v>6.9</v>
      </c>
      <c r="W1958" s="38"/>
    </row>
    <row r="1959" ht="24" customHeight="1" spans="1:23" x14ac:dyDescent="0.25">
      <c r="A1959" s="31">
        <v>442</v>
      </c>
      <c r="B1959" s="32" t="s">
        <v>2078</v>
      </c>
      <c r="C1959" s="33" t="s">
        <v>24</v>
      </c>
      <c r="D1959" s="34">
        <v>2001</v>
      </c>
      <c r="E1959" s="34" t="s">
        <v>92</v>
      </c>
      <c r="F1959" s="6">
        <v>6</v>
      </c>
      <c r="G1959" s="6"/>
      <c r="H1959" s="6"/>
      <c r="I1959" s="6"/>
      <c r="J1959" s="6"/>
      <c r="K1959" s="6">
        <v>8</v>
      </c>
      <c r="L1959" s="6">
        <v>7</v>
      </c>
      <c r="M1959" s="6">
        <v>7</v>
      </c>
      <c r="N1959" s="6">
        <v>7</v>
      </c>
      <c r="O1959" s="6">
        <v>6</v>
      </c>
      <c r="P1959" s="6"/>
      <c r="Q1959" s="6">
        <v>8</v>
      </c>
      <c r="R1959" s="6"/>
      <c r="S1959" s="35">
        <f>SUM(F1959:R1959)</f>
        <v>49</v>
      </c>
      <c r="T1959" s="35">
        <f>COUNT(F1959:R1959)</f>
        <v>7</v>
      </c>
      <c r="U1959" s="36">
        <f>IF(T1959&gt;=2,ROUND((IF(T1959=2,0.55,IF(T1959&lt;=4,0.7,IF(T1959&lt;=6,0.8,IF(T1959&lt;=9,0.9,1))))*(S1959/T1959)+(1-(IF(T1959=2,0.55,IF(T1959&lt;=4,0.7,IF(T1959&lt;=6,0.8,IF(T1959&lt;=9,0.9,1))))))*$Y$1),1),"")</f>
        <v>7.1</v>
      </c>
      <c r="V1959" s="37">
        <v>7</v>
      </c>
      <c r="W1959" s="38"/>
    </row>
    <row r="1960" ht="24" customHeight="1" spans="1:23" x14ac:dyDescent="0.25">
      <c r="A1960" s="31">
        <v>1061</v>
      </c>
      <c r="B1960" s="32" t="s">
        <v>2079</v>
      </c>
      <c r="C1960" s="33" t="s">
        <v>24</v>
      </c>
      <c r="D1960" s="34">
        <v>2021</v>
      </c>
      <c r="E1960" s="34" t="s">
        <v>30</v>
      </c>
      <c r="F1960" s="6">
        <v>6</v>
      </c>
      <c r="G1960" s="6"/>
      <c r="H1960" s="6"/>
      <c r="I1960" s="6"/>
      <c r="J1960" s="6">
        <v>8</v>
      </c>
      <c r="K1960" s="6">
        <v>8</v>
      </c>
      <c r="L1960" s="6"/>
      <c r="M1960" s="6">
        <v>8</v>
      </c>
      <c r="N1960" s="6"/>
      <c r="O1960" s="6">
        <v>8</v>
      </c>
      <c r="P1960" s="6"/>
      <c r="Q1960" s="6">
        <v>8</v>
      </c>
      <c r="R1960" s="6">
        <v>8</v>
      </c>
      <c r="S1960" s="35">
        <f>SUM(F1960:R1960)</f>
        <v>54</v>
      </c>
      <c r="T1960" s="35">
        <f>COUNT(F1960:R1960)</f>
        <v>7</v>
      </c>
      <c r="U1960" s="36">
        <f>IF(T1960&gt;=2,ROUND((IF(T1960=2,0.55,IF(T1960&lt;=4,0.7,IF(T1960&lt;=6,0.8,IF(T1960&lt;=9,0.9,1))))*(S1960/T1960)+(1-(IF(T1960=2,0.55,IF(T1960&lt;=4,0.7,IF(T1960&lt;=6,0.8,IF(T1960&lt;=9,0.9,1))))))*$Y$1),1),"")</f>
        <v>7.8</v>
      </c>
      <c r="V1960" s="37">
        <v>6.7</v>
      </c>
      <c r="W1960" s="38"/>
    </row>
    <row r="1961" ht="24" customHeight="1" spans="1:23" x14ac:dyDescent="0.25">
      <c r="A1961" s="31">
        <v>457</v>
      </c>
      <c r="B1961" s="32" t="s">
        <v>2080</v>
      </c>
      <c r="C1961" s="33" t="s">
        <v>24</v>
      </c>
      <c r="D1961" s="34">
        <v>2008</v>
      </c>
      <c r="E1961" s="34" t="s">
        <v>27</v>
      </c>
      <c r="F1961" s="6">
        <v>8</v>
      </c>
      <c r="G1961" s="6">
        <v>8</v>
      </c>
      <c r="H1961" s="6">
        <v>10</v>
      </c>
      <c r="I1961" s="6">
        <v>8</v>
      </c>
      <c r="J1961" s="6">
        <v>10</v>
      </c>
      <c r="K1961" s="6">
        <v>10</v>
      </c>
      <c r="L1961" s="6">
        <v>8</v>
      </c>
      <c r="M1961" s="6">
        <v>8</v>
      </c>
      <c r="N1961" s="6">
        <v>8</v>
      </c>
      <c r="O1961" s="6">
        <v>8</v>
      </c>
      <c r="P1961" s="6">
        <v>8</v>
      </c>
      <c r="Q1961" s="6">
        <v>10</v>
      </c>
      <c r="R1961" s="6">
        <v>10</v>
      </c>
      <c r="S1961" s="35">
        <f>SUM(F1961:R1961)</f>
        <v>114</v>
      </c>
      <c r="T1961" s="35">
        <f>COUNT(F1961:R1961)</f>
        <v>13</v>
      </c>
      <c r="U1961" s="36">
        <f>IF(T1961&gt;=2,ROUND((IF(T1961=2,0.55,IF(T1961&lt;=4,0.7,IF(T1961&lt;=6,0.8,IF(T1961&lt;=9,0.9,1))))*(S1961/T1961)+(1-(IF(T1961=2,0.55,IF(T1961&lt;=4,0.7,IF(T1961&lt;=6,0.8,IF(T1961&lt;=9,0.9,1))))))*$Y$1),1),"")</f>
        <v>8.8</v>
      </c>
      <c r="V1961" s="37">
        <v>7.7</v>
      </c>
      <c r="W1961" s="38"/>
    </row>
    <row r="1962" ht="24" customHeight="1" spans="1:23" x14ac:dyDescent="0.25">
      <c r="A1962" s="31">
        <v>2473</v>
      </c>
      <c r="B1962" s="32" t="s">
        <v>2081</v>
      </c>
      <c r="C1962" s="33" t="s">
        <v>24</v>
      </c>
      <c r="D1962" s="34">
        <v>2009</v>
      </c>
      <c r="E1962" s="41"/>
      <c r="F1962" s="6"/>
      <c r="G1962" s="6"/>
      <c r="H1962" s="6"/>
      <c r="I1962" s="6"/>
      <c r="J1962" s="6"/>
      <c r="K1962" s="6"/>
      <c r="L1962" s="6"/>
      <c r="M1962" s="6">
        <v>8</v>
      </c>
      <c r="N1962" s="6"/>
      <c r="O1962" s="6"/>
      <c r="P1962" s="6"/>
      <c r="Q1962" s="6"/>
      <c r="R1962" s="6"/>
      <c r="S1962" s="35">
        <f>SUM(F1962:R1962)</f>
        <v>8</v>
      </c>
      <c r="T1962" s="35">
        <f>COUNT(F1962:R1962)</f>
        <v>1</v>
      </c>
      <c r="U1962" s="36">
        <f>IF(T1962&gt;=2,ROUND((IF(T1962=2,0.55,IF(T1962&lt;=4,0.7,IF(T1962&lt;=6,0.8,IF(T1962&lt;=9,0.9,1))))*(S1962/T1962)+(1-(IF(T1962=2,0.55,IF(T1962&lt;=4,0.7,IF(T1962&lt;=6,0.8,IF(T1962&lt;=9,0.9,1))))))*$Y$1),1),"")</f>
      </c>
      <c r="V1962" s="37">
        <v>6.5</v>
      </c>
      <c r="W1962" s="38"/>
    </row>
    <row r="1963" ht="24" customHeight="1" spans="1:23" x14ac:dyDescent="0.25">
      <c r="A1963" s="31">
        <v>1055</v>
      </c>
      <c r="B1963" s="32" t="s">
        <v>2082</v>
      </c>
      <c r="C1963" s="33" t="s">
        <v>24</v>
      </c>
      <c r="D1963" s="34">
        <v>2015</v>
      </c>
      <c r="E1963" s="34" t="s">
        <v>30</v>
      </c>
      <c r="F1963" s="6"/>
      <c r="G1963" s="6"/>
      <c r="H1963" s="6"/>
      <c r="I1963" s="6"/>
      <c r="J1963" s="6"/>
      <c r="K1963" s="6"/>
      <c r="L1963" s="6"/>
      <c r="M1963" s="6"/>
      <c r="N1963" s="6"/>
      <c r="O1963" s="6">
        <v>8</v>
      </c>
      <c r="P1963" s="6"/>
      <c r="Q1963" s="6"/>
      <c r="R1963" s="6"/>
      <c r="S1963" s="35">
        <f>SUM(F1963:R1963)</f>
        <v>8</v>
      </c>
      <c r="T1963" s="35">
        <f>COUNT(F1963:R1963)</f>
        <v>1</v>
      </c>
      <c r="U1963" s="36">
        <f>IF(T1963&gt;=2,ROUND((IF(T1963=2,0.55,IF(T1963&lt;=4,0.7,IF(T1963&lt;=6,0.8,IF(T1963&lt;=9,0.9,1))))*(S1963/T1963)+(1-(IF(T1963=2,0.55,IF(T1963&lt;=4,0.7,IF(T1963&lt;=6,0.8,IF(T1963&lt;=9,0.9,1))))))*$Y$1),1),"")</f>
      </c>
      <c r="V1963" s="37">
        <v>7.3</v>
      </c>
      <c r="W1963" s="38"/>
    </row>
    <row r="1964" ht="24" customHeight="1" spans="1:23" x14ac:dyDescent="0.25">
      <c r="A1964" s="40">
        <v>2234</v>
      </c>
      <c r="B1964" s="32" t="s">
        <v>2083</v>
      </c>
      <c r="C1964" s="33" t="s">
        <v>24</v>
      </c>
      <c r="D1964" s="34">
        <v>2009</v>
      </c>
      <c r="E1964" s="41"/>
      <c r="F1964" s="6"/>
      <c r="G1964" s="6">
        <v>6</v>
      </c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35">
        <f>SUM(F1964:R1964)</f>
        <v>6</v>
      </c>
      <c r="T1964" s="35">
        <f>COUNT(F1964:R1964)</f>
        <v>1</v>
      </c>
      <c r="U1964" s="36">
        <f>IF(T1964&gt;=2,ROUND((IF(T1964=2,0.55,IF(T1964&lt;=4,0.7,IF(T1964&lt;=6,0.8,IF(T1964&lt;=9,0.9,1))))*(S1964/T1964)+(1-(IF(T1964=2,0.55,IF(T1964&lt;=4,0.7,IF(T1964&lt;=6,0.8,IF(T1964&lt;=9,0.9,1))))))*$Y$1),1),"")</f>
      </c>
      <c r="V1964" s="37">
        <v>6.7</v>
      </c>
      <c r="W1964" s="38"/>
    </row>
    <row r="1965" ht="24" customHeight="1" spans="1:23" x14ac:dyDescent="0.25">
      <c r="A1965" s="31">
        <v>226</v>
      </c>
      <c r="B1965" s="32" t="s">
        <v>2084</v>
      </c>
      <c r="C1965" s="33" t="s">
        <v>24</v>
      </c>
      <c r="D1965" s="34">
        <v>2014</v>
      </c>
      <c r="E1965" s="34" t="s">
        <v>30</v>
      </c>
      <c r="F1965" s="6">
        <v>10</v>
      </c>
      <c r="G1965" s="6">
        <v>8</v>
      </c>
      <c r="H1965" s="6">
        <v>10</v>
      </c>
      <c r="I1965" s="6">
        <v>10</v>
      </c>
      <c r="J1965" s="6">
        <v>10</v>
      </c>
      <c r="K1965" s="6">
        <v>10</v>
      </c>
      <c r="L1965" s="6">
        <v>8</v>
      </c>
      <c r="M1965" s="6">
        <v>8</v>
      </c>
      <c r="N1965" s="6"/>
      <c r="O1965" s="6">
        <v>10</v>
      </c>
      <c r="P1965" s="6">
        <v>8</v>
      </c>
      <c r="Q1965" s="6">
        <v>10</v>
      </c>
      <c r="R1965" s="6">
        <v>10</v>
      </c>
      <c r="S1965" s="35">
        <f>SUM(F1965:R1965)</f>
        <v>112</v>
      </c>
      <c r="T1965" s="35">
        <f>COUNT(F1965:R1965)</f>
        <v>12</v>
      </c>
      <c r="U1965" s="36">
        <f>IF(T1965&gt;=2,ROUND((IF(T1965=2,0.55,IF(T1965&lt;=4,0.7,IF(T1965&lt;=6,0.8,IF(T1965&lt;=9,0.9,1))))*(S1965/T1965)+(1-(IF(T1965=2,0.55,IF(T1965&lt;=4,0.7,IF(T1965&lt;=6,0.8,IF(T1965&lt;=9,0.9,1))))))*$Y$1),1),"")</f>
        <v>9.3</v>
      </c>
      <c r="V1965" s="37">
        <v>7.7</v>
      </c>
      <c r="W1965" s="38"/>
    </row>
    <row r="1966" ht="24" customHeight="1" spans="1:23" x14ac:dyDescent="0.25">
      <c r="A1966" s="31">
        <v>1963</v>
      </c>
      <c r="B1966" s="32" t="s">
        <v>2085</v>
      </c>
      <c r="C1966" s="33" t="s">
        <v>24</v>
      </c>
      <c r="D1966" s="34">
        <v>2024</v>
      </c>
      <c r="E1966" s="34" t="s">
        <v>48</v>
      </c>
      <c r="F1966" s="6">
        <v>8</v>
      </c>
      <c r="G1966" s="6">
        <v>6</v>
      </c>
      <c r="H1966" s="6">
        <v>7</v>
      </c>
      <c r="I1966" s="6"/>
      <c r="J1966" s="6"/>
      <c r="K1966" s="6"/>
      <c r="L1966" s="6">
        <v>8</v>
      </c>
      <c r="M1966" s="6"/>
      <c r="N1966" s="6"/>
      <c r="O1966" s="6"/>
      <c r="P1966" s="6">
        <v>7</v>
      </c>
      <c r="Q1966" s="6"/>
      <c r="R1966" s="6"/>
      <c r="S1966" s="35">
        <f>SUM(F1966:R1966)</f>
        <v>36</v>
      </c>
      <c r="T1966" s="35">
        <f>COUNT(F1966:R1966)</f>
        <v>5</v>
      </c>
      <c r="U1966" s="36">
        <f>IF(T1966&gt;=2,ROUND((IF(T1966=2,0.55,IF(T1966&lt;=4,0.7,IF(T1966&lt;=6,0.8,IF(T1966&lt;=9,0.9,1))))*(S1966/T1966)+(1-(IF(T1966=2,0.55,IF(T1966&lt;=4,0.7,IF(T1966&lt;=6,0.8,IF(T1966&lt;=9,0.9,1))))))*$Y$1),1),"")</f>
        <v>7.4</v>
      </c>
      <c r="V1966" s="37">
        <v>7.2</v>
      </c>
      <c r="W1966" s="38"/>
    </row>
    <row r="1967" ht="24" customHeight="1" spans="1:23" x14ac:dyDescent="0.25">
      <c r="A1967" s="47">
        <v>14</v>
      </c>
      <c r="B1967" s="32" t="s">
        <v>2086</v>
      </c>
      <c r="C1967" s="48" t="s">
        <v>24</v>
      </c>
      <c r="D1967" s="49">
        <v>2018</v>
      </c>
      <c r="E1967" s="49" t="s">
        <v>30</v>
      </c>
      <c r="F1967" s="6">
        <v>8</v>
      </c>
      <c r="G1967" s="6">
        <v>9</v>
      </c>
      <c r="H1967" s="6">
        <v>8</v>
      </c>
      <c r="I1967" s="6">
        <v>10</v>
      </c>
      <c r="J1967" s="6">
        <v>8</v>
      </c>
      <c r="K1967" s="6">
        <v>8</v>
      </c>
      <c r="L1967" s="6">
        <v>8</v>
      </c>
      <c r="M1967" s="6">
        <v>8</v>
      </c>
      <c r="N1967" s="6">
        <v>8</v>
      </c>
      <c r="O1967" s="6">
        <v>8</v>
      </c>
      <c r="P1967" s="6">
        <v>8</v>
      </c>
      <c r="Q1967" s="6">
        <v>8</v>
      </c>
      <c r="R1967" s="6">
        <v>10</v>
      </c>
      <c r="S1967" s="35">
        <f>SUM(F1967:R1967)</f>
        <v>109</v>
      </c>
      <c r="T1967" s="35">
        <f>COUNT(F1967:R1967)</f>
        <v>13</v>
      </c>
      <c r="U1967" s="36">
        <f>IF(T1967&gt;=2,ROUND((IF(T1967=2,0.55,IF(T1967&lt;=4,0.7,IF(T1967&lt;=6,0.8,IF(T1967&lt;=9,0.9,1))))*(S1967/T1967)+(1-(IF(T1967=2,0.55,IF(T1967&lt;=4,0.7,IF(T1967&lt;=6,0.8,IF(T1967&lt;=9,0.9,1))))))*$Y$1),1),"")</f>
        <v>8.4</v>
      </c>
      <c r="V1967" s="37">
        <v>7.3</v>
      </c>
      <c r="W1967" s="38" t="s">
        <v>44</v>
      </c>
    </row>
    <row r="1968" ht="24" customHeight="1" spans="1:23" x14ac:dyDescent="0.25">
      <c r="A1968" s="31">
        <v>1725</v>
      </c>
      <c r="B1968" s="32" t="s">
        <v>2087</v>
      </c>
      <c r="C1968" s="33" t="s">
        <v>24</v>
      </c>
      <c r="D1968" s="34">
        <v>2023</v>
      </c>
      <c r="E1968" s="34" t="s">
        <v>30</v>
      </c>
      <c r="F1968" s="6">
        <v>8</v>
      </c>
      <c r="G1968" s="6">
        <v>8</v>
      </c>
      <c r="H1968" s="6"/>
      <c r="I1968" s="6">
        <v>9</v>
      </c>
      <c r="J1968" s="6">
        <v>10</v>
      </c>
      <c r="K1968" s="6"/>
      <c r="L1968" s="6">
        <v>8</v>
      </c>
      <c r="M1968" s="6"/>
      <c r="N1968" s="6">
        <v>10</v>
      </c>
      <c r="O1968" s="6"/>
      <c r="P1968" s="6">
        <v>8</v>
      </c>
      <c r="Q1968" s="6"/>
      <c r="R1968" s="6"/>
      <c r="S1968" s="35">
        <f>SUM(F1968:R1968)</f>
        <v>61</v>
      </c>
      <c r="T1968" s="35">
        <f>COUNT(F1968:R1968)</f>
        <v>7</v>
      </c>
      <c r="U1968" s="36">
        <f>IF(T1968&gt;=2,ROUND((IF(T1968=2,0.55,IF(T1968&lt;=4,0.7,IF(T1968&lt;=6,0.8,IF(T1968&lt;=9,0.9,1))))*(S1968/T1968)+(1-(IF(T1968=2,0.55,IF(T1968&lt;=4,0.7,IF(T1968&lt;=6,0.8,IF(T1968&lt;=9,0.9,1))))))*$Y$1),1),"")</f>
        <v>8.7</v>
      </c>
      <c r="V1968" s="37">
        <v>7.8</v>
      </c>
      <c r="W1968" s="38"/>
    </row>
    <row r="1969" ht="24" customHeight="1" spans="1:23" x14ac:dyDescent="0.25">
      <c r="A1969" s="31">
        <v>293</v>
      </c>
      <c r="B1969" s="32" t="s">
        <v>2088</v>
      </c>
      <c r="C1969" s="33" t="s">
        <v>24</v>
      </c>
      <c r="D1969" s="34">
        <v>2011</v>
      </c>
      <c r="E1969" s="34" t="s">
        <v>43</v>
      </c>
      <c r="F1969" s="6">
        <v>8</v>
      </c>
      <c r="G1969" s="6">
        <v>8</v>
      </c>
      <c r="H1969" s="6">
        <v>8</v>
      </c>
      <c r="I1969" s="6"/>
      <c r="J1969" s="6">
        <v>9</v>
      </c>
      <c r="K1969" s="6">
        <v>10</v>
      </c>
      <c r="L1969" s="6">
        <v>10</v>
      </c>
      <c r="M1969" s="6"/>
      <c r="N1969" s="6"/>
      <c r="O1969" s="6"/>
      <c r="P1969" s="6">
        <v>8</v>
      </c>
      <c r="Q1969" s="6">
        <v>10</v>
      </c>
      <c r="R1969" s="6"/>
      <c r="S1969" s="35">
        <f>SUM(F1969:R1969)</f>
        <v>71</v>
      </c>
      <c r="T1969" s="35">
        <f>COUNT(F1969:R1969)</f>
        <v>8</v>
      </c>
      <c r="U1969" s="36">
        <f>IF(T1969&gt;=2,ROUND((IF(T1969=2,0.55,IF(T1969&lt;=4,0.7,IF(T1969&lt;=6,0.8,IF(T1969&lt;=9,0.9,1))))*(S1969/T1969)+(1-(IF(T1969=2,0.55,IF(T1969&lt;=4,0.7,IF(T1969&lt;=6,0.8,IF(T1969&lt;=9,0.9,1))))))*$Y$1),1),"")</f>
        <v>8.8</v>
      </c>
      <c r="V1969" s="37">
        <v>8.3</v>
      </c>
      <c r="W1969" s="38"/>
    </row>
    <row r="1970" ht="24" customHeight="1" spans="1:23" x14ac:dyDescent="0.25">
      <c r="A1970" s="31">
        <v>636</v>
      </c>
      <c r="B1970" s="32" t="s">
        <v>2089</v>
      </c>
      <c r="C1970" s="33" t="s">
        <v>24</v>
      </c>
      <c r="D1970" s="34">
        <v>2015</v>
      </c>
      <c r="E1970" s="34" t="s">
        <v>526</v>
      </c>
      <c r="F1970" s="6"/>
      <c r="G1970" s="6"/>
      <c r="H1970" s="6"/>
      <c r="I1970" s="6">
        <v>8</v>
      </c>
      <c r="J1970" s="6">
        <v>8</v>
      </c>
      <c r="K1970" s="6">
        <v>8</v>
      </c>
      <c r="L1970" s="6">
        <v>8</v>
      </c>
      <c r="M1970" s="6">
        <v>8</v>
      </c>
      <c r="N1970" s="6"/>
      <c r="O1970" s="6"/>
      <c r="P1970" s="6"/>
      <c r="Q1970" s="6">
        <v>8</v>
      </c>
      <c r="R1970" s="6">
        <v>8</v>
      </c>
      <c r="S1970" s="35">
        <f>SUM(F1970:R1970)</f>
        <v>56</v>
      </c>
      <c r="T1970" s="35">
        <f>COUNT(F1970:R1970)</f>
        <v>7</v>
      </c>
      <c r="U1970" s="36">
        <f>IF(T1970&gt;=2,ROUND((IF(T1970=2,0.55,IF(T1970&lt;=4,0.7,IF(T1970&lt;=6,0.8,IF(T1970&lt;=9,0.9,1))))*(S1970/T1970)+(1-(IF(T1970=2,0.55,IF(T1970&lt;=4,0.7,IF(T1970&lt;=6,0.8,IF(T1970&lt;=9,0.9,1))))))*$Y$1),1),"")</f>
        <v>8</v>
      </c>
      <c r="V1970" s="37">
        <v>6.7</v>
      </c>
      <c r="W1970" s="38"/>
    </row>
    <row r="1971" ht="47.25" customHeight="1" spans="1:23" x14ac:dyDescent="0.25">
      <c r="A1971" s="31">
        <v>1989</v>
      </c>
      <c r="B1971" s="32" t="s">
        <v>2090</v>
      </c>
      <c r="C1971" s="33" t="s">
        <v>24</v>
      </c>
      <c r="D1971" s="34">
        <v>2024</v>
      </c>
      <c r="E1971" s="34" t="s">
        <v>25</v>
      </c>
      <c r="F1971" s="6">
        <v>8</v>
      </c>
      <c r="G1971" s="6">
        <v>8</v>
      </c>
      <c r="H1971" s="6">
        <v>8</v>
      </c>
      <c r="I1971" s="6"/>
      <c r="J1971" s="6">
        <v>9</v>
      </c>
      <c r="K1971" s="6"/>
      <c r="L1971" s="6">
        <v>7</v>
      </c>
      <c r="M1971" s="6"/>
      <c r="N1971" s="6"/>
      <c r="O1971" s="6">
        <v>9</v>
      </c>
      <c r="P1971" s="6">
        <v>8</v>
      </c>
      <c r="Q1971" s="6"/>
      <c r="R1971" s="6">
        <v>8</v>
      </c>
      <c r="S1971" s="35">
        <f>SUM(F1971:R1971)</f>
        <v>65</v>
      </c>
      <c r="T1971" s="35">
        <f>COUNT(F1971:R1971)</f>
        <v>8</v>
      </c>
      <c r="U1971" s="36">
        <f>IF(T1971&gt;=2,ROUND((IF(T1971=2,0.55,IF(T1971&lt;=4,0.7,IF(T1971&lt;=6,0.8,IF(T1971&lt;=9,0.9,1))))*(S1971/T1971)+(1-(IF(T1971=2,0.55,IF(T1971&lt;=4,0.7,IF(T1971&lt;=6,0.8,IF(T1971&lt;=9,0.9,1))))))*$Y$1),1),"")</f>
        <v>8.1</v>
      </c>
      <c r="V1971" s="37">
        <v>7.5</v>
      </c>
      <c r="W1971" s="38"/>
    </row>
    <row r="1972" ht="24" customHeight="1" spans="1:23" x14ac:dyDescent="0.25">
      <c r="A1972" s="31">
        <v>1050</v>
      </c>
      <c r="B1972" s="32" t="s">
        <v>2091</v>
      </c>
      <c r="C1972" s="33" t="s">
        <v>24</v>
      </c>
      <c r="D1972" s="34">
        <v>2021</v>
      </c>
      <c r="E1972" s="34" t="s">
        <v>30</v>
      </c>
      <c r="F1972" s="6"/>
      <c r="G1972" s="6"/>
      <c r="H1972" s="6"/>
      <c r="I1972" s="6"/>
      <c r="J1972" s="6"/>
      <c r="K1972" s="6"/>
      <c r="L1972" s="6"/>
      <c r="M1972" s="6"/>
      <c r="N1972" s="6"/>
      <c r="O1972" s="6">
        <v>6</v>
      </c>
      <c r="P1972" s="6"/>
      <c r="Q1972" s="6"/>
      <c r="R1972" s="6"/>
      <c r="S1972" s="35">
        <f>SUM(F1972:R1972)</f>
        <v>6</v>
      </c>
      <c r="T1972" s="35">
        <f>COUNT(F1972:R1972)</f>
        <v>1</v>
      </c>
      <c r="U1972" s="36">
        <f>IF(T1972&gt;=2,ROUND((IF(T1972=2,0.55,IF(T1972&lt;=4,0.7,IF(T1972&lt;=6,0.8,IF(T1972&lt;=9,0.9,1))))*(S1972/T1972)+(1-(IF(T1972=2,0.55,IF(T1972&lt;=4,0.7,IF(T1972&lt;=6,0.8,IF(T1972&lt;=9,0.9,1))))))*$Y$1),1),"")</f>
      </c>
      <c r="V1972" s="37">
        <v>5.6</v>
      </c>
      <c r="W1972" s="38"/>
    </row>
    <row r="1973" ht="24" customHeight="1" spans="1:23" x14ac:dyDescent="0.25">
      <c r="A1973" s="47">
        <v>1888</v>
      </c>
      <c r="B1973" s="32" t="s">
        <v>2092</v>
      </c>
      <c r="C1973" s="48" t="s">
        <v>24</v>
      </c>
      <c r="D1973" s="49">
        <v>2023</v>
      </c>
      <c r="E1973" s="49" t="s">
        <v>48</v>
      </c>
      <c r="F1973" s="6">
        <v>8</v>
      </c>
      <c r="G1973" s="6">
        <v>8</v>
      </c>
      <c r="H1973" s="6">
        <v>8</v>
      </c>
      <c r="I1973" s="6">
        <v>8</v>
      </c>
      <c r="J1973" s="6">
        <v>8</v>
      </c>
      <c r="K1973" s="6"/>
      <c r="L1973" s="6">
        <v>8</v>
      </c>
      <c r="M1973" s="6">
        <v>8</v>
      </c>
      <c r="N1973" s="6">
        <v>8</v>
      </c>
      <c r="O1973" s="6">
        <v>8</v>
      </c>
      <c r="P1973" s="6"/>
      <c r="Q1973" s="6"/>
      <c r="R1973" s="6"/>
      <c r="S1973" s="35">
        <f>SUM(F1973:R1973)</f>
        <v>72</v>
      </c>
      <c r="T1973" s="35">
        <f>COUNT(F1973:R1973)</f>
        <v>9</v>
      </c>
      <c r="U1973" s="36">
        <f>IF(T1973&gt;=2,ROUND((IF(T1973=2,0.55,IF(T1973&lt;=4,0.7,IF(T1973&lt;=6,0.8,IF(T1973&lt;=9,0.9,1))))*(S1973/T1973)+(1-(IF(T1973=2,0.55,IF(T1973&lt;=4,0.7,IF(T1973&lt;=6,0.8,IF(T1973&lt;=9,0.9,1))))))*$Y$1),1),"")</f>
        <v>8</v>
      </c>
      <c r="V1973" s="37">
        <v>7.4</v>
      </c>
      <c r="W1973" s="38" t="s">
        <v>44</v>
      </c>
    </row>
    <row r="1974" ht="24" customHeight="1" spans="1:23" x14ac:dyDescent="0.25">
      <c r="A1974" s="31">
        <v>2009</v>
      </c>
      <c r="B1974" s="32" t="s">
        <v>2093</v>
      </c>
      <c r="C1974" s="33" t="s">
        <v>29</v>
      </c>
      <c r="D1974" s="34">
        <v>2002</v>
      </c>
      <c r="E1974" s="34"/>
      <c r="F1974" s="6">
        <v>7</v>
      </c>
      <c r="G1974" s="6"/>
      <c r="H1974" s="6">
        <v>9</v>
      </c>
      <c r="I1974" s="6"/>
      <c r="J1974" s="6"/>
      <c r="K1974" s="6"/>
      <c r="L1974" s="6">
        <v>7</v>
      </c>
      <c r="M1974" s="6"/>
      <c r="N1974" s="6"/>
      <c r="O1974" s="6"/>
      <c r="P1974" s="6"/>
      <c r="Q1974" s="6"/>
      <c r="R1974" s="6"/>
      <c r="S1974" s="35">
        <f>SUM(F1974:R1974)</f>
        <v>23</v>
      </c>
      <c r="T1974" s="35">
        <f>COUNT(F1974:R1974)</f>
        <v>3</v>
      </c>
      <c r="U1974" s="36">
        <f>IF(T1974&gt;=2,ROUND((IF(T1974=2,0.55,IF(T1974&lt;=4,0.7,IF(T1974&lt;=6,0.8,IF(T1974&lt;=9,0.9,1))))*(S1974/T1974)+(1-(IF(T1974=2,0.55,IF(T1974&lt;=4,0.7,IF(T1974&lt;=6,0.8,IF(T1974&lt;=9,0.9,1))))))*$Y$1),1),"")</f>
        <v>7.8</v>
      </c>
      <c r="V1974" s="37">
        <v>8.1</v>
      </c>
      <c r="W1974" s="38"/>
    </row>
    <row r="1975" ht="24" customHeight="1" spans="1:23" x14ac:dyDescent="0.25">
      <c r="A1975" s="31">
        <v>395</v>
      </c>
      <c r="B1975" s="32" t="s">
        <v>2094</v>
      </c>
      <c r="C1975" s="33" t="s">
        <v>24</v>
      </c>
      <c r="D1975" s="34">
        <v>1985</v>
      </c>
      <c r="E1975" s="34" t="s">
        <v>106</v>
      </c>
      <c r="F1975" s="6">
        <v>8</v>
      </c>
      <c r="G1975" s="6">
        <v>8</v>
      </c>
      <c r="H1975" s="6">
        <v>10</v>
      </c>
      <c r="I1975" s="6">
        <v>10</v>
      </c>
      <c r="J1975" s="6"/>
      <c r="K1975" s="6">
        <v>10</v>
      </c>
      <c r="L1975" s="6">
        <v>8</v>
      </c>
      <c r="M1975" s="6">
        <v>10</v>
      </c>
      <c r="N1975" s="6"/>
      <c r="O1975" s="6"/>
      <c r="P1975" s="6">
        <v>8</v>
      </c>
      <c r="Q1975" s="6">
        <v>10</v>
      </c>
      <c r="R1975" s="6"/>
      <c r="S1975" s="35">
        <f>SUM(F1975:R1975)</f>
        <v>82</v>
      </c>
      <c r="T1975" s="35">
        <f>COUNT(F1975:R1975)</f>
        <v>9</v>
      </c>
      <c r="U1975" s="36">
        <f>IF(T1975&gt;=2,ROUND((IF(T1975=2,0.55,IF(T1975&lt;=4,0.7,IF(T1975&lt;=6,0.8,IF(T1975&lt;=9,0.9,1))))*(S1975/T1975)+(1-(IF(T1975=2,0.55,IF(T1975&lt;=4,0.7,IF(T1975&lt;=6,0.8,IF(T1975&lt;=9,0.9,1))))))*$Y$1),1),"")</f>
        <v>9</v>
      </c>
      <c r="V1975" s="37">
        <v>7.6</v>
      </c>
      <c r="W1975" s="38"/>
    </row>
    <row r="1976" ht="24" customHeight="1" spans="1:23" x14ac:dyDescent="0.25">
      <c r="A1976" s="40">
        <v>2259</v>
      </c>
      <c r="B1976" s="32" t="s">
        <v>2095</v>
      </c>
      <c r="C1976" s="33" t="s">
        <v>24</v>
      </c>
      <c r="D1976" s="34">
        <v>2010</v>
      </c>
      <c r="E1976" s="41"/>
      <c r="F1976" s="6"/>
      <c r="G1976" s="6">
        <v>7</v>
      </c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35">
        <f>SUM(F1976:R1976)</f>
        <v>7</v>
      </c>
      <c r="T1976" s="35">
        <f>COUNT(F1976:R1976)</f>
        <v>1</v>
      </c>
      <c r="U1976" s="36">
        <f>IF(T1976&gt;=2,ROUND((IF(T1976=2,0.55,IF(T1976&lt;=4,0.7,IF(T1976&lt;=6,0.8,IF(T1976&lt;=9,0.9,1))))*(S1976/T1976)+(1-(IF(T1976=2,0.55,IF(T1976&lt;=4,0.7,IF(T1976&lt;=6,0.8,IF(T1976&lt;=9,0.9,1))))))*$Y$1),1),"")</f>
      </c>
      <c r="V1976" s="37">
        <v>6.4</v>
      </c>
      <c r="W1976" s="38"/>
    </row>
    <row r="1977" ht="24" customHeight="1" spans="1:23" x14ac:dyDescent="0.25">
      <c r="A1977" s="31">
        <v>2039</v>
      </c>
      <c r="B1977" s="32" t="s">
        <v>2096</v>
      </c>
      <c r="C1977" s="33" t="s">
        <v>29</v>
      </c>
      <c r="D1977" s="34">
        <v>2025</v>
      </c>
      <c r="E1977" s="41"/>
      <c r="F1977" s="6">
        <v>8</v>
      </c>
      <c r="G1977" s="6">
        <v>9</v>
      </c>
      <c r="H1977" s="6">
        <v>8</v>
      </c>
      <c r="I1977" s="6"/>
      <c r="J1977" s="6"/>
      <c r="K1977" s="6"/>
      <c r="L1977" s="6">
        <v>7</v>
      </c>
      <c r="M1977" s="6">
        <v>8</v>
      </c>
      <c r="N1977" s="6"/>
      <c r="O1977" s="6"/>
      <c r="P1977" s="6"/>
      <c r="Q1977" s="6"/>
      <c r="R1977" s="6"/>
      <c r="S1977" s="35">
        <f>SUM(F1977:R1977)</f>
        <v>40</v>
      </c>
      <c r="T1977" s="35">
        <f>COUNT(F1977:R1977)</f>
        <v>5</v>
      </c>
      <c r="U1977" s="36">
        <f>IF(T1977&gt;=2,ROUND((IF(T1977=2,0.55,IF(T1977&lt;=4,0.7,IF(T1977&lt;=6,0.8,IF(T1977&lt;=9,0.9,1))))*(S1977/T1977)+(1-(IF(T1977=2,0.55,IF(T1977&lt;=4,0.7,IF(T1977&lt;=6,0.8,IF(T1977&lt;=9,0.9,1))))))*$Y$1),1),"")</f>
        <v>8</v>
      </c>
      <c r="V1977" s="37">
        <v>7</v>
      </c>
      <c r="W1977" s="38"/>
    </row>
    <row r="1978" ht="24" customHeight="1" spans="1:23" x14ac:dyDescent="0.25">
      <c r="A1978" s="31">
        <v>381</v>
      </c>
      <c r="B1978" s="32" t="s">
        <v>2097</v>
      </c>
      <c r="C1978" s="33" t="s">
        <v>24</v>
      </c>
      <c r="D1978" s="34">
        <v>2010</v>
      </c>
      <c r="E1978" s="34" t="s">
        <v>60</v>
      </c>
      <c r="F1978" s="6"/>
      <c r="G1978" s="6">
        <v>8</v>
      </c>
      <c r="H1978" s="6"/>
      <c r="I1978" s="6"/>
      <c r="J1978" s="6"/>
      <c r="K1978" s="6"/>
      <c r="L1978" s="6">
        <v>8</v>
      </c>
      <c r="M1978" s="6"/>
      <c r="N1978" s="6"/>
      <c r="O1978" s="6"/>
      <c r="P1978" s="6">
        <v>8</v>
      </c>
      <c r="Q1978" s="6"/>
      <c r="R1978" s="6"/>
      <c r="S1978" s="35">
        <f>SUM(F1978:R1978)</f>
        <v>24</v>
      </c>
      <c r="T1978" s="35">
        <f>COUNT(F1978:R1978)</f>
        <v>3</v>
      </c>
      <c r="U1978" s="36">
        <f>IF(T1978&gt;=2,ROUND((IF(T1978=2,0.55,IF(T1978&lt;=4,0.7,IF(T1978&lt;=6,0.8,IF(T1978&lt;=9,0.9,1))))*(S1978/T1978)+(1-(IF(T1978=2,0.55,IF(T1978&lt;=4,0.7,IF(T1978&lt;=6,0.8,IF(T1978&lt;=9,0.9,1))))))*$Y$1),1),"")</f>
        <v>8</v>
      </c>
      <c r="V1978" s="37">
        <v>7.8</v>
      </c>
      <c r="W1978" s="38"/>
    </row>
    <row r="1979" ht="24" customHeight="1" spans="1:23" x14ac:dyDescent="0.25">
      <c r="A1979" s="40">
        <v>2177</v>
      </c>
      <c r="B1979" s="32" t="s">
        <v>2098</v>
      </c>
      <c r="C1979" s="33" t="s">
        <v>24</v>
      </c>
      <c r="D1979" s="34">
        <v>2006</v>
      </c>
      <c r="E1979" s="41"/>
      <c r="F1979" s="6"/>
      <c r="G1979" s="6">
        <v>7</v>
      </c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35">
        <f>SUM(F1979:R1979)</f>
        <v>7</v>
      </c>
      <c r="T1979" s="35">
        <f>COUNT(F1979:R1979)</f>
        <v>1</v>
      </c>
      <c r="U1979" s="36">
        <f>IF(T1979&gt;=2,ROUND((IF(T1979=2,0.55,IF(T1979&lt;=4,0.7,IF(T1979&lt;=6,0.8,IF(T1979&lt;=9,0.9,1))))*(S1979/T1979)+(1-(IF(T1979=2,0.55,IF(T1979&lt;=4,0.7,IF(T1979&lt;=6,0.8,IF(T1979&lt;=9,0.9,1))))))*$Y$1),1),"")</f>
      </c>
      <c r="V1979" s="37">
        <v>7.3</v>
      </c>
      <c r="W1979" s="38"/>
    </row>
    <row r="1980" ht="24" customHeight="1" spans="1:23" x14ac:dyDescent="0.25">
      <c r="A1980" s="31">
        <v>205</v>
      </c>
      <c r="B1980" s="32" t="s">
        <v>2099</v>
      </c>
      <c r="C1980" s="33" t="s">
        <v>24</v>
      </c>
      <c r="D1980" s="34">
        <v>2004</v>
      </c>
      <c r="E1980" s="34" t="s">
        <v>27</v>
      </c>
      <c r="F1980" s="6"/>
      <c r="G1980" s="6">
        <v>9</v>
      </c>
      <c r="H1980" s="6"/>
      <c r="I1980" s="6"/>
      <c r="J1980" s="6"/>
      <c r="K1980" s="6">
        <v>6</v>
      </c>
      <c r="L1980" s="6">
        <v>6</v>
      </c>
      <c r="M1980" s="6"/>
      <c r="N1980" s="6">
        <v>8</v>
      </c>
      <c r="O1980" s="6"/>
      <c r="P1980" s="6">
        <v>10</v>
      </c>
      <c r="Q1980" s="6">
        <v>6</v>
      </c>
      <c r="R1980" s="6"/>
      <c r="S1980" s="35">
        <f>SUM(F1980:R1980)</f>
        <v>45</v>
      </c>
      <c r="T1980" s="35">
        <f>COUNT(F1980:R1980)</f>
        <v>6</v>
      </c>
      <c r="U1980" s="36">
        <f>IF(T1980&gt;=2,ROUND((IF(T1980=2,0.55,IF(T1980&lt;=4,0.7,IF(T1980&lt;=6,0.8,IF(T1980&lt;=9,0.9,1))))*(S1980/T1980)+(1-(IF(T1980=2,0.55,IF(T1980&lt;=4,0.7,IF(T1980&lt;=6,0.8,IF(T1980&lt;=9,0.9,1))))))*$Y$1),1),"")</f>
        <v>7.6</v>
      </c>
      <c r="V1980" s="37">
        <v>8.2</v>
      </c>
      <c r="W1980" s="38"/>
    </row>
    <row r="1981" ht="24" customHeight="1" spans="1:23" x14ac:dyDescent="0.25">
      <c r="A1981" s="31">
        <v>1547</v>
      </c>
      <c r="B1981" s="32" t="s">
        <v>2100</v>
      </c>
      <c r="C1981" s="33" t="s">
        <v>24</v>
      </c>
      <c r="D1981" s="34">
        <v>2022</v>
      </c>
      <c r="E1981" s="34" t="s">
        <v>27</v>
      </c>
      <c r="F1981" s="6">
        <v>5</v>
      </c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35">
        <f>SUM(F1981:R1981)</f>
        <v>5</v>
      </c>
      <c r="T1981" s="35">
        <f>COUNT(F1981:R1981)</f>
        <v>1</v>
      </c>
      <c r="U1981" s="36">
        <f>IF(T1981&gt;=2,ROUND((IF(T1981=2,0.55,IF(T1981&lt;=4,0.7,IF(T1981&lt;=6,0.8,IF(T1981&lt;=9,0.9,1))))*(S1981/T1981)+(1-(IF(T1981=2,0.55,IF(T1981&lt;=4,0.7,IF(T1981&lt;=6,0.8,IF(T1981&lt;=9,0.9,1))))))*$Y$1),1),"")</f>
      </c>
      <c r="V1981" s="37">
        <v>6.4</v>
      </c>
      <c r="W1981" s="38"/>
    </row>
    <row r="1982" ht="47.25" customHeight="1" spans="1:23" x14ac:dyDescent="0.25">
      <c r="A1982" s="31">
        <v>1088</v>
      </c>
      <c r="B1982" s="32" t="s">
        <v>2101</v>
      </c>
      <c r="C1982" s="33" t="s">
        <v>24</v>
      </c>
      <c r="D1982" s="34">
        <v>2016</v>
      </c>
      <c r="E1982" s="34" t="s">
        <v>25</v>
      </c>
      <c r="F1982" s="6">
        <v>8</v>
      </c>
      <c r="G1982" s="6">
        <v>8</v>
      </c>
      <c r="H1982" s="6"/>
      <c r="I1982" s="6"/>
      <c r="J1982" s="6">
        <v>8</v>
      </c>
      <c r="K1982" s="6"/>
      <c r="L1982" s="6"/>
      <c r="M1982" s="6"/>
      <c r="N1982" s="6"/>
      <c r="O1982" s="6"/>
      <c r="P1982" s="6">
        <v>8</v>
      </c>
      <c r="Q1982" s="6"/>
      <c r="R1982" s="6"/>
      <c r="S1982" s="35">
        <f>SUM(F1982:R1982)</f>
        <v>32</v>
      </c>
      <c r="T1982" s="35">
        <f>COUNT(F1982:R1982)</f>
        <v>4</v>
      </c>
      <c r="U1982" s="36">
        <f>IF(T1982&gt;=2,ROUND((IF(T1982=2,0.55,IF(T1982&lt;=4,0.7,IF(T1982&lt;=6,0.8,IF(T1982&lt;=9,0.9,1))))*(S1982/T1982)+(1-(IF(T1982=2,0.55,IF(T1982&lt;=4,0.7,IF(T1982&lt;=6,0.8,IF(T1982&lt;=9,0.9,1))))))*$Y$1),1),"")</f>
        <v>8</v>
      </c>
      <c r="V1982" s="37">
        <v>7.6</v>
      </c>
      <c r="W1982" s="38"/>
    </row>
    <row r="1983" ht="24" customHeight="1" spans="1:23" x14ac:dyDescent="0.25">
      <c r="A1983" s="31">
        <v>383</v>
      </c>
      <c r="B1983" s="32" t="s">
        <v>2102</v>
      </c>
      <c r="C1983" s="33" t="s">
        <v>24</v>
      </c>
      <c r="D1983" s="34">
        <v>2016</v>
      </c>
      <c r="E1983" s="34" t="s">
        <v>595</v>
      </c>
      <c r="F1983" s="6">
        <v>8</v>
      </c>
      <c r="G1983" s="6">
        <v>7</v>
      </c>
      <c r="H1983" s="6"/>
      <c r="I1983" s="6">
        <v>10</v>
      </c>
      <c r="J1983" s="6">
        <v>8</v>
      </c>
      <c r="K1983" s="6">
        <v>7</v>
      </c>
      <c r="L1983" s="6">
        <v>10</v>
      </c>
      <c r="M1983" s="6">
        <v>8</v>
      </c>
      <c r="N1983" s="6">
        <v>8</v>
      </c>
      <c r="O1983" s="6"/>
      <c r="P1983" s="6"/>
      <c r="Q1983" s="6">
        <v>7</v>
      </c>
      <c r="R1983" s="6">
        <v>10</v>
      </c>
      <c r="S1983" s="35">
        <f>SUM(F1983:R1983)</f>
        <v>83</v>
      </c>
      <c r="T1983" s="35">
        <f>COUNT(F1983:R1983)</f>
        <v>10</v>
      </c>
      <c r="U1983" s="36">
        <f>IF(T1983&gt;=2,ROUND((IF(T1983=2,0.55,IF(T1983&lt;=4,0.7,IF(T1983&lt;=6,0.8,IF(T1983&lt;=9,0.9,1))))*(S1983/T1983)+(1-(IF(T1983=2,0.55,IF(T1983&lt;=4,0.7,IF(T1983&lt;=6,0.8,IF(T1983&lt;=9,0.9,1))))))*$Y$1),1),"")</f>
        <v>8.3</v>
      </c>
      <c r="V1983" s="37">
        <v>6.1</v>
      </c>
      <c r="W1983" s="38"/>
    </row>
    <row r="1984" ht="24" customHeight="1" spans="1:23" x14ac:dyDescent="0.25">
      <c r="A1984" s="51">
        <v>2345</v>
      </c>
      <c r="B1984" s="32" t="s">
        <v>2103</v>
      </c>
      <c r="C1984" s="48" t="s">
        <v>24</v>
      </c>
      <c r="D1984" s="49">
        <v>2001</v>
      </c>
      <c r="E1984" s="52"/>
      <c r="F1984" s="6">
        <v>8</v>
      </c>
      <c r="G1984" s="6">
        <v>6</v>
      </c>
      <c r="H1984" s="6">
        <v>6</v>
      </c>
      <c r="I1984" s="6">
        <v>8</v>
      </c>
      <c r="J1984" s="6">
        <v>8</v>
      </c>
      <c r="K1984" s="6">
        <v>7</v>
      </c>
      <c r="L1984" s="6">
        <v>7</v>
      </c>
      <c r="M1984" s="6">
        <v>6</v>
      </c>
      <c r="N1984" s="6">
        <v>8</v>
      </c>
      <c r="O1984" s="6">
        <v>6</v>
      </c>
      <c r="P1984" s="6">
        <v>6</v>
      </c>
      <c r="Q1984" s="6">
        <v>7</v>
      </c>
      <c r="R1984" s="6">
        <v>6</v>
      </c>
      <c r="S1984" s="35">
        <f>SUM(F1984:R1984)</f>
        <v>89</v>
      </c>
      <c r="T1984" s="35">
        <f>COUNT(F1984:R1984)</f>
        <v>13</v>
      </c>
      <c r="U1984" s="36">
        <f>IF(T1984&gt;=2,ROUND((IF(T1984=2,0.55,IF(T1984&lt;=4,0.7,IF(T1984&lt;=6,0.8,IF(T1984&lt;=9,0.9,1))))*(S1984/T1984)+(1-(IF(T1984=2,0.55,IF(T1984&lt;=4,0.7,IF(T1984&lt;=6,0.8,IF(T1984&lt;=9,0.9,1))))))*$Y$1),1),"")</f>
        <v>6.8</v>
      </c>
      <c r="V1984" s="37">
        <v>7.5</v>
      </c>
      <c r="W1984" s="38" t="s">
        <v>44</v>
      </c>
    </row>
    <row r="1985" ht="24" customHeight="1" spans="1:23" x14ac:dyDescent="0.25">
      <c r="A1985" s="40">
        <v>2239</v>
      </c>
      <c r="B1985" s="32" t="s">
        <v>2104</v>
      </c>
      <c r="C1985" s="33" t="s">
        <v>24</v>
      </c>
      <c r="D1985" s="34">
        <v>2009</v>
      </c>
      <c r="E1985" s="41"/>
      <c r="F1985" s="6"/>
      <c r="G1985" s="6">
        <v>7</v>
      </c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35">
        <f>SUM(F1985:R1985)</f>
        <v>7</v>
      </c>
      <c r="T1985" s="35">
        <f>COUNT(F1985:R1985)</f>
        <v>1</v>
      </c>
      <c r="U1985" s="36">
        <f>IF(T1985&gt;=2,ROUND((IF(T1985=2,0.55,IF(T1985&lt;=4,0.7,IF(T1985&lt;=6,0.8,IF(T1985&lt;=9,0.9,1))))*(S1985/T1985)+(1-(IF(T1985=2,0.55,IF(T1985&lt;=4,0.7,IF(T1985&lt;=6,0.8,IF(T1985&lt;=9,0.9,1))))))*$Y$1),1),"")</f>
      </c>
      <c r="V1985" s="37">
        <v>7.1</v>
      </c>
      <c r="W1985" s="38"/>
    </row>
    <row r="1986" ht="24" customHeight="1" spans="1:23" x14ac:dyDescent="0.25">
      <c r="A1986" s="31">
        <v>13</v>
      </c>
      <c r="B1986" s="32" t="s">
        <v>2105</v>
      </c>
      <c r="C1986" s="33" t="s">
        <v>24</v>
      </c>
      <c r="D1986" s="34">
        <v>2006</v>
      </c>
      <c r="E1986" s="34" t="s">
        <v>30</v>
      </c>
      <c r="F1986" s="6">
        <v>10</v>
      </c>
      <c r="G1986" s="6">
        <v>8</v>
      </c>
      <c r="H1986" s="6">
        <v>8</v>
      </c>
      <c r="I1986" s="6">
        <v>8</v>
      </c>
      <c r="J1986" s="6">
        <v>10</v>
      </c>
      <c r="K1986" s="6">
        <v>8</v>
      </c>
      <c r="L1986" s="6">
        <v>8</v>
      </c>
      <c r="M1986" s="6">
        <v>8</v>
      </c>
      <c r="N1986" s="6">
        <v>8</v>
      </c>
      <c r="O1986" s="6"/>
      <c r="P1986" s="6">
        <v>8</v>
      </c>
      <c r="Q1986" s="6">
        <v>8</v>
      </c>
      <c r="R1986" s="6">
        <v>8</v>
      </c>
      <c r="S1986" s="35">
        <f>SUM(F1986:R1986)</f>
        <v>100</v>
      </c>
      <c r="T1986" s="35">
        <f>COUNT(F1986:R1986)</f>
        <v>12</v>
      </c>
      <c r="U1986" s="36">
        <f>IF(T1986&gt;=2,ROUND((IF(T1986=2,0.55,IF(T1986&lt;=4,0.7,IF(T1986&lt;=6,0.8,IF(T1986&lt;=9,0.9,1))))*(S1986/T1986)+(1-(IF(T1986=2,0.55,IF(T1986&lt;=4,0.7,IF(T1986&lt;=6,0.8,IF(T1986&lt;=9,0.9,1))))))*$Y$1),1),"")</f>
        <v>8.3</v>
      </c>
      <c r="V1986" s="37">
        <v>8</v>
      </c>
      <c r="W1986" s="38"/>
    </row>
    <row r="1987" ht="24" customHeight="1" spans="1:23" x14ac:dyDescent="0.25">
      <c r="A1987" s="31">
        <v>721</v>
      </c>
      <c r="B1987" s="32" t="s">
        <v>2106</v>
      </c>
      <c r="C1987" s="33" t="s">
        <v>24</v>
      </c>
      <c r="D1987" s="34">
        <v>2014</v>
      </c>
      <c r="E1987" s="34" t="s">
        <v>27</v>
      </c>
      <c r="F1987" s="6">
        <v>8</v>
      </c>
      <c r="G1987" s="6"/>
      <c r="H1987" s="6"/>
      <c r="I1987" s="6"/>
      <c r="J1987" s="6"/>
      <c r="K1987" s="6"/>
      <c r="L1987" s="6">
        <v>8</v>
      </c>
      <c r="M1987" s="6"/>
      <c r="N1987" s="6"/>
      <c r="O1987" s="6"/>
      <c r="P1987" s="6"/>
      <c r="Q1987" s="6"/>
      <c r="R1987" s="6"/>
      <c r="S1987" s="35">
        <f>SUM(F1987:R1987)</f>
        <v>16</v>
      </c>
      <c r="T1987" s="35">
        <f>COUNT(F1987:R1987)</f>
        <v>2</v>
      </c>
      <c r="U1987" s="36">
        <f>IF(T1987&gt;=2,ROUND((IF(T1987=2,0.55,IF(T1987&lt;=4,0.7,IF(T1987&lt;=6,0.8,IF(T1987&lt;=9,0.9,1))))*(S1987/T1987)+(1-(IF(T1987=2,0.55,IF(T1987&lt;=4,0.7,IF(T1987&lt;=6,0.8,IF(T1987&lt;=9,0.9,1))))))*$Y$1),1),"")</f>
        <v>8</v>
      </c>
      <c r="V1987" s="37">
        <v>5.9</v>
      </c>
      <c r="W1987" s="38"/>
    </row>
    <row r="1988" ht="24" customHeight="1" spans="1:23" x14ac:dyDescent="0.25">
      <c r="A1988" s="31">
        <v>1474</v>
      </c>
      <c r="B1988" s="32" t="s">
        <v>2107</v>
      </c>
      <c r="C1988" s="33" t="s">
        <v>24</v>
      </c>
      <c r="D1988" s="34">
        <v>1987</v>
      </c>
      <c r="E1988" s="34" t="s">
        <v>27</v>
      </c>
      <c r="F1988" s="6"/>
      <c r="G1988" s="6">
        <v>7</v>
      </c>
      <c r="H1988" s="6"/>
      <c r="I1988" s="6"/>
      <c r="J1988" s="6"/>
      <c r="K1988" s="6"/>
      <c r="L1988" s="6"/>
      <c r="M1988" s="6"/>
      <c r="N1988" s="6"/>
      <c r="O1988" s="6"/>
      <c r="P1988" s="6">
        <v>7</v>
      </c>
      <c r="Q1988" s="6"/>
      <c r="R1988" s="6"/>
      <c r="S1988" s="35">
        <f>SUM(F1988:R1988)</f>
        <v>14</v>
      </c>
      <c r="T1988" s="35">
        <f>COUNT(F1988:R1988)</f>
        <v>2</v>
      </c>
      <c r="U1988" s="36">
        <f>IF(T1988&gt;=2,ROUND((IF(T1988=2,0.55,IF(T1988&lt;=4,0.7,IF(T1988&lt;=6,0.8,IF(T1988&lt;=9,0.9,1))))*(S1988/T1988)+(1-(IF(T1988=2,0.55,IF(T1988&lt;=4,0.7,IF(T1988&lt;=6,0.8,IF(T1988&lt;=9,0.9,1))))))*$Y$1),1),"")</f>
        <v>7.5</v>
      </c>
      <c r="V1988" s="37">
        <v>8</v>
      </c>
      <c r="W1988" s="38"/>
    </row>
    <row r="1989" ht="47.25" customHeight="1" spans="1:23" x14ac:dyDescent="0.25">
      <c r="A1989" s="31">
        <v>222</v>
      </c>
      <c r="B1989" s="32" t="s">
        <v>2108</v>
      </c>
      <c r="C1989" s="33" t="s">
        <v>24</v>
      </c>
      <c r="D1989" s="34">
        <v>1967</v>
      </c>
      <c r="E1989" s="34" t="s">
        <v>92</v>
      </c>
      <c r="F1989" s="6">
        <v>10</v>
      </c>
      <c r="G1989" s="6">
        <v>10</v>
      </c>
      <c r="H1989" s="6">
        <v>10</v>
      </c>
      <c r="I1989" s="6">
        <v>10</v>
      </c>
      <c r="J1989" s="6">
        <v>10</v>
      </c>
      <c r="K1989" s="6">
        <v>10</v>
      </c>
      <c r="L1989" s="6">
        <v>10</v>
      </c>
      <c r="M1989" s="6">
        <v>10</v>
      </c>
      <c r="N1989" s="6">
        <v>10</v>
      </c>
      <c r="O1989" s="6"/>
      <c r="P1989" s="6">
        <v>10</v>
      </c>
      <c r="Q1989" s="6">
        <v>10</v>
      </c>
      <c r="R1989" s="6"/>
      <c r="S1989" s="35">
        <f>SUM(F1989:R1989)</f>
        <v>110</v>
      </c>
      <c r="T1989" s="35">
        <f>COUNT(F1989:R1989)</f>
        <v>11</v>
      </c>
      <c r="U1989" s="36">
        <f>IF(T1989&gt;=2,ROUND((IF(T1989=2,0.55,IF(T1989&lt;=4,0.7,IF(T1989&lt;=6,0.8,IF(T1989&lt;=9,0.9,1))))*(S1989/T1989)+(1-(IF(T1989=2,0.55,IF(T1989&lt;=4,0.7,IF(T1989&lt;=6,0.8,IF(T1989&lt;=9,0.9,1))))))*$Y$1),1),"")</f>
        <v>10</v>
      </c>
      <c r="V1989" s="37">
        <v>8</v>
      </c>
      <c r="W1989" s="38"/>
    </row>
    <row r="1990" ht="24" customHeight="1" spans="1:23" x14ac:dyDescent="0.25">
      <c r="A1990" s="40">
        <v>2066</v>
      </c>
      <c r="B1990" s="32" t="s">
        <v>2109</v>
      </c>
      <c r="C1990" s="33" t="s">
        <v>24</v>
      </c>
      <c r="D1990" s="34">
        <v>1957</v>
      </c>
      <c r="E1990" s="41"/>
      <c r="F1990" s="6"/>
      <c r="G1990" s="6">
        <v>9</v>
      </c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35">
        <f>SUM(F1990:R1990)</f>
        <v>9</v>
      </c>
      <c r="T1990" s="35">
        <f>COUNT(F1990:R1990)</f>
        <v>1</v>
      </c>
      <c r="U1990" s="36">
        <f>IF(T1990&gt;=2,ROUND((IF(T1990=2,0.55,IF(T1990&lt;=4,0.7,IF(T1990&lt;=6,0.8,IF(T1990&lt;=9,0.9,1))))*(S1990/T1990)+(1-(IF(T1990=2,0.55,IF(T1990&lt;=4,0.7,IF(T1990&lt;=6,0.8,IF(T1990&lt;=9,0.9,1))))))*$Y$1),1),"")</f>
      </c>
      <c r="V1990" s="37">
        <v>8.1</v>
      </c>
      <c r="W1990" s="38"/>
    </row>
    <row r="1991" ht="24" customHeight="1" spans="1:23" x14ac:dyDescent="0.25">
      <c r="A1991" s="47">
        <v>1272</v>
      </c>
      <c r="B1991" s="32" t="s">
        <v>2110</v>
      </c>
      <c r="C1991" s="48" t="s">
        <v>24</v>
      </c>
      <c r="D1991" s="49">
        <v>2021</v>
      </c>
      <c r="E1991" s="49" t="s">
        <v>81</v>
      </c>
      <c r="F1991" s="6">
        <v>8</v>
      </c>
      <c r="G1991" s="6">
        <v>8</v>
      </c>
      <c r="H1991" s="6">
        <v>7</v>
      </c>
      <c r="I1991" s="6">
        <v>7</v>
      </c>
      <c r="J1991" s="6">
        <v>8</v>
      </c>
      <c r="K1991" s="6">
        <v>8</v>
      </c>
      <c r="L1991" s="6">
        <v>8</v>
      </c>
      <c r="M1991" s="6"/>
      <c r="N1991" s="6"/>
      <c r="O1991" s="6">
        <v>8</v>
      </c>
      <c r="P1991" s="6">
        <v>8</v>
      </c>
      <c r="Q1991" s="6">
        <v>8</v>
      </c>
      <c r="R1991" s="6"/>
      <c r="S1991" s="35">
        <f>SUM(F1991:R1991)</f>
        <v>78</v>
      </c>
      <c r="T1991" s="35">
        <f>COUNT(F1991:R1991)</f>
        <v>10</v>
      </c>
      <c r="U1991" s="36">
        <f>IF(T1991&gt;=2,ROUND((IF(T1991=2,0.55,IF(T1991&lt;=4,0.7,IF(T1991&lt;=6,0.8,IF(T1991&lt;=9,0.9,1))))*(S1991/T1991)+(1-(IF(T1991=2,0.55,IF(T1991&lt;=4,0.7,IF(T1991&lt;=6,0.8,IF(T1991&lt;=9,0.9,1))))))*$Y$1),1),"")</f>
        <v>7.8</v>
      </c>
      <c r="V1991" s="37">
        <v>7.7</v>
      </c>
      <c r="W1991" s="38" t="s">
        <v>44</v>
      </c>
    </row>
    <row r="1992" ht="24" customHeight="1" spans="1:23" x14ac:dyDescent="0.25">
      <c r="A1992" s="31">
        <v>1629</v>
      </c>
      <c r="B1992" s="32" t="s">
        <v>2111</v>
      </c>
      <c r="C1992" s="33" t="s">
        <v>24</v>
      </c>
      <c r="D1992" s="34">
        <v>2023</v>
      </c>
      <c r="E1992" s="34" t="s">
        <v>81</v>
      </c>
      <c r="F1992" s="6"/>
      <c r="G1992" s="6"/>
      <c r="H1992" s="6"/>
      <c r="I1992" s="6"/>
      <c r="J1992" s="6"/>
      <c r="K1992" s="6"/>
      <c r="L1992" s="6">
        <v>8</v>
      </c>
      <c r="M1992" s="6"/>
      <c r="N1992" s="6"/>
      <c r="O1992" s="6"/>
      <c r="P1992" s="6"/>
      <c r="Q1992" s="6"/>
      <c r="R1992" s="6"/>
      <c r="S1992" s="35">
        <f>SUM(F1992:R1992)</f>
        <v>8</v>
      </c>
      <c r="T1992" s="35">
        <f>COUNT(F1992:R1992)</f>
        <v>1</v>
      </c>
      <c r="U1992" s="36">
        <f>IF(T1992&gt;=2,ROUND((IF(T1992=2,0.55,IF(T1992&lt;=4,0.7,IF(T1992&lt;=6,0.8,IF(T1992&lt;=9,0.9,1))))*(S1992/T1992)+(1-(IF(T1992=2,0.55,IF(T1992&lt;=4,0.7,IF(T1992&lt;=6,0.8,IF(T1992&lt;=9,0.9,1))))))*$Y$1),1),"")</f>
      </c>
      <c r="V1992" s="37">
        <v>7.2</v>
      </c>
      <c r="W1992" s="38"/>
    </row>
    <row r="1993" ht="24" customHeight="1" spans="1:23" x14ac:dyDescent="0.25">
      <c r="A1993" s="31">
        <v>12</v>
      </c>
      <c r="B1993" s="32" t="s">
        <v>2112</v>
      </c>
      <c r="C1993" s="33" t="s">
        <v>24</v>
      </c>
      <c r="D1993" s="34">
        <v>2011</v>
      </c>
      <c r="E1993" s="34" t="s">
        <v>33</v>
      </c>
      <c r="F1993" s="6">
        <v>10</v>
      </c>
      <c r="G1993" s="6">
        <v>9</v>
      </c>
      <c r="H1993" s="6">
        <v>8</v>
      </c>
      <c r="I1993" s="6">
        <v>8</v>
      </c>
      <c r="J1993" s="6">
        <v>8</v>
      </c>
      <c r="K1993" s="6">
        <v>10</v>
      </c>
      <c r="L1993" s="6">
        <v>10</v>
      </c>
      <c r="M1993" s="6">
        <v>8</v>
      </c>
      <c r="N1993" s="6">
        <v>8</v>
      </c>
      <c r="O1993" s="6">
        <v>10</v>
      </c>
      <c r="P1993" s="6">
        <v>8</v>
      </c>
      <c r="Q1993" s="6">
        <v>10</v>
      </c>
      <c r="R1993" s="6">
        <v>8</v>
      </c>
      <c r="S1993" s="35">
        <f>SUM(F1993:R1993)</f>
        <v>115</v>
      </c>
      <c r="T1993" s="35">
        <f>COUNT(F1993:R1993)</f>
        <v>13</v>
      </c>
      <c r="U1993" s="36">
        <f>IF(T1993&gt;=2,ROUND((IF(T1993=2,0.55,IF(T1993&lt;=4,0.7,IF(T1993&lt;=6,0.8,IF(T1993&lt;=9,0.9,1))))*(S1993/T1993)+(1-(IF(T1993=2,0.55,IF(T1993&lt;=4,0.7,IF(T1993&lt;=6,0.8,IF(T1993&lt;=9,0.9,1))))))*$Y$1),1),"")</f>
        <v>8.8</v>
      </c>
      <c r="V1993" s="37">
        <v>7.6</v>
      </c>
      <c r="W1993" s="38"/>
    </row>
    <row r="1994" ht="24" customHeight="1" spans="1:23" x14ac:dyDescent="0.25">
      <c r="A1994" s="31">
        <v>1592</v>
      </c>
      <c r="B1994" s="32" t="s">
        <v>2113</v>
      </c>
      <c r="C1994" s="33" t="s">
        <v>24</v>
      </c>
      <c r="D1994" s="34">
        <v>2020</v>
      </c>
      <c r="E1994" s="34" t="s">
        <v>27</v>
      </c>
      <c r="F1994" s="6">
        <v>6</v>
      </c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35">
        <f>SUM(F1994:R1994)</f>
        <v>6</v>
      </c>
      <c r="T1994" s="35">
        <f>COUNT(F1994:R1994)</f>
        <v>1</v>
      </c>
      <c r="U1994" s="36">
        <f>IF(T1994&gt;=2,ROUND((IF(T1994=2,0.55,IF(T1994&lt;=4,0.7,IF(T1994&lt;=6,0.8,IF(T1994&lt;=9,0.9,1))))*(S1994/T1994)+(1-(IF(T1994=2,0.55,IF(T1994&lt;=4,0.7,IF(T1994&lt;=6,0.8,IF(T1994&lt;=9,0.9,1))))))*$Y$1),1),"")</f>
      </c>
      <c r="V1994" s="37">
        <v>6.4</v>
      </c>
      <c r="W1994" s="38"/>
    </row>
    <row r="1995" ht="47.25" customHeight="1" spans="1:23" x14ac:dyDescent="0.25">
      <c r="A1995" s="31">
        <v>454</v>
      </c>
      <c r="B1995" s="32" t="s">
        <v>2114</v>
      </c>
      <c r="C1995" s="33" t="s">
        <v>24</v>
      </c>
      <c r="D1995" s="34">
        <v>2008</v>
      </c>
      <c r="E1995" s="34" t="s">
        <v>25</v>
      </c>
      <c r="F1995" s="6">
        <v>8</v>
      </c>
      <c r="G1995" s="6">
        <v>8</v>
      </c>
      <c r="H1995" s="6"/>
      <c r="I1995" s="6"/>
      <c r="J1995" s="6"/>
      <c r="K1995" s="6"/>
      <c r="L1995" s="6"/>
      <c r="M1995" s="6"/>
      <c r="N1995" s="6"/>
      <c r="O1995" s="6"/>
      <c r="P1995" s="6">
        <v>8</v>
      </c>
      <c r="Q1995" s="6"/>
      <c r="R1995" s="6"/>
      <c r="S1995" s="35">
        <f>SUM(F1995:R1995)</f>
        <v>24</v>
      </c>
      <c r="T1995" s="35">
        <f>COUNT(F1995:R1995)</f>
        <v>3</v>
      </c>
      <c r="U1995" s="36">
        <f>IF(T1995&gt;=2,ROUND((IF(T1995=2,0.55,IF(T1995&lt;=4,0.7,IF(T1995&lt;=6,0.8,IF(T1995&lt;=9,0.9,1))))*(S1995/T1995)+(1-(IF(T1995=2,0.55,IF(T1995&lt;=4,0.7,IF(T1995&lt;=6,0.8,IF(T1995&lt;=9,0.9,1))))))*$Y$1),1),"")</f>
        <v>8</v>
      </c>
      <c r="V1995" s="37">
        <v>8</v>
      </c>
      <c r="W1995" s="38"/>
    </row>
    <row r="1996" ht="24" customHeight="1" spans="1:23" x14ac:dyDescent="0.25">
      <c r="A1996" s="31">
        <v>1470</v>
      </c>
      <c r="B1996" s="32" t="s">
        <v>2115</v>
      </c>
      <c r="C1996" s="33" t="s">
        <v>24</v>
      </c>
      <c r="D1996" s="34">
        <v>2015</v>
      </c>
      <c r="E1996" s="34" t="s">
        <v>27</v>
      </c>
      <c r="F1996" s="6">
        <v>8</v>
      </c>
      <c r="G1996" s="6"/>
      <c r="H1996" s="6">
        <v>8</v>
      </c>
      <c r="I1996" s="6">
        <v>8</v>
      </c>
      <c r="J1996" s="6"/>
      <c r="K1996" s="6">
        <v>10</v>
      </c>
      <c r="L1996" s="6">
        <v>8</v>
      </c>
      <c r="M1996" s="6"/>
      <c r="N1996" s="6"/>
      <c r="O1996" s="6">
        <v>10</v>
      </c>
      <c r="P1996" s="6"/>
      <c r="Q1996" s="6">
        <v>10</v>
      </c>
      <c r="R1996" s="6">
        <v>6</v>
      </c>
      <c r="S1996" s="35">
        <f>SUM(F1996:R1996)</f>
        <v>68</v>
      </c>
      <c r="T1996" s="35">
        <f>COUNT(F1996:R1996)</f>
        <v>8</v>
      </c>
      <c r="U1996" s="36">
        <f>IF(T1996&gt;=2,ROUND((IF(T1996=2,0.55,IF(T1996&lt;=4,0.7,IF(T1996&lt;=6,0.8,IF(T1996&lt;=9,0.9,1))))*(S1996/T1996)+(1-(IF(T1996=2,0.55,IF(T1996&lt;=4,0.7,IF(T1996&lt;=6,0.8,IF(T1996&lt;=9,0.9,1))))))*$Y$1),1),"")</f>
        <v>8.5</v>
      </c>
      <c r="V1996" s="37">
        <v>7.2</v>
      </c>
      <c r="W1996" s="38"/>
    </row>
    <row r="1997" ht="24" customHeight="1" spans="1:23" x14ac:dyDescent="0.25">
      <c r="A1997" s="31">
        <v>318</v>
      </c>
      <c r="B1997" s="32" t="s">
        <v>2116</v>
      </c>
      <c r="C1997" s="33" t="s">
        <v>24</v>
      </c>
      <c r="D1997" s="34">
        <v>1998</v>
      </c>
      <c r="E1997" s="34" t="s">
        <v>30</v>
      </c>
      <c r="F1997" s="6"/>
      <c r="G1997" s="6">
        <v>8</v>
      </c>
      <c r="H1997" s="6">
        <v>8</v>
      </c>
      <c r="I1997" s="6">
        <v>9</v>
      </c>
      <c r="J1997" s="6">
        <v>9</v>
      </c>
      <c r="K1997" s="6">
        <v>9</v>
      </c>
      <c r="L1997" s="6">
        <v>8.5</v>
      </c>
      <c r="M1997" s="6"/>
      <c r="N1997" s="6"/>
      <c r="O1997" s="6">
        <v>9</v>
      </c>
      <c r="P1997" s="6">
        <v>8</v>
      </c>
      <c r="Q1997" s="6">
        <v>9</v>
      </c>
      <c r="R1997" s="6">
        <v>9</v>
      </c>
      <c r="S1997" s="35">
        <f>SUM(F1997:R1997)</f>
        <v>86.5</v>
      </c>
      <c r="T1997" s="35">
        <f>COUNT(F1997:R1997)</f>
        <v>10</v>
      </c>
      <c r="U1997" s="36">
        <f>IF(T1997&gt;=2,ROUND((IF(T1997=2,0.55,IF(T1997&lt;=4,0.7,IF(T1997&lt;=6,0.8,IF(T1997&lt;=9,0.9,1))))*(S1997/T1997)+(1-(IF(T1997=2,0.55,IF(T1997&lt;=4,0.7,IF(T1997&lt;=6,0.8,IF(T1997&lt;=9,0.9,1))))))*$Y$1),1),"")</f>
        <v>8.7</v>
      </c>
      <c r="V1997" s="37">
        <v>8.5</v>
      </c>
      <c r="W1997" s="38" t="s">
        <v>44</v>
      </c>
    </row>
    <row r="1998" ht="24" customHeight="1" spans="1:23" x14ac:dyDescent="0.25">
      <c r="A1998" s="31">
        <v>284</v>
      </c>
      <c r="B1998" s="32" t="s">
        <v>2117</v>
      </c>
      <c r="C1998" s="33" t="s">
        <v>24</v>
      </c>
      <c r="D1998" s="34">
        <v>2008</v>
      </c>
      <c r="E1998" s="34" t="s">
        <v>25</v>
      </c>
      <c r="F1998" s="6">
        <v>7</v>
      </c>
      <c r="G1998" s="6"/>
      <c r="H1998" s="6">
        <v>8</v>
      </c>
      <c r="I1998" s="6"/>
      <c r="J1998" s="6"/>
      <c r="K1998" s="6">
        <v>8</v>
      </c>
      <c r="L1998" s="6">
        <v>10</v>
      </c>
      <c r="M1998" s="6"/>
      <c r="N1998" s="6"/>
      <c r="O1998" s="6"/>
      <c r="P1998" s="6"/>
      <c r="Q1998" s="6">
        <v>8</v>
      </c>
      <c r="R1998" s="6"/>
      <c r="S1998" s="35">
        <f>SUM(F1998:R1998)</f>
        <v>41</v>
      </c>
      <c r="T1998" s="35">
        <f>COUNT(F1998:R1998)</f>
        <v>5</v>
      </c>
      <c r="U1998" s="36">
        <f>IF(T1998&gt;=2,ROUND((IF(T1998=2,0.55,IF(T1998&lt;=4,0.7,IF(T1998&lt;=6,0.8,IF(T1998&lt;=9,0.9,1))))*(S1998/T1998)+(1-(IF(T1998=2,0.55,IF(T1998&lt;=4,0.7,IF(T1998&lt;=6,0.8,IF(T1998&lt;=9,0.9,1))))))*$Y$1),1),"")</f>
        <v>8.2</v>
      </c>
      <c r="V1998" s="37">
        <v>6.7</v>
      </c>
      <c r="W1998" s="38"/>
    </row>
    <row r="1999" ht="24" customHeight="1" spans="1:23" x14ac:dyDescent="0.25">
      <c r="A1999" s="31">
        <v>1220</v>
      </c>
      <c r="B1999" s="32" t="s">
        <v>2118</v>
      </c>
      <c r="C1999" s="33" t="s">
        <v>24</v>
      </c>
      <c r="D1999" s="34">
        <v>2020</v>
      </c>
      <c r="E1999" s="34" t="s">
        <v>30</v>
      </c>
      <c r="F1999" s="6"/>
      <c r="G1999" s="6"/>
      <c r="H1999" s="6"/>
      <c r="I1999" s="6"/>
      <c r="J1999" s="6"/>
      <c r="K1999" s="6">
        <v>6</v>
      </c>
      <c r="L1999" s="6"/>
      <c r="M1999" s="6"/>
      <c r="N1999" s="6"/>
      <c r="O1999" s="6">
        <v>6</v>
      </c>
      <c r="P1999" s="6"/>
      <c r="Q1999" s="6">
        <v>6</v>
      </c>
      <c r="R1999" s="6"/>
      <c r="S1999" s="35">
        <f>SUM(F1999:R1999)</f>
        <v>18</v>
      </c>
      <c r="T1999" s="35">
        <f>COUNT(F1999:R1999)</f>
        <v>3</v>
      </c>
      <c r="U1999" s="36">
        <f>IF(T1999&gt;=2,ROUND((IF(T1999=2,0.55,IF(T1999&lt;=4,0.7,IF(T1999&lt;=6,0.8,IF(T1999&lt;=9,0.9,1))))*(S1999/T1999)+(1-(IF(T1999=2,0.55,IF(T1999&lt;=4,0.7,IF(T1999&lt;=6,0.8,IF(T1999&lt;=9,0.9,1))))))*$Y$1),1),"")</f>
        <v>6.6</v>
      </c>
      <c r="V1999" s="37">
        <v>5.8</v>
      </c>
      <c r="W1999" s="38"/>
    </row>
    <row r="2000" ht="24" customHeight="1" spans="1:23" x14ac:dyDescent="0.25">
      <c r="A2000" s="40">
        <v>2258</v>
      </c>
      <c r="B2000" s="32" t="s">
        <v>2119</v>
      </c>
      <c r="C2000" s="33" t="s">
        <v>24</v>
      </c>
      <c r="D2000" s="34">
        <v>2010</v>
      </c>
      <c r="E2000" s="41"/>
      <c r="F2000" s="6"/>
      <c r="G2000" s="6">
        <v>7</v>
      </c>
      <c r="H2000" s="6"/>
      <c r="I2000" s="6"/>
      <c r="J2000" s="6"/>
      <c r="K2000" s="6"/>
      <c r="L2000" s="6">
        <v>7</v>
      </c>
      <c r="M2000" s="6"/>
      <c r="N2000" s="6"/>
      <c r="O2000" s="6"/>
      <c r="P2000" s="6"/>
      <c r="Q2000" s="6"/>
      <c r="R2000" s="6"/>
      <c r="S2000" s="35">
        <f>SUM(F2000:R2000)</f>
        <v>14</v>
      </c>
      <c r="T2000" s="35">
        <f>COUNT(F2000:R2000)</f>
        <v>2</v>
      </c>
      <c r="U2000" s="36">
        <f>IF(T2000&gt;=2,ROUND((IF(T2000=2,0.55,IF(T2000&lt;=4,0.7,IF(T2000&lt;=6,0.8,IF(T2000&lt;=9,0.9,1))))*(S2000/T2000)+(1-(IF(T2000=2,0.55,IF(T2000&lt;=4,0.7,IF(T2000&lt;=6,0.8,IF(T2000&lt;=9,0.9,1))))))*$Y$1),1),"")</f>
        <v>7.5</v>
      </c>
      <c r="V2000" s="37">
        <v>8.8</v>
      </c>
      <c r="W2000" s="38"/>
    </row>
    <row r="2001" ht="24" customHeight="1" spans="1:23" x14ac:dyDescent="0.25">
      <c r="A2001" s="40">
        <v>2070</v>
      </c>
      <c r="B2001" s="32" t="s">
        <v>2120</v>
      </c>
      <c r="C2001" s="33" t="s">
        <v>24</v>
      </c>
      <c r="D2001" s="34">
        <v>1967</v>
      </c>
      <c r="E2001" s="41"/>
      <c r="F2001" s="6"/>
      <c r="G2001" s="6">
        <v>7</v>
      </c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35">
        <f>SUM(F2001:R2001)</f>
        <v>7</v>
      </c>
      <c r="T2001" s="35">
        <f>COUNT(F2001:R2001)</f>
        <v>1</v>
      </c>
      <c r="U2001" s="36">
        <f>IF(T2001&gt;=2,ROUND((IF(T2001=2,0.55,IF(T2001&lt;=4,0.7,IF(T2001&lt;=6,0.8,IF(T2001&lt;=9,0.9,1))))*(S2001/T2001)+(1-(IF(T2001=2,0.55,IF(T2001&lt;=4,0.7,IF(T2001&lt;=6,0.8,IF(T2001&lt;=9,0.9,1))))))*$Y$1),1),"")</f>
      </c>
      <c r="V2001" s="37">
        <v>6.8</v>
      </c>
      <c r="W2001" s="38"/>
    </row>
    <row r="2002" ht="24" customHeight="1" spans="1:23" x14ac:dyDescent="0.25">
      <c r="A2002" s="31">
        <v>346</v>
      </c>
      <c r="B2002" s="32" t="s">
        <v>2121</v>
      </c>
      <c r="C2002" s="33" t="s">
        <v>24</v>
      </c>
      <c r="D2002" s="34">
        <v>2008</v>
      </c>
      <c r="E2002" s="34" t="s">
        <v>52</v>
      </c>
      <c r="F2002" s="6"/>
      <c r="G2002" s="6">
        <v>8</v>
      </c>
      <c r="H2002" s="6"/>
      <c r="I2002" s="6"/>
      <c r="J2002" s="6"/>
      <c r="K2002" s="6">
        <v>8</v>
      </c>
      <c r="L2002" s="6">
        <v>8</v>
      </c>
      <c r="M2002" s="6"/>
      <c r="N2002" s="6"/>
      <c r="O2002" s="6"/>
      <c r="P2002" s="6">
        <v>8</v>
      </c>
      <c r="Q2002" s="6">
        <v>8</v>
      </c>
      <c r="R2002" s="6"/>
      <c r="S2002" s="35">
        <f>SUM(F2002:R2002)</f>
        <v>40</v>
      </c>
      <c r="T2002" s="35">
        <f>COUNT(F2002:R2002)</f>
        <v>5</v>
      </c>
      <c r="U2002" s="36">
        <f>IF(T2002&gt;=2,ROUND((IF(T2002=2,0.55,IF(T2002&lt;=4,0.7,IF(T2002&lt;=6,0.8,IF(T2002&lt;=9,0.9,1))))*(S2002/T2002)+(1-(IF(T2002=2,0.55,IF(T2002&lt;=4,0.7,IF(T2002&lt;=6,0.8,IF(T2002&lt;=9,0.9,1))))))*$Y$1),1),"")</f>
        <v>8</v>
      </c>
      <c r="V2002" s="37">
        <v>7.6</v>
      </c>
      <c r="W2002" s="38"/>
    </row>
    <row r="2003" ht="24" customHeight="1" spans="1:23" x14ac:dyDescent="0.25">
      <c r="A2003" s="31">
        <v>11</v>
      </c>
      <c r="B2003" s="32" t="s">
        <v>2122</v>
      </c>
      <c r="C2003" s="33" t="s">
        <v>24</v>
      </c>
      <c r="D2003" s="34">
        <v>2019</v>
      </c>
      <c r="E2003" s="34" t="s">
        <v>92</v>
      </c>
      <c r="F2003" s="6">
        <v>8</v>
      </c>
      <c r="G2003" s="6">
        <v>7</v>
      </c>
      <c r="H2003" s="6"/>
      <c r="I2003" s="6">
        <v>10</v>
      </c>
      <c r="J2003" s="6">
        <v>8</v>
      </c>
      <c r="K2003" s="6">
        <v>8</v>
      </c>
      <c r="L2003" s="6">
        <v>8</v>
      </c>
      <c r="M2003" s="6"/>
      <c r="N2003" s="6">
        <v>8</v>
      </c>
      <c r="O2003" s="6"/>
      <c r="P2003" s="6">
        <v>8</v>
      </c>
      <c r="Q2003" s="6">
        <v>8</v>
      </c>
      <c r="R2003" s="6"/>
      <c r="S2003" s="35">
        <f>SUM(F2003:R2003)</f>
        <v>73</v>
      </c>
      <c r="T2003" s="35">
        <f>COUNT(F2003:R2003)</f>
        <v>9</v>
      </c>
      <c r="U2003" s="36">
        <f>IF(T2003&gt;=2,ROUND((IF(T2003=2,0.55,IF(T2003&lt;=4,0.7,IF(T2003&lt;=6,0.8,IF(T2003&lt;=9,0.9,1))))*(S2003/T2003)+(1-(IF(T2003=2,0.55,IF(T2003&lt;=4,0.7,IF(T2003&lt;=6,0.8,IF(T2003&lt;=9,0.9,1))))))*$Y$1),1),"")</f>
        <v>8.1</v>
      </c>
      <c r="V2003" s="37">
        <v>7.2</v>
      </c>
      <c r="W2003" s="38"/>
    </row>
    <row r="2004" ht="24" customHeight="1" spans="1:23" x14ac:dyDescent="0.25">
      <c r="A2004" s="31">
        <v>2508</v>
      </c>
      <c r="B2004" s="32" t="s">
        <v>2123</v>
      </c>
      <c r="C2004" s="33" t="s">
        <v>24</v>
      </c>
      <c r="D2004" s="34" t="s">
        <v>146</v>
      </c>
      <c r="E2004" s="34" t="s">
        <v>2124</v>
      </c>
      <c r="F2004" s="6"/>
      <c r="G2004" s="6"/>
      <c r="H2004" s="6"/>
      <c r="I2004" s="6"/>
      <c r="J2004" s="6"/>
      <c r="K2004" s="6">
        <v>9</v>
      </c>
      <c r="L2004" s="6">
        <v>10</v>
      </c>
      <c r="M2004" s="6"/>
      <c r="N2004" s="6"/>
      <c r="O2004" s="6"/>
      <c r="P2004" s="6"/>
      <c r="Q2004" s="6"/>
      <c r="R2004" s="6"/>
      <c r="S2004" s="35">
        <f>SUM(F2004:R2004)</f>
        <v>19</v>
      </c>
      <c r="T2004" s="35">
        <f>COUNT(F2004:R2004)</f>
        <v>2</v>
      </c>
      <c r="U2004" s="36">
        <f>IF(T2004&gt;=2,ROUND((IF(T2004=2,0.55,IF(T2004&lt;=4,0.7,IF(T2004&lt;=6,0.8,IF(T2004&lt;=9,0.9,1))))*(S2004/T2004)+(1-(IF(T2004=2,0.55,IF(T2004&lt;=4,0.7,IF(T2004&lt;=6,0.8,IF(T2004&lt;=9,0.9,1))))))*$Y$1),1),"")</f>
        <v>8.9</v>
      </c>
      <c r="V2004" s="37">
        <v>8.5</v>
      </c>
      <c r="W2004" s="38"/>
    </row>
    <row r="2005" ht="47.25" customHeight="1" spans="1:23" x14ac:dyDescent="0.25">
      <c r="A2005" s="31">
        <v>214</v>
      </c>
      <c r="B2005" s="32" t="s">
        <v>2125</v>
      </c>
      <c r="C2005" s="33" t="s">
        <v>24</v>
      </c>
      <c r="D2005" s="34">
        <v>1965</v>
      </c>
      <c r="E2005" s="34" t="s">
        <v>179</v>
      </c>
      <c r="F2005" s="6">
        <v>10</v>
      </c>
      <c r="G2005" s="6">
        <v>9</v>
      </c>
      <c r="H2005" s="6">
        <v>9</v>
      </c>
      <c r="I2005" s="6">
        <v>10</v>
      </c>
      <c r="J2005" s="6">
        <v>8</v>
      </c>
      <c r="K2005" s="6">
        <v>10</v>
      </c>
      <c r="L2005" s="6">
        <v>10</v>
      </c>
      <c r="M2005" s="6">
        <v>10</v>
      </c>
      <c r="N2005" s="6">
        <v>10</v>
      </c>
      <c r="O2005" s="6">
        <v>10</v>
      </c>
      <c r="P2005" s="6">
        <v>10</v>
      </c>
      <c r="Q2005" s="6">
        <v>10</v>
      </c>
      <c r="R2005" s="6">
        <v>10</v>
      </c>
      <c r="S2005" s="35">
        <f>SUM(F2005:R2005)</f>
        <v>126</v>
      </c>
      <c r="T2005" s="35">
        <f>COUNT(F2005:R2005)</f>
        <v>13</v>
      </c>
      <c r="U2005" s="36">
        <f>IF(T2005&gt;=2,ROUND((IF(T2005=2,0.55,IF(T2005&lt;=4,0.7,IF(T2005&lt;=6,0.8,IF(T2005&lt;=9,0.9,1))))*(S2005/T2005)+(1-(IF(T2005=2,0.55,IF(T2005&lt;=4,0.7,IF(T2005&lt;=6,0.8,IF(T2005&lt;=9,0.9,1))))))*$Y$1),1),"")</f>
        <v>9.7</v>
      </c>
      <c r="V2005" s="37">
        <v>8.1</v>
      </c>
      <c r="W2005" s="38"/>
    </row>
    <row r="2006" ht="24" customHeight="1" spans="1:23" x14ac:dyDescent="0.25">
      <c r="A2006" s="31">
        <v>441</v>
      </c>
      <c r="B2006" s="32" t="s">
        <v>2126</v>
      </c>
      <c r="C2006" s="33" t="s">
        <v>24</v>
      </c>
      <c r="D2006" s="34">
        <v>1945</v>
      </c>
      <c r="E2006" s="34" t="s">
        <v>137</v>
      </c>
      <c r="F2006" s="6"/>
      <c r="G2006" s="6"/>
      <c r="H2006" s="6"/>
      <c r="I2006" s="6"/>
      <c r="J2006" s="6"/>
      <c r="K2006" s="6">
        <v>10</v>
      </c>
      <c r="L2006" s="6">
        <v>8</v>
      </c>
      <c r="M2006" s="6"/>
      <c r="N2006" s="6"/>
      <c r="O2006" s="6"/>
      <c r="P2006" s="6"/>
      <c r="Q2006" s="6">
        <v>10</v>
      </c>
      <c r="R2006" s="6"/>
      <c r="S2006" s="35">
        <f>SUM(F2006:R2006)</f>
        <v>28</v>
      </c>
      <c r="T2006" s="35">
        <f>COUNT(F2006:R2006)</f>
        <v>3</v>
      </c>
      <c r="U2006" s="36">
        <f>IF(T2006&gt;=2,ROUND((IF(T2006=2,0.55,IF(T2006&lt;=4,0.7,IF(T2006&lt;=6,0.8,IF(T2006&lt;=9,0.9,1))))*(S2006/T2006)+(1-(IF(T2006=2,0.55,IF(T2006&lt;=4,0.7,IF(T2006&lt;=6,0.8,IF(T2006&lt;=9,0.9,1))))))*$Y$1),1),"")</f>
        <v>9</v>
      </c>
      <c r="V2006" s="37">
        <v>6.6</v>
      </c>
      <c r="W2006" s="38"/>
    </row>
    <row r="2007" ht="24" customHeight="1" spans="1:23" x14ac:dyDescent="0.25">
      <c r="A2007" s="31">
        <v>1187</v>
      </c>
      <c r="B2007" s="32" t="s">
        <v>2127</v>
      </c>
      <c r="C2007" s="33" t="s">
        <v>24</v>
      </c>
      <c r="D2007" s="34">
        <v>2021</v>
      </c>
      <c r="E2007" s="34" t="s">
        <v>30</v>
      </c>
      <c r="F2007" s="6"/>
      <c r="G2007" s="6"/>
      <c r="H2007" s="6"/>
      <c r="I2007" s="6"/>
      <c r="J2007" s="6"/>
      <c r="K2007" s="6"/>
      <c r="L2007" s="6"/>
      <c r="M2007" s="6"/>
      <c r="N2007" s="6"/>
      <c r="O2007" s="6">
        <v>8</v>
      </c>
      <c r="P2007" s="6"/>
      <c r="Q2007" s="6"/>
      <c r="R2007" s="6"/>
      <c r="S2007" s="35">
        <f>SUM(F2007:R2007)</f>
        <v>8</v>
      </c>
      <c r="T2007" s="35">
        <f>COUNT(F2007:R2007)</f>
        <v>1</v>
      </c>
      <c r="U2007" s="36">
        <f>IF(T2007&gt;=2,ROUND((IF(T2007=2,0.55,IF(T2007&lt;=4,0.7,IF(T2007&lt;=6,0.8,IF(T2007&lt;=9,0.9,1))))*(S2007/T2007)+(1-(IF(T2007=2,0.55,IF(T2007&lt;=4,0.7,IF(T2007&lt;=6,0.8,IF(T2007&lt;=9,0.9,1))))))*$Y$1),1),"")</f>
      </c>
      <c r="V2007" s="37">
        <v>7.3</v>
      </c>
      <c r="W2007" s="38"/>
    </row>
    <row r="2008" ht="24" customHeight="1" spans="1:23" x14ac:dyDescent="0.25">
      <c r="A2008" s="31">
        <v>777</v>
      </c>
      <c r="B2008" s="32" t="s">
        <v>2128</v>
      </c>
      <c r="C2008" s="33" t="s">
        <v>24</v>
      </c>
      <c r="D2008" s="34">
        <v>2012</v>
      </c>
      <c r="E2008" s="34" t="s">
        <v>27</v>
      </c>
      <c r="F2008" s="6">
        <v>8</v>
      </c>
      <c r="G2008" s="6">
        <v>7</v>
      </c>
      <c r="H2008" s="6"/>
      <c r="I2008" s="6"/>
      <c r="J2008" s="6"/>
      <c r="K2008" s="6">
        <v>9</v>
      </c>
      <c r="L2008" s="6">
        <v>8</v>
      </c>
      <c r="M2008" s="6">
        <v>8</v>
      </c>
      <c r="N2008" s="6"/>
      <c r="O2008" s="6"/>
      <c r="P2008" s="6"/>
      <c r="Q2008" s="6">
        <v>9</v>
      </c>
      <c r="R2008" s="6"/>
      <c r="S2008" s="35">
        <f>SUM(F2008:R2008)</f>
        <v>49</v>
      </c>
      <c r="T2008" s="35">
        <f>COUNT(F2008:R2008)</f>
        <v>6</v>
      </c>
      <c r="U2008" s="36">
        <f>IF(T2008&gt;=2,ROUND((IF(T2008=2,0.55,IF(T2008&lt;=4,0.7,IF(T2008&lt;=6,0.8,IF(T2008&lt;=9,0.9,1))))*(S2008/T2008)+(1-(IF(T2008=2,0.55,IF(T2008&lt;=4,0.7,IF(T2008&lt;=6,0.8,IF(T2008&lt;=9,0.9,1))))))*$Y$1),1),"")</f>
        <v>8.2</v>
      </c>
      <c r="V2008" s="37">
        <v>6.6</v>
      </c>
      <c r="W2008" s="38"/>
    </row>
    <row r="2009" ht="24" customHeight="1" spans="1:23" x14ac:dyDescent="0.25">
      <c r="A2009" s="31">
        <v>1026</v>
      </c>
      <c r="B2009" s="32" t="s">
        <v>2129</v>
      </c>
      <c r="C2009" s="33" t="s">
        <v>24</v>
      </c>
      <c r="D2009" s="34">
        <v>2021</v>
      </c>
      <c r="E2009" s="34" t="s">
        <v>30</v>
      </c>
      <c r="F2009" s="6">
        <v>8</v>
      </c>
      <c r="G2009" s="6"/>
      <c r="H2009" s="6">
        <v>6</v>
      </c>
      <c r="I2009" s="6">
        <v>8</v>
      </c>
      <c r="J2009" s="6">
        <v>8</v>
      </c>
      <c r="K2009" s="6">
        <v>8</v>
      </c>
      <c r="L2009" s="6"/>
      <c r="M2009" s="6">
        <v>8</v>
      </c>
      <c r="N2009" s="6">
        <v>8</v>
      </c>
      <c r="O2009" s="6"/>
      <c r="P2009" s="6"/>
      <c r="Q2009" s="6">
        <v>8</v>
      </c>
      <c r="R2009" s="6"/>
      <c r="S2009" s="35">
        <f>SUM(F2009:R2009)</f>
        <v>62</v>
      </c>
      <c r="T2009" s="35">
        <f>COUNT(F2009:R2009)</f>
        <v>8</v>
      </c>
      <c r="U2009" s="36">
        <f>IF(T2009&gt;=2,ROUND((IF(T2009=2,0.55,IF(T2009&lt;=4,0.7,IF(T2009&lt;=6,0.8,IF(T2009&lt;=9,0.9,1))))*(S2009/T2009)+(1-(IF(T2009=2,0.55,IF(T2009&lt;=4,0.7,IF(T2009&lt;=6,0.8,IF(T2009&lt;=9,0.9,1))))))*$Y$1),1),"")</f>
        <v>7.8</v>
      </c>
      <c r="V2009" s="37">
        <v>5.7</v>
      </c>
      <c r="W2009" s="38"/>
    </row>
    <row r="2010" ht="24" customHeight="1" spans="1:23" x14ac:dyDescent="0.25">
      <c r="A2010" s="47">
        <v>813</v>
      </c>
      <c r="B2010" s="32" t="s">
        <v>2130</v>
      </c>
      <c r="C2010" s="48" t="s">
        <v>24</v>
      </c>
      <c r="D2010" s="49">
        <v>1981</v>
      </c>
      <c r="E2010" s="49" t="s">
        <v>1169</v>
      </c>
      <c r="F2010" s="6">
        <v>8</v>
      </c>
      <c r="G2010" s="6"/>
      <c r="H2010" s="6">
        <v>8</v>
      </c>
      <c r="I2010" s="6">
        <v>7</v>
      </c>
      <c r="J2010" s="6">
        <v>8</v>
      </c>
      <c r="K2010" s="6">
        <v>8</v>
      </c>
      <c r="L2010" s="6">
        <v>8</v>
      </c>
      <c r="M2010" s="6">
        <v>8</v>
      </c>
      <c r="N2010" s="6">
        <v>10</v>
      </c>
      <c r="O2010" s="6">
        <v>8</v>
      </c>
      <c r="P2010" s="6"/>
      <c r="Q2010" s="6">
        <v>8</v>
      </c>
      <c r="R2010" s="6"/>
      <c r="S2010" s="35">
        <f>SUM(F2010:R2010)</f>
        <v>81</v>
      </c>
      <c r="T2010" s="35">
        <f>COUNT(F2010:R2010)</f>
        <v>10</v>
      </c>
      <c r="U2010" s="36">
        <f>IF(T2010&gt;=2,ROUND((IF(T2010=2,0.55,IF(T2010&lt;=4,0.7,IF(T2010&lt;=6,0.8,IF(T2010&lt;=9,0.9,1))))*(S2010/T2010)+(1-(IF(T2010=2,0.55,IF(T2010&lt;=4,0.7,IF(T2010&lt;=6,0.8,IF(T2010&lt;=9,0.9,1))))))*$Y$1),1),"")</f>
        <v>8.1</v>
      </c>
      <c r="V2010" s="37">
        <v>6.9</v>
      </c>
      <c r="W2010" s="38" t="s">
        <v>44</v>
      </c>
    </row>
    <row r="2011" ht="24" customHeight="1" spans="1:23" x14ac:dyDescent="0.25">
      <c r="A2011" s="40">
        <v>2372</v>
      </c>
      <c r="B2011" s="32" t="s">
        <v>2131</v>
      </c>
      <c r="C2011" s="33" t="s">
        <v>24</v>
      </c>
      <c r="D2011" s="34">
        <v>2025</v>
      </c>
      <c r="E2011" s="41"/>
      <c r="F2011" s="6">
        <v>7</v>
      </c>
      <c r="G2011" s="6"/>
      <c r="H2011" s="6"/>
      <c r="I2011" s="6"/>
      <c r="J2011" s="6"/>
      <c r="K2011" s="6"/>
      <c r="L2011" s="6"/>
      <c r="M2011" s="6"/>
      <c r="N2011" s="6"/>
      <c r="O2011" s="6">
        <v>8</v>
      </c>
      <c r="P2011" s="6"/>
      <c r="Q2011" s="6"/>
      <c r="R2011" s="6"/>
      <c r="S2011" s="35">
        <f>SUM(F2011:R2011)</f>
        <v>15</v>
      </c>
      <c r="T2011" s="35">
        <f>COUNT(F2011:R2011)</f>
        <v>2</v>
      </c>
      <c r="U2011" s="36">
        <f>IF(T2011&gt;=2,ROUND((IF(T2011=2,0.55,IF(T2011&lt;=4,0.7,IF(T2011&lt;=6,0.8,IF(T2011&lt;=9,0.9,1))))*(S2011/T2011)+(1-(IF(T2011=2,0.55,IF(T2011&lt;=4,0.7,IF(T2011&lt;=6,0.8,IF(T2011&lt;=9,0.9,1))))))*$Y$1),1),"")</f>
        <v>7.8</v>
      </c>
      <c r="V2011" s="37">
        <v>6.5</v>
      </c>
      <c r="W2011" s="38"/>
    </row>
    <row r="2012" ht="24" customHeight="1" spans="1:23" x14ac:dyDescent="0.25">
      <c r="A2012" s="31">
        <v>354</v>
      </c>
      <c r="B2012" s="32" t="s">
        <v>2132</v>
      </c>
      <c r="C2012" s="33" t="s">
        <v>24</v>
      </c>
      <c r="D2012" s="34">
        <v>2018</v>
      </c>
      <c r="E2012" s="34" t="s">
        <v>60</v>
      </c>
      <c r="F2012" s="6"/>
      <c r="G2012" s="6"/>
      <c r="H2012" s="6"/>
      <c r="I2012" s="6"/>
      <c r="J2012" s="6"/>
      <c r="K2012" s="6">
        <v>8</v>
      </c>
      <c r="L2012" s="6">
        <v>8</v>
      </c>
      <c r="M2012" s="6"/>
      <c r="N2012" s="6">
        <v>7</v>
      </c>
      <c r="O2012" s="6"/>
      <c r="P2012" s="6"/>
      <c r="Q2012" s="6">
        <v>8</v>
      </c>
      <c r="R2012" s="6"/>
      <c r="S2012" s="35">
        <f>SUM(F2012:R2012)</f>
        <v>31</v>
      </c>
      <c r="T2012" s="35">
        <f>COUNT(F2012:R2012)</f>
        <v>4</v>
      </c>
      <c r="U2012" s="36">
        <f>IF(T2012&gt;=2,ROUND((IF(T2012=2,0.55,IF(T2012&lt;=4,0.7,IF(T2012&lt;=6,0.8,IF(T2012&lt;=9,0.9,1))))*(S2012/T2012)+(1-(IF(T2012=2,0.55,IF(T2012&lt;=4,0.7,IF(T2012&lt;=6,0.8,IF(T2012&lt;=9,0.9,1))))))*$Y$1),1),"")</f>
        <v>7.9</v>
      </c>
      <c r="V2012" s="37">
        <v>7</v>
      </c>
      <c r="W2012" s="38"/>
    </row>
    <row r="2013" ht="24" customHeight="1" spans="1:23" x14ac:dyDescent="0.25">
      <c r="A2013" s="31">
        <v>347</v>
      </c>
      <c r="B2013" s="32" t="s">
        <v>2133</v>
      </c>
      <c r="C2013" s="33" t="s">
        <v>24</v>
      </c>
      <c r="D2013" s="34">
        <v>1986</v>
      </c>
      <c r="E2013" s="34" t="s">
        <v>25</v>
      </c>
      <c r="F2013" s="6"/>
      <c r="G2013" s="6"/>
      <c r="H2013" s="6"/>
      <c r="I2013" s="6"/>
      <c r="J2013" s="6"/>
      <c r="K2013" s="6"/>
      <c r="L2013" s="6">
        <v>8</v>
      </c>
      <c r="M2013" s="6"/>
      <c r="N2013" s="6"/>
      <c r="O2013" s="6"/>
      <c r="P2013" s="6">
        <v>4</v>
      </c>
      <c r="Q2013" s="6"/>
      <c r="R2013" s="6"/>
      <c r="S2013" s="35">
        <f>SUM(F2013:R2013)</f>
        <v>12</v>
      </c>
      <c r="T2013" s="35">
        <f>COUNT(F2013:R2013)</f>
        <v>2</v>
      </c>
      <c r="U2013" s="36">
        <f>IF(T2013&gt;=2,ROUND((IF(T2013=2,0.55,IF(T2013&lt;=4,0.7,IF(T2013&lt;=6,0.8,IF(T2013&lt;=9,0.9,1))))*(S2013/T2013)+(1-(IF(T2013=2,0.55,IF(T2013&lt;=4,0.7,IF(T2013&lt;=6,0.8,IF(T2013&lt;=9,0.9,1))))))*$Y$1),1),"")</f>
        <v>6.9</v>
      </c>
      <c r="V2013" s="37">
        <v>7.6</v>
      </c>
      <c r="W2013" s="38"/>
    </row>
    <row r="2014" ht="47.25" customHeight="1" spans="1:23" x14ac:dyDescent="0.25">
      <c r="A2014" s="31">
        <v>1710</v>
      </c>
      <c r="B2014" s="32" t="s">
        <v>2134</v>
      </c>
      <c r="C2014" s="33" t="s">
        <v>24</v>
      </c>
      <c r="D2014" s="34">
        <v>2022</v>
      </c>
      <c r="E2014" s="34" t="s">
        <v>111</v>
      </c>
      <c r="F2014" s="6">
        <v>8</v>
      </c>
      <c r="G2014" s="6"/>
      <c r="H2014" s="6"/>
      <c r="I2014" s="6"/>
      <c r="J2014" s="6">
        <v>8</v>
      </c>
      <c r="K2014" s="6"/>
      <c r="L2014" s="6">
        <v>8</v>
      </c>
      <c r="M2014" s="6"/>
      <c r="N2014" s="6"/>
      <c r="O2014" s="6"/>
      <c r="P2014" s="6"/>
      <c r="Q2014" s="6"/>
      <c r="R2014" s="6"/>
      <c r="S2014" s="35">
        <f>SUM(F2014:R2014)</f>
        <v>24</v>
      </c>
      <c r="T2014" s="35">
        <f>COUNT(F2014:R2014)</f>
        <v>3</v>
      </c>
      <c r="U2014" s="36">
        <f>IF(T2014&gt;=2,ROUND((IF(T2014=2,0.55,IF(T2014&lt;=4,0.7,IF(T2014&lt;=6,0.8,IF(T2014&lt;=9,0.9,1))))*(S2014/T2014)+(1-(IF(T2014=2,0.55,IF(T2014&lt;=4,0.7,IF(T2014&lt;=6,0.8,IF(T2014&lt;=9,0.9,1))))))*$Y$1),1),"")</f>
        <v>8</v>
      </c>
      <c r="V2014" s="37">
        <v>7.7</v>
      </c>
      <c r="W2014" s="38"/>
    </row>
    <row r="2015" ht="24" customHeight="1" spans="1:23" x14ac:dyDescent="0.25">
      <c r="A2015" s="31">
        <v>361</v>
      </c>
      <c r="B2015" s="32" t="s">
        <v>2135</v>
      </c>
      <c r="C2015" s="33" t="s">
        <v>24</v>
      </c>
      <c r="D2015" s="34">
        <v>2013</v>
      </c>
      <c r="E2015" s="34" t="s">
        <v>92</v>
      </c>
      <c r="F2015" s="6">
        <v>8</v>
      </c>
      <c r="G2015" s="6"/>
      <c r="H2015" s="6"/>
      <c r="I2015" s="6">
        <v>10</v>
      </c>
      <c r="J2015" s="6">
        <v>10</v>
      </c>
      <c r="K2015" s="6">
        <v>10</v>
      </c>
      <c r="L2015" s="6">
        <v>10</v>
      </c>
      <c r="M2015" s="6"/>
      <c r="N2015" s="6"/>
      <c r="O2015" s="6"/>
      <c r="P2015" s="6"/>
      <c r="Q2015" s="6">
        <v>10</v>
      </c>
      <c r="R2015" s="6">
        <v>8</v>
      </c>
      <c r="S2015" s="35">
        <f>SUM(F2015:R2015)</f>
        <v>66</v>
      </c>
      <c r="T2015" s="35">
        <f>COUNT(F2015:R2015)</f>
        <v>7</v>
      </c>
      <c r="U2015" s="36">
        <f>IF(T2015&gt;=2,ROUND((IF(T2015=2,0.55,IF(T2015&lt;=4,0.7,IF(T2015&lt;=6,0.8,IF(T2015&lt;=9,0.9,1))))*(S2015/T2015)+(1-(IF(T2015=2,0.55,IF(T2015&lt;=4,0.7,IF(T2015&lt;=6,0.8,IF(T2015&lt;=9,0.9,1))))))*$Y$1),1),"")</f>
        <v>9.3</v>
      </c>
      <c r="V2015" s="37">
        <v>7.5</v>
      </c>
      <c r="W2015" s="38"/>
    </row>
    <row r="2016" ht="24" customHeight="1" spans="1:23" x14ac:dyDescent="0.25">
      <c r="A2016" s="31">
        <v>1105</v>
      </c>
      <c r="B2016" s="32" t="s">
        <v>2136</v>
      </c>
      <c r="C2016" s="33" t="s">
        <v>24</v>
      </c>
      <c r="D2016" s="34">
        <v>2021</v>
      </c>
      <c r="E2016" s="34" t="s">
        <v>27</v>
      </c>
      <c r="F2016" s="6"/>
      <c r="G2016" s="6"/>
      <c r="H2016" s="6"/>
      <c r="I2016" s="6"/>
      <c r="J2016" s="6"/>
      <c r="K2016" s="6"/>
      <c r="L2016" s="6">
        <v>6</v>
      </c>
      <c r="M2016" s="6"/>
      <c r="N2016" s="6"/>
      <c r="O2016" s="6"/>
      <c r="P2016" s="6"/>
      <c r="Q2016" s="6"/>
      <c r="R2016" s="6"/>
      <c r="S2016" s="35">
        <f>SUM(F2016:R2016)</f>
        <v>6</v>
      </c>
      <c r="T2016" s="35">
        <f>COUNT(F2016:R2016)</f>
        <v>1</v>
      </c>
      <c r="U2016" s="36">
        <f>IF(T2016&gt;=2,ROUND((IF(T2016=2,0.55,IF(T2016&lt;=4,0.7,IF(T2016&lt;=6,0.8,IF(T2016&lt;=9,0.9,1))))*(S2016/T2016)+(1-(IF(T2016=2,0.55,IF(T2016&lt;=4,0.7,IF(T2016&lt;=6,0.8,IF(T2016&lt;=9,0.9,1))))))*$Y$1),1),"")</f>
      </c>
      <c r="V2016" s="37">
        <v>5.9</v>
      </c>
      <c r="W2016" s="38"/>
    </row>
    <row r="2017" ht="24" customHeight="1" spans="1:23" x14ac:dyDescent="0.25">
      <c r="A2017" s="47">
        <v>1784</v>
      </c>
      <c r="B2017" s="32" t="s">
        <v>2137</v>
      </c>
      <c r="C2017" s="48" t="s">
        <v>158</v>
      </c>
      <c r="D2017" s="49">
        <v>2023</v>
      </c>
      <c r="E2017" s="49" t="s">
        <v>48</v>
      </c>
      <c r="F2017" s="6">
        <v>8</v>
      </c>
      <c r="G2017" s="6">
        <v>8</v>
      </c>
      <c r="H2017" s="6">
        <v>8</v>
      </c>
      <c r="I2017" s="6">
        <v>9</v>
      </c>
      <c r="J2017" s="6">
        <v>9</v>
      </c>
      <c r="K2017" s="6"/>
      <c r="L2017" s="6">
        <v>8</v>
      </c>
      <c r="M2017" s="6">
        <v>9</v>
      </c>
      <c r="N2017" s="6">
        <v>9</v>
      </c>
      <c r="O2017" s="6">
        <v>9</v>
      </c>
      <c r="P2017" s="6">
        <v>9</v>
      </c>
      <c r="Q2017" s="6"/>
      <c r="R2017" s="6"/>
      <c r="S2017" s="35">
        <f>SUM(F2017:R2017)</f>
        <v>86</v>
      </c>
      <c r="T2017" s="35">
        <f>COUNT(F2017:R2017)</f>
        <v>10</v>
      </c>
      <c r="U2017" s="36">
        <f>IF(T2017&gt;=2,ROUND((IF(T2017=2,0.55,IF(T2017&lt;=4,0.7,IF(T2017&lt;=6,0.8,IF(T2017&lt;=9,0.9,1))))*(S2017/T2017)+(1-(IF(T2017=2,0.55,IF(T2017&lt;=4,0.7,IF(T2017&lt;=6,0.8,IF(T2017&lt;=9,0.9,1))))))*$Y$1),1),"")</f>
        <v>8.6</v>
      </c>
      <c r="V2017" s="37">
        <v>7.4</v>
      </c>
      <c r="W2017" s="38" t="s">
        <v>44</v>
      </c>
    </row>
    <row r="2018" ht="24" customHeight="1" spans="1:23" x14ac:dyDescent="0.25">
      <c r="A2018" s="40">
        <v>2418</v>
      </c>
      <c r="B2018" s="32" t="s">
        <v>2138</v>
      </c>
      <c r="C2018" s="33" t="s">
        <v>29</v>
      </c>
      <c r="D2018" s="34">
        <v>2025</v>
      </c>
      <c r="E2018" s="41"/>
      <c r="F2018" s="6">
        <v>8</v>
      </c>
      <c r="G2018" s="6"/>
      <c r="H2018" s="6">
        <v>8</v>
      </c>
      <c r="I2018" s="6"/>
      <c r="J2018" s="6"/>
      <c r="K2018" s="6"/>
      <c r="L2018" s="6"/>
      <c r="M2018" s="6"/>
      <c r="N2018" s="6"/>
      <c r="O2018" s="6">
        <v>8</v>
      </c>
      <c r="P2018" s="6"/>
      <c r="Q2018" s="6"/>
      <c r="R2018" s="6"/>
      <c r="S2018" s="35">
        <f>SUM(F2018:R2018)</f>
        <v>24</v>
      </c>
      <c r="T2018" s="35">
        <f>COUNT(F2018:R2018)</f>
        <v>3</v>
      </c>
      <c r="U2018" s="36">
        <f>IF(T2018&gt;=2,ROUND((IF(T2018=2,0.55,IF(T2018&lt;=4,0.7,IF(T2018&lt;=6,0.8,IF(T2018&lt;=9,0.9,1))))*(S2018/T2018)+(1-(IF(T2018=2,0.55,IF(T2018&lt;=4,0.7,IF(T2018&lt;=6,0.8,IF(T2018&lt;=9,0.9,1))))))*$Y$1),1),"")</f>
        <v>8</v>
      </c>
      <c r="V2018" s="37">
        <v>7</v>
      </c>
      <c r="W2018" s="38"/>
    </row>
    <row r="2019" ht="24" customHeight="1" spans="1:23" x14ac:dyDescent="0.25">
      <c r="A2019" s="31">
        <v>1894</v>
      </c>
      <c r="B2019" s="32" t="s">
        <v>2139</v>
      </c>
      <c r="C2019" s="33" t="s">
        <v>24</v>
      </c>
      <c r="D2019" s="34">
        <v>2024</v>
      </c>
      <c r="E2019" s="34" t="s">
        <v>30</v>
      </c>
      <c r="F2019" s="6"/>
      <c r="G2019" s="6"/>
      <c r="H2019" s="6"/>
      <c r="I2019" s="6"/>
      <c r="J2019" s="6"/>
      <c r="K2019" s="6"/>
      <c r="L2019" s="6"/>
      <c r="M2019" s="6">
        <v>7</v>
      </c>
      <c r="N2019" s="6"/>
      <c r="O2019" s="6"/>
      <c r="P2019" s="6"/>
      <c r="Q2019" s="6"/>
      <c r="R2019" s="6"/>
      <c r="S2019" s="35">
        <f>SUM(F2019:R2019)</f>
        <v>7</v>
      </c>
      <c r="T2019" s="35">
        <f>COUNT(F2019:R2019)</f>
        <v>1</v>
      </c>
      <c r="U2019" s="36">
        <f>IF(T2019&gt;=2,ROUND((IF(T2019=2,0.55,IF(T2019&lt;=4,0.7,IF(T2019&lt;=6,0.8,IF(T2019&lt;=9,0.9,1))))*(S2019/T2019)+(1-(IF(T2019=2,0.55,IF(T2019&lt;=4,0.7,IF(T2019&lt;=6,0.8,IF(T2019&lt;=9,0.9,1))))))*$Y$1),1),"")</f>
      </c>
      <c r="V2019" s="37">
        <v>6.3</v>
      </c>
      <c r="W2019" s="38"/>
    </row>
    <row r="2020" ht="24" customHeight="1" spans="1:23" x14ac:dyDescent="0.25">
      <c r="A2020" s="31">
        <v>1716</v>
      </c>
      <c r="B2020" s="32" t="s">
        <v>2140</v>
      </c>
      <c r="C2020" s="33" t="s">
        <v>24</v>
      </c>
      <c r="D2020" s="34">
        <v>2023</v>
      </c>
      <c r="E2020" s="34" t="s">
        <v>30</v>
      </c>
      <c r="F2020" s="6"/>
      <c r="G2020" s="6"/>
      <c r="H2020" s="6"/>
      <c r="I2020" s="6"/>
      <c r="J2020" s="6"/>
      <c r="K2020" s="6"/>
      <c r="L2020" s="6"/>
      <c r="M2020" s="6"/>
      <c r="N2020" s="6"/>
      <c r="O2020" s="6">
        <v>7</v>
      </c>
      <c r="P2020" s="6"/>
      <c r="Q2020" s="6"/>
      <c r="R2020" s="6"/>
      <c r="S2020" s="35">
        <f>SUM(F2020:R2020)</f>
        <v>7</v>
      </c>
      <c r="T2020" s="35">
        <f>COUNT(F2020:R2020)</f>
        <v>1</v>
      </c>
      <c r="U2020" s="36">
        <f>IF(T2020&gt;=2,ROUND((IF(T2020=2,0.55,IF(T2020&lt;=4,0.7,IF(T2020&lt;=6,0.8,IF(T2020&lt;=9,0.9,1))))*(S2020/T2020)+(1-(IF(T2020=2,0.55,IF(T2020&lt;=4,0.7,IF(T2020&lt;=6,0.8,IF(T2020&lt;=9,0.9,1))))))*$Y$1),1),"")</f>
      </c>
      <c r="V2020" s="37">
        <v>4.4</v>
      </c>
      <c r="W2020" s="38"/>
    </row>
    <row r="2021" ht="24" customHeight="1" spans="1:23" x14ac:dyDescent="0.25">
      <c r="A2021" s="31">
        <v>453</v>
      </c>
      <c r="B2021" s="32" t="s">
        <v>2141</v>
      </c>
      <c r="C2021" s="33" t="s">
        <v>24</v>
      </c>
      <c r="D2021" s="34">
        <v>2005</v>
      </c>
      <c r="E2021" s="34" t="s">
        <v>25</v>
      </c>
      <c r="F2021" s="6"/>
      <c r="G2021" s="6">
        <v>8</v>
      </c>
      <c r="H2021" s="6"/>
      <c r="I2021" s="6"/>
      <c r="J2021" s="6"/>
      <c r="K2021" s="6"/>
      <c r="L2021" s="6"/>
      <c r="M2021" s="6"/>
      <c r="N2021" s="6"/>
      <c r="O2021" s="6"/>
      <c r="P2021" s="6">
        <v>8</v>
      </c>
      <c r="Q2021" s="6"/>
      <c r="R2021" s="6"/>
      <c r="S2021" s="35">
        <f>SUM(F2021:R2021)</f>
        <v>16</v>
      </c>
      <c r="T2021" s="35">
        <f>COUNT(F2021:R2021)</f>
        <v>2</v>
      </c>
      <c r="U2021" s="36">
        <f>IF(T2021&gt;=2,ROUND((IF(T2021=2,0.55,IF(T2021&lt;=4,0.7,IF(T2021&lt;=6,0.8,IF(T2021&lt;=9,0.9,1))))*(S2021/T2021)+(1-(IF(T2021=2,0.55,IF(T2021&lt;=4,0.7,IF(T2021&lt;=6,0.8,IF(T2021&lt;=9,0.9,1))))))*$Y$1),1),"")</f>
        <v>8</v>
      </c>
      <c r="V2021" s="37">
        <v>7.5</v>
      </c>
      <c r="W2021" s="38"/>
    </row>
    <row r="2022" ht="47.25" customHeight="1" spans="1:23" x14ac:dyDescent="0.25">
      <c r="A2022" s="31">
        <v>1185</v>
      </c>
      <c r="B2022" s="32" t="s">
        <v>2142</v>
      </c>
      <c r="C2022" s="33" t="s">
        <v>24</v>
      </c>
      <c r="D2022" s="34">
        <v>2021</v>
      </c>
      <c r="E2022" s="34" t="s">
        <v>30</v>
      </c>
      <c r="F2022" s="6"/>
      <c r="G2022" s="6"/>
      <c r="H2022" s="6">
        <v>8</v>
      </c>
      <c r="I2022" s="6"/>
      <c r="J2022" s="6">
        <v>8</v>
      </c>
      <c r="K2022" s="6"/>
      <c r="L2022" s="6">
        <v>8</v>
      </c>
      <c r="M2022" s="6"/>
      <c r="N2022" s="6"/>
      <c r="O2022" s="6"/>
      <c r="P2022" s="6"/>
      <c r="Q2022" s="6"/>
      <c r="R2022" s="6"/>
      <c r="S2022" s="35">
        <f>SUM(F2022:R2022)</f>
        <v>24</v>
      </c>
      <c r="T2022" s="35">
        <f>COUNT(F2022:R2022)</f>
        <v>3</v>
      </c>
      <c r="U2022" s="36">
        <f>IF(T2022&gt;=2,ROUND((IF(T2022=2,0.55,IF(T2022&lt;=4,0.7,IF(T2022&lt;=6,0.8,IF(T2022&lt;=9,0.9,1))))*(S2022/T2022)+(1-(IF(T2022=2,0.55,IF(T2022&lt;=4,0.7,IF(T2022&lt;=6,0.8,IF(T2022&lt;=9,0.9,1))))))*$Y$1),1),"")</f>
        <v>8</v>
      </c>
      <c r="V2022" s="37">
        <v>7.3</v>
      </c>
      <c r="W2022" s="38"/>
    </row>
    <row r="2023" ht="47.25" customHeight="1" spans="1:23" x14ac:dyDescent="0.25">
      <c r="A2023" s="40">
        <v>2060</v>
      </c>
      <c r="B2023" s="32" t="s">
        <v>2143</v>
      </c>
      <c r="C2023" s="33" t="s">
        <v>24</v>
      </c>
      <c r="D2023" s="34">
        <v>1950</v>
      </c>
      <c r="E2023" s="41"/>
      <c r="F2023" s="6"/>
      <c r="G2023" s="6">
        <v>7</v>
      </c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35">
        <f>SUM(F2023:R2023)</f>
        <v>7</v>
      </c>
      <c r="T2023" s="35">
        <f>COUNT(F2023:R2023)</f>
        <v>1</v>
      </c>
      <c r="U2023" s="36">
        <f>IF(T2023&gt;=2,ROUND((IF(T2023=2,0.55,IF(T2023&lt;=4,0.7,IF(T2023&lt;=6,0.8,IF(T2023&lt;=9,0.9,1))))*(S2023/T2023)+(1-(IF(T2023=2,0.55,IF(T2023&lt;=4,0.7,IF(T2023&lt;=6,0.8,IF(T2023&lt;=9,0.9,1))))))*$Y$1),1),"")</f>
      </c>
      <c r="V2023" s="37">
        <v>8.2</v>
      </c>
      <c r="W2023" s="38"/>
    </row>
    <row r="2024" ht="24" customHeight="1" spans="1:23" x14ac:dyDescent="0.25">
      <c r="A2024" s="47">
        <v>2487</v>
      </c>
      <c r="B2024" s="32" t="s">
        <v>2144</v>
      </c>
      <c r="C2024" s="48" t="s">
        <v>24</v>
      </c>
      <c r="D2024" s="49">
        <v>2016</v>
      </c>
      <c r="E2024" s="52"/>
      <c r="F2024" s="6">
        <v>8</v>
      </c>
      <c r="G2024" s="6">
        <v>8</v>
      </c>
      <c r="H2024" s="6">
        <v>8</v>
      </c>
      <c r="I2024" s="6">
        <v>9</v>
      </c>
      <c r="J2024" s="6">
        <v>8</v>
      </c>
      <c r="K2024" s="6">
        <v>8</v>
      </c>
      <c r="L2024" s="6">
        <v>8</v>
      </c>
      <c r="M2024" s="6">
        <v>8</v>
      </c>
      <c r="N2024" s="6">
        <v>8</v>
      </c>
      <c r="O2024" s="6">
        <v>8</v>
      </c>
      <c r="P2024" s="6">
        <v>8</v>
      </c>
      <c r="Q2024" s="6">
        <v>8</v>
      </c>
      <c r="R2024" s="6">
        <v>8</v>
      </c>
      <c r="S2024" s="35">
        <f>SUM(F2024:R2024)</f>
        <v>105</v>
      </c>
      <c r="T2024" s="35">
        <f>COUNT(F2024:R2024)</f>
        <v>13</v>
      </c>
      <c r="U2024" s="36">
        <f>IF(T2024&gt;=2,ROUND((IF(T2024=2,0.55,IF(T2024&lt;=4,0.7,IF(T2024&lt;=6,0.8,IF(T2024&lt;=9,0.9,1))))*(S2024/T2024)+(1-(IF(T2024=2,0.55,IF(T2024&lt;=4,0.7,IF(T2024&lt;=6,0.8,IF(T2024&lt;=9,0.9,1))))))*$Y$1),1),"")</f>
        <v>8.1</v>
      </c>
      <c r="V2024" s="37">
        <v>7.2</v>
      </c>
      <c r="W2024" s="38" t="s">
        <v>44</v>
      </c>
    </row>
    <row r="2025" ht="24" customHeight="1" spans="1:23" x14ac:dyDescent="0.25">
      <c r="A2025" s="40">
        <v>2160</v>
      </c>
      <c r="B2025" s="32" t="s">
        <v>2145</v>
      </c>
      <c r="C2025" s="33" t="s">
        <v>24</v>
      </c>
      <c r="D2025" s="34">
        <v>2005</v>
      </c>
      <c r="E2025" s="41"/>
      <c r="F2025" s="6"/>
      <c r="G2025" s="6">
        <v>7</v>
      </c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35">
        <f>SUM(F2025:R2025)</f>
        <v>7</v>
      </c>
      <c r="T2025" s="35">
        <f>COUNT(F2025:R2025)</f>
        <v>1</v>
      </c>
      <c r="U2025" s="36">
        <f>IF(T2025&gt;=2,ROUND((IF(T2025=2,0.55,IF(T2025&lt;=4,0.7,IF(T2025&lt;=6,0.8,IF(T2025&lt;=9,0.9,1))))*(S2025/T2025)+(1-(IF(T2025=2,0.55,IF(T2025&lt;=4,0.7,IF(T2025&lt;=6,0.8,IF(T2025&lt;=9,0.9,1))))))*$Y$1),1),"")</f>
      </c>
      <c r="V2025" s="37">
        <v>8</v>
      </c>
      <c r="W2025" s="38"/>
    </row>
    <row r="2026" ht="24" customHeight="1" spans="1:23" x14ac:dyDescent="0.25">
      <c r="A2026" s="31">
        <v>1490</v>
      </c>
      <c r="B2026" s="32" t="s">
        <v>2146</v>
      </c>
      <c r="C2026" s="33" t="s">
        <v>24</v>
      </c>
      <c r="D2026" s="34">
        <v>2021</v>
      </c>
      <c r="E2026" s="34" t="s">
        <v>27</v>
      </c>
      <c r="F2026" s="6">
        <v>8</v>
      </c>
      <c r="G2026" s="6"/>
      <c r="H2026" s="6"/>
      <c r="I2026" s="6">
        <v>8</v>
      </c>
      <c r="J2026" s="6"/>
      <c r="K2026" s="6"/>
      <c r="L2026" s="6"/>
      <c r="M2026" s="6"/>
      <c r="N2026" s="6"/>
      <c r="O2026" s="6">
        <v>8</v>
      </c>
      <c r="P2026" s="6"/>
      <c r="Q2026" s="6"/>
      <c r="R2026" s="6"/>
      <c r="S2026" s="35">
        <f>SUM(F2026:R2026)</f>
        <v>24</v>
      </c>
      <c r="T2026" s="35">
        <f>COUNT(F2026:R2026)</f>
        <v>3</v>
      </c>
      <c r="U2026" s="36">
        <f>IF(T2026&gt;=2,ROUND((IF(T2026=2,0.55,IF(T2026&lt;=4,0.7,IF(T2026&lt;=6,0.8,IF(T2026&lt;=9,0.9,1))))*(S2026/T2026)+(1-(IF(T2026=2,0.55,IF(T2026&lt;=4,0.7,IF(T2026&lt;=6,0.8,IF(T2026&lt;=9,0.9,1))))))*$Y$1),1),"")</f>
        <v>8</v>
      </c>
      <c r="V2026" s="37">
        <v>6.7</v>
      </c>
      <c r="W2026" s="38"/>
    </row>
    <row r="2027" ht="24" customHeight="1" spans="1:23" x14ac:dyDescent="0.25">
      <c r="A2027" s="40">
        <v>2153</v>
      </c>
      <c r="B2027" s="32" t="s">
        <v>2147</v>
      </c>
      <c r="C2027" s="33" t="s">
        <v>24</v>
      </c>
      <c r="D2027" s="34">
        <v>2005</v>
      </c>
      <c r="E2027" s="41"/>
      <c r="F2027" s="6"/>
      <c r="G2027" s="6">
        <v>7</v>
      </c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35">
        <f>SUM(F2027:R2027)</f>
        <v>7</v>
      </c>
      <c r="T2027" s="35">
        <f>COUNT(F2027:R2027)</f>
        <v>1</v>
      </c>
      <c r="U2027" s="36">
        <f>IF(T2027&gt;=2,ROUND((IF(T2027=2,0.55,IF(T2027&lt;=4,0.7,IF(T2027&lt;=6,0.8,IF(T2027&lt;=9,0.9,1))))*(S2027/T2027)+(1-(IF(T2027=2,0.55,IF(T2027&lt;=4,0.7,IF(T2027&lt;=6,0.8,IF(T2027&lt;=9,0.9,1))))))*$Y$1),1),"")</f>
      </c>
      <c r="V2027" s="37">
        <v>7.3</v>
      </c>
      <c r="W2027" s="38"/>
    </row>
    <row r="2028" ht="24" customHeight="1" spans="1:23" x14ac:dyDescent="0.25">
      <c r="A2028" s="31">
        <v>913</v>
      </c>
      <c r="B2028" s="32" t="s">
        <v>2148</v>
      </c>
      <c r="C2028" s="33" t="s">
        <v>24</v>
      </c>
      <c r="D2028" s="34">
        <v>1994</v>
      </c>
      <c r="E2028" s="34" t="s">
        <v>122</v>
      </c>
      <c r="F2028" s="6"/>
      <c r="G2028" s="6"/>
      <c r="H2028" s="6"/>
      <c r="I2028" s="6"/>
      <c r="J2028" s="6"/>
      <c r="K2028" s="6">
        <v>4</v>
      </c>
      <c r="L2028" s="6"/>
      <c r="M2028" s="6"/>
      <c r="N2028" s="6"/>
      <c r="O2028" s="6"/>
      <c r="P2028" s="6"/>
      <c r="Q2028" s="6">
        <v>4</v>
      </c>
      <c r="R2028" s="6"/>
      <c r="S2028" s="35">
        <f>SUM(F2028:R2028)</f>
        <v>8</v>
      </c>
      <c r="T2028" s="35">
        <f>COUNT(F2028:R2028)</f>
        <v>2</v>
      </c>
      <c r="U2028" s="36">
        <f>IF(T2028&gt;=2,ROUND((IF(T2028=2,0.55,IF(T2028&lt;=4,0.7,IF(T2028&lt;=6,0.8,IF(T2028&lt;=9,0.9,1))))*(S2028/T2028)+(1-(IF(T2028=2,0.55,IF(T2028&lt;=4,0.7,IF(T2028&lt;=6,0.8,IF(T2028&lt;=9,0.9,1))))))*$Y$1),1),"")</f>
        <v>5.8</v>
      </c>
      <c r="V2028" s="37">
        <v>6.3</v>
      </c>
      <c r="W2028" s="38"/>
    </row>
    <row r="2029" ht="47.25" customHeight="1" spans="1:23" x14ac:dyDescent="0.25">
      <c r="A2029" s="31">
        <v>10</v>
      </c>
      <c r="B2029" s="32" t="s">
        <v>2149</v>
      </c>
      <c r="C2029" s="33" t="s">
        <v>24</v>
      </c>
      <c r="D2029" s="34">
        <v>2017</v>
      </c>
      <c r="E2029" s="34" t="s">
        <v>30</v>
      </c>
      <c r="F2029" s="6">
        <v>8</v>
      </c>
      <c r="G2029" s="6">
        <v>6</v>
      </c>
      <c r="H2029" s="6">
        <v>6</v>
      </c>
      <c r="I2029" s="6">
        <v>10</v>
      </c>
      <c r="J2029" s="6">
        <v>8</v>
      </c>
      <c r="K2029" s="6">
        <v>10</v>
      </c>
      <c r="L2029" s="6">
        <v>6</v>
      </c>
      <c r="M2029" s="6">
        <v>6</v>
      </c>
      <c r="N2029" s="6">
        <v>6</v>
      </c>
      <c r="O2029" s="6">
        <v>6</v>
      </c>
      <c r="P2029" s="6">
        <v>6</v>
      </c>
      <c r="Q2029" s="6">
        <v>10</v>
      </c>
      <c r="R2029" s="6">
        <v>10</v>
      </c>
      <c r="S2029" s="35">
        <f>SUM(F2029:R2029)</f>
        <v>98</v>
      </c>
      <c r="T2029" s="35">
        <f>COUNT(F2029:R2029)</f>
        <v>13</v>
      </c>
      <c r="U2029" s="36">
        <f>IF(T2029&gt;=2,ROUND((IF(T2029=2,0.55,IF(T2029&lt;=4,0.7,IF(T2029&lt;=6,0.8,IF(T2029&lt;=9,0.9,1))))*(S2029/T2029)+(1-(IF(T2029=2,0.55,IF(T2029&lt;=4,0.7,IF(T2029&lt;=6,0.8,IF(T2029&lt;=9,0.9,1))))))*$Y$1),1),"")</f>
        <v>7.5</v>
      </c>
      <c r="V2029" s="37">
        <v>6.5</v>
      </c>
      <c r="W2029" s="38"/>
    </row>
    <row r="2030" ht="24" customHeight="1" spans="1:23" x14ac:dyDescent="0.25">
      <c r="A2030" s="31">
        <v>9</v>
      </c>
      <c r="B2030" s="32" t="s">
        <v>2150</v>
      </c>
      <c r="C2030" s="33" t="s">
        <v>24</v>
      </c>
      <c r="D2030" s="34">
        <v>1993</v>
      </c>
      <c r="E2030" s="34" t="s">
        <v>58</v>
      </c>
      <c r="F2030" s="6">
        <v>10</v>
      </c>
      <c r="G2030" s="6">
        <v>10</v>
      </c>
      <c r="H2030" s="6">
        <v>10</v>
      </c>
      <c r="I2030" s="6">
        <v>10</v>
      </c>
      <c r="J2030" s="6">
        <v>10</v>
      </c>
      <c r="K2030" s="6">
        <v>10</v>
      </c>
      <c r="L2030" s="6">
        <v>10</v>
      </c>
      <c r="M2030" s="6">
        <v>10</v>
      </c>
      <c r="N2030" s="6">
        <v>10</v>
      </c>
      <c r="O2030" s="6">
        <v>10</v>
      </c>
      <c r="P2030" s="6">
        <v>10</v>
      </c>
      <c r="Q2030" s="6">
        <v>10</v>
      </c>
      <c r="R2030" s="6">
        <v>10</v>
      </c>
      <c r="S2030" s="35">
        <f>SUM(F2030:R2030)</f>
        <v>130</v>
      </c>
      <c r="T2030" s="35">
        <f>COUNT(F2030:R2030)</f>
        <v>13</v>
      </c>
      <c r="U2030" s="36">
        <f>IF(T2030&gt;=2,ROUND((IF(T2030=2,0.55,IF(T2030&lt;=4,0.7,IF(T2030&lt;=6,0.8,IF(T2030&lt;=9,0.9,1))))*(S2030/T2030)+(1-(IF(T2030=2,0.55,IF(T2030&lt;=4,0.7,IF(T2030&lt;=6,0.8,IF(T2030&lt;=9,0.9,1))))))*$Y$1),1),"")</f>
        <v>10</v>
      </c>
      <c r="V2030" s="37">
        <v>9</v>
      </c>
      <c r="W2030" s="38"/>
    </row>
    <row r="2031" ht="24" customHeight="1" spans="1:23" x14ac:dyDescent="0.25">
      <c r="A2031" s="31">
        <v>2010</v>
      </c>
      <c r="B2031" s="32" t="s">
        <v>2151</v>
      </c>
      <c r="C2031" s="33" t="s">
        <v>24</v>
      </c>
      <c r="D2031" s="34">
        <v>2025</v>
      </c>
      <c r="E2031" s="34"/>
      <c r="F2031" s="6">
        <v>7</v>
      </c>
      <c r="G2031" s="6"/>
      <c r="H2031" s="6"/>
      <c r="I2031" s="6"/>
      <c r="J2031" s="6">
        <v>8</v>
      </c>
      <c r="K2031" s="6"/>
      <c r="L2031" s="6">
        <v>7</v>
      </c>
      <c r="M2031" s="6">
        <v>8</v>
      </c>
      <c r="N2031" s="6"/>
      <c r="O2031" s="6"/>
      <c r="P2031" s="6"/>
      <c r="Q2031" s="6"/>
      <c r="R2031" s="6"/>
      <c r="S2031" s="35">
        <f>SUM(F2031:R2031)</f>
        <v>30</v>
      </c>
      <c r="T2031" s="35">
        <f>COUNT(F2031:R2031)</f>
        <v>4</v>
      </c>
      <c r="U2031" s="36">
        <f>IF(T2031&gt;=2,ROUND((IF(T2031=2,0.55,IF(T2031&lt;=4,0.7,IF(T2031&lt;=6,0.8,IF(T2031&lt;=9,0.9,1))))*(S2031/T2031)+(1-(IF(T2031=2,0.55,IF(T2031&lt;=4,0.7,IF(T2031&lt;=6,0.8,IF(T2031&lt;=9,0.9,1))))))*$Y$1),1),"")</f>
        <v>7.7</v>
      </c>
      <c r="V2031" s="37">
        <v>6.8</v>
      </c>
      <c r="W2031" s="38"/>
    </row>
    <row r="2032" ht="24" customHeight="1" spans="1:23" s="39" customFormat="1" x14ac:dyDescent="0.25">
      <c r="A2032" s="31">
        <v>452</v>
      </c>
      <c r="B2032" s="32" t="s">
        <v>2152</v>
      </c>
      <c r="C2032" s="33" t="s">
        <v>24</v>
      </c>
      <c r="D2032" s="34">
        <v>2011</v>
      </c>
      <c r="E2032" s="34" t="s">
        <v>27</v>
      </c>
      <c r="F2032" s="6"/>
      <c r="G2032" s="6">
        <v>8</v>
      </c>
      <c r="H2032" s="6"/>
      <c r="I2032" s="6"/>
      <c r="J2032" s="6"/>
      <c r="K2032" s="6"/>
      <c r="L2032" s="6"/>
      <c r="M2032" s="6"/>
      <c r="N2032" s="6"/>
      <c r="O2032" s="6"/>
      <c r="P2032" s="6">
        <v>8</v>
      </c>
      <c r="Q2032" s="6"/>
      <c r="R2032" s="6"/>
      <c r="S2032" s="35">
        <f>SUM(F2032:R2032)</f>
        <v>16</v>
      </c>
      <c r="T2032" s="35">
        <f>COUNT(F2032:R2032)</f>
        <v>2</v>
      </c>
      <c r="U2032" s="36">
        <f>IF(T2032&gt;=2,ROUND((IF(T2032=2,0.55,IF(T2032&lt;=4,0.7,IF(T2032&lt;=6,0.8,IF(T2032&lt;=9,0.9,1))))*(S2032/T2032)+(1-(IF(T2032=2,0.55,IF(T2032&lt;=4,0.7,IF(T2032&lt;=6,0.8,IF(T2032&lt;=9,0.9,1))))))*$Y$1),1),"")</f>
        <v>8</v>
      </c>
      <c r="V2032" s="37">
        <v>5.4</v>
      </c>
      <c r="W2032" s="38"/>
    </row>
    <row r="2033" ht="47.25" customHeight="1" spans="1:23" x14ac:dyDescent="0.25">
      <c r="A2033" s="31">
        <v>674</v>
      </c>
      <c r="B2033" s="32" t="s">
        <v>2153</v>
      </c>
      <c r="C2033" s="33" t="s">
        <v>24</v>
      </c>
      <c r="D2033" s="34">
        <v>2016</v>
      </c>
      <c r="E2033" s="34" t="s">
        <v>27</v>
      </c>
      <c r="F2033" s="6"/>
      <c r="G2033" s="6"/>
      <c r="H2033" s="6"/>
      <c r="I2033" s="6"/>
      <c r="J2033" s="6"/>
      <c r="K2033" s="6"/>
      <c r="L2033" s="6">
        <v>8</v>
      </c>
      <c r="M2033" s="6"/>
      <c r="N2033" s="6"/>
      <c r="O2033" s="6"/>
      <c r="P2033" s="6"/>
      <c r="Q2033" s="6"/>
      <c r="R2033" s="6"/>
      <c r="S2033" s="35">
        <f>SUM(F2033:R2033)</f>
        <v>8</v>
      </c>
      <c r="T2033" s="35">
        <f>COUNT(F2033:R2033)</f>
        <v>1</v>
      </c>
      <c r="U2033" s="36">
        <f>IF(T2033&gt;=2,ROUND((IF(T2033=2,0.55,IF(T2033&lt;=4,0.7,IF(T2033&lt;=6,0.8,IF(T2033&lt;=9,0.9,1))))*(S2033/T2033)+(1-(IF(T2033=2,0.55,IF(T2033&lt;=4,0.7,IF(T2033&lt;=6,0.8,IF(T2033&lt;=9,0.9,1))))))*$Y$1),1),"")</f>
      </c>
      <c r="V2033" s="37">
        <v>5.5</v>
      </c>
      <c r="W2033" s="38"/>
    </row>
    <row r="2034" ht="24" customHeight="1" spans="1:23" x14ac:dyDescent="0.25">
      <c r="A2034" s="31">
        <v>1567</v>
      </c>
      <c r="B2034" s="32" t="s">
        <v>2154</v>
      </c>
      <c r="C2034" s="33" t="s">
        <v>29</v>
      </c>
      <c r="D2034" s="34">
        <v>2014</v>
      </c>
      <c r="E2034" s="34" t="s">
        <v>30</v>
      </c>
      <c r="F2034" s="6"/>
      <c r="G2034" s="6"/>
      <c r="H2034" s="6"/>
      <c r="I2034" s="6"/>
      <c r="J2034" s="6">
        <v>8</v>
      </c>
      <c r="K2034" s="6"/>
      <c r="L2034" s="6"/>
      <c r="M2034" s="6"/>
      <c r="N2034" s="6"/>
      <c r="O2034" s="6"/>
      <c r="P2034" s="6"/>
      <c r="Q2034" s="6"/>
      <c r="R2034" s="6"/>
      <c r="S2034" s="35">
        <f>SUM(F2034:R2034)</f>
        <v>8</v>
      </c>
      <c r="T2034" s="35">
        <f>COUNT(F2034:R2034)</f>
        <v>1</v>
      </c>
      <c r="U2034" s="36">
        <f>IF(T2034&gt;=2,ROUND((IF(T2034=2,0.55,IF(T2034&lt;=4,0.7,IF(T2034&lt;=6,0.8,IF(T2034&lt;=9,0.9,1))))*(S2034/T2034)+(1-(IF(T2034=2,0.55,IF(T2034&lt;=4,0.7,IF(T2034&lt;=6,0.8,IF(T2034&lt;=9,0.9,1))))))*$Y$1),1),"")</f>
      </c>
      <c r="V2034" s="37">
        <v>7.2</v>
      </c>
      <c r="W2034" s="38"/>
    </row>
    <row r="2035" ht="24" customHeight="1" spans="1:23" x14ac:dyDescent="0.25">
      <c r="A2035" s="31">
        <v>1628</v>
      </c>
      <c r="B2035" s="32" t="s">
        <v>2155</v>
      </c>
      <c r="C2035" s="33" t="s">
        <v>24</v>
      </c>
      <c r="D2035" s="34">
        <v>1993</v>
      </c>
      <c r="E2035" s="34" t="s">
        <v>69</v>
      </c>
      <c r="F2035" s="6"/>
      <c r="G2035" s="6"/>
      <c r="H2035" s="6"/>
      <c r="I2035" s="6"/>
      <c r="J2035" s="6">
        <v>8</v>
      </c>
      <c r="K2035" s="6"/>
      <c r="L2035" s="6"/>
      <c r="M2035" s="6"/>
      <c r="N2035" s="6"/>
      <c r="O2035" s="6"/>
      <c r="P2035" s="6"/>
      <c r="Q2035" s="6"/>
      <c r="R2035" s="6"/>
      <c r="S2035" s="35">
        <f>SUM(F2035:R2035)</f>
        <v>8</v>
      </c>
      <c r="T2035" s="35">
        <f>COUNT(F2035:R2035)</f>
        <v>1</v>
      </c>
      <c r="U2035" s="36">
        <f>IF(T2035&gt;=2,ROUND((IF(T2035=2,0.55,IF(T2035&lt;=4,0.7,IF(T2035&lt;=6,0.8,IF(T2035&lt;=9,0.9,1))))*(S2035/T2035)+(1-(IF(T2035=2,0.55,IF(T2035&lt;=4,0.7,IF(T2035&lt;=6,0.8,IF(T2035&lt;=9,0.9,1))))))*$Y$1),1),"")</f>
      </c>
      <c r="V2035" s="37">
        <v>7.8</v>
      </c>
      <c r="W2035" s="38"/>
    </row>
    <row r="2036" ht="24" customHeight="1" spans="1:23" x14ac:dyDescent="0.25">
      <c r="A2036" s="31">
        <v>706</v>
      </c>
      <c r="B2036" s="32" t="s">
        <v>2156</v>
      </c>
      <c r="C2036" s="33" t="s">
        <v>24</v>
      </c>
      <c r="D2036" s="34">
        <v>2019</v>
      </c>
      <c r="E2036" s="34" t="s">
        <v>30</v>
      </c>
      <c r="F2036" s="6">
        <v>6</v>
      </c>
      <c r="G2036" s="6">
        <v>6</v>
      </c>
      <c r="H2036" s="6">
        <v>6</v>
      </c>
      <c r="I2036" s="6"/>
      <c r="J2036" s="6"/>
      <c r="K2036" s="6">
        <v>6</v>
      </c>
      <c r="L2036" s="6">
        <v>6</v>
      </c>
      <c r="M2036" s="6"/>
      <c r="N2036" s="6"/>
      <c r="O2036" s="6"/>
      <c r="P2036" s="6"/>
      <c r="Q2036" s="6">
        <v>6</v>
      </c>
      <c r="R2036" s="6"/>
      <c r="S2036" s="35">
        <f>SUM(F2036:R2036)</f>
        <v>36</v>
      </c>
      <c r="T2036" s="35">
        <f>COUNT(F2036:R2036)</f>
        <v>6</v>
      </c>
      <c r="U2036" s="36">
        <f>IF(T2036&gt;=2,ROUND((IF(T2036=2,0.55,IF(T2036&lt;=4,0.7,IF(T2036&lt;=6,0.8,IF(T2036&lt;=9,0.9,1))))*(S2036/T2036)+(1-(IF(T2036=2,0.55,IF(T2036&lt;=4,0.7,IF(T2036&lt;=6,0.8,IF(T2036&lt;=9,0.9,1))))))*$Y$1),1),"")</f>
        <v>6.4</v>
      </c>
      <c r="V2036" s="37">
        <v>6.3</v>
      </c>
      <c r="W2036" s="38"/>
    </row>
    <row r="2037" ht="24" customHeight="1" spans="1:23" x14ac:dyDescent="0.25">
      <c r="A2037" s="31">
        <v>1184</v>
      </c>
      <c r="B2037" s="32" t="s">
        <v>2157</v>
      </c>
      <c r="C2037" s="33" t="s">
        <v>24</v>
      </c>
      <c r="D2037" s="34">
        <v>2013</v>
      </c>
      <c r="E2037" s="34" t="s">
        <v>167</v>
      </c>
      <c r="F2037" s="6"/>
      <c r="G2037" s="6">
        <v>7</v>
      </c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35">
        <f>SUM(F2037:R2037)</f>
        <v>7</v>
      </c>
      <c r="T2037" s="35">
        <f>COUNT(F2037:R2037)</f>
        <v>1</v>
      </c>
      <c r="U2037" s="36">
        <f>IF(T2037&gt;=2,ROUND((IF(T2037=2,0.55,IF(T2037&lt;=4,0.7,IF(T2037&lt;=6,0.8,IF(T2037&lt;=9,0.9,1))))*(S2037/T2037)+(1-(IF(T2037=2,0.55,IF(T2037&lt;=4,0.7,IF(T2037&lt;=6,0.8,IF(T2037&lt;=9,0.9,1))))))*$Y$1),1),"")</f>
      </c>
      <c r="V2037" s="37">
        <v>7.8</v>
      </c>
      <c r="W2037" s="38"/>
    </row>
    <row r="2038" ht="24" customHeight="1" spans="1:23" x14ac:dyDescent="0.25">
      <c r="A2038" s="31">
        <v>325</v>
      </c>
      <c r="B2038" s="32" t="s">
        <v>2158</v>
      </c>
      <c r="C2038" s="33" t="s">
        <v>24</v>
      </c>
      <c r="D2038" s="34">
        <v>1996</v>
      </c>
      <c r="E2038" s="34" t="s">
        <v>30</v>
      </c>
      <c r="F2038" s="6"/>
      <c r="G2038" s="6"/>
      <c r="H2038" s="6"/>
      <c r="I2038" s="6"/>
      <c r="J2038" s="6"/>
      <c r="K2038" s="6">
        <v>8</v>
      </c>
      <c r="L2038" s="6">
        <v>8</v>
      </c>
      <c r="M2038" s="6"/>
      <c r="N2038" s="6"/>
      <c r="O2038" s="6"/>
      <c r="P2038" s="6"/>
      <c r="Q2038" s="6">
        <v>8</v>
      </c>
      <c r="R2038" s="6"/>
      <c r="S2038" s="35">
        <f>SUM(F2038:R2038)</f>
        <v>24</v>
      </c>
      <c r="T2038" s="35">
        <f>COUNT(F2038:R2038)</f>
        <v>3</v>
      </c>
      <c r="U2038" s="36">
        <f>IF(T2038&gt;=2,ROUND((IF(T2038=2,0.55,IF(T2038&lt;=4,0.7,IF(T2038&lt;=6,0.8,IF(T2038&lt;=9,0.9,1))))*(S2038/T2038)+(1-(IF(T2038=2,0.55,IF(T2038&lt;=4,0.7,IF(T2038&lt;=6,0.8,IF(T2038&lt;=9,0.9,1))))))*$Y$1),1),"")</f>
        <v>8</v>
      </c>
      <c r="V2038" s="37">
        <v>5.7</v>
      </c>
      <c r="W2038" s="38"/>
    </row>
    <row r="2039" ht="24" customHeight="1" spans="1:23" x14ac:dyDescent="0.25">
      <c r="A2039" s="31">
        <v>1054</v>
      </c>
      <c r="B2039" s="32" t="s">
        <v>2159</v>
      </c>
      <c r="C2039" s="33" t="s">
        <v>158</v>
      </c>
      <c r="D2039" s="34">
        <v>2018</v>
      </c>
      <c r="E2039" s="34" t="s">
        <v>69</v>
      </c>
      <c r="F2039" s="6"/>
      <c r="G2039" s="6"/>
      <c r="H2039" s="6"/>
      <c r="I2039" s="6"/>
      <c r="J2039" s="6"/>
      <c r="K2039" s="6"/>
      <c r="L2039" s="6">
        <v>10</v>
      </c>
      <c r="M2039" s="6"/>
      <c r="N2039" s="6"/>
      <c r="O2039" s="6"/>
      <c r="P2039" s="6"/>
      <c r="Q2039" s="6"/>
      <c r="R2039" s="6"/>
      <c r="S2039" s="35">
        <f>SUM(F2039:R2039)</f>
        <v>10</v>
      </c>
      <c r="T2039" s="35">
        <f>COUNT(F2039:R2039)</f>
        <v>1</v>
      </c>
      <c r="U2039" s="36">
        <f>IF(T2039&gt;=2,ROUND((IF(T2039=2,0.55,IF(T2039&lt;=4,0.7,IF(T2039&lt;=6,0.8,IF(T2039&lt;=9,0.9,1))))*(S2039/T2039)+(1-(IF(T2039=2,0.55,IF(T2039&lt;=4,0.7,IF(T2039&lt;=6,0.8,IF(T2039&lt;=9,0.9,1))))))*$Y$1),1),"")</f>
      </c>
      <c r="V2039" s="37">
        <v>7.6</v>
      </c>
      <c r="W2039" s="38"/>
    </row>
    <row r="2040" ht="47.25" customHeight="1" spans="1:23" x14ac:dyDescent="0.25">
      <c r="A2040" s="31">
        <v>1282</v>
      </c>
      <c r="B2040" s="32" t="s">
        <v>2160</v>
      </c>
      <c r="C2040" s="33" t="s">
        <v>24</v>
      </c>
      <c r="D2040" s="34">
        <v>2009</v>
      </c>
      <c r="E2040" s="34" t="s">
        <v>27</v>
      </c>
      <c r="F2040" s="6"/>
      <c r="G2040" s="6"/>
      <c r="H2040" s="6">
        <v>8</v>
      </c>
      <c r="I2040" s="6"/>
      <c r="J2040" s="6"/>
      <c r="K2040" s="6">
        <v>8</v>
      </c>
      <c r="L2040" s="6">
        <v>8</v>
      </c>
      <c r="M2040" s="6"/>
      <c r="N2040" s="6"/>
      <c r="O2040" s="6"/>
      <c r="P2040" s="6"/>
      <c r="Q2040" s="6">
        <v>8</v>
      </c>
      <c r="R2040" s="6"/>
      <c r="S2040" s="35">
        <f>SUM(F2040:R2040)</f>
        <v>32</v>
      </c>
      <c r="T2040" s="35">
        <f>COUNT(F2040:R2040)</f>
        <v>4</v>
      </c>
      <c r="U2040" s="36">
        <f>IF(T2040&gt;=2,ROUND((IF(T2040=2,0.55,IF(T2040&lt;=4,0.7,IF(T2040&lt;=6,0.8,IF(T2040&lt;=9,0.9,1))))*(S2040/T2040)+(1-(IF(T2040=2,0.55,IF(T2040&lt;=4,0.7,IF(T2040&lt;=6,0.8,IF(T2040&lt;=9,0.9,1))))))*$Y$1),1),"")</f>
        <v>8</v>
      </c>
      <c r="V2040" s="37">
        <v>7.2</v>
      </c>
      <c r="W2040" s="38"/>
    </row>
    <row r="2041" ht="24" customHeight="1" spans="1:23" x14ac:dyDescent="0.25">
      <c r="A2041" s="31">
        <v>396</v>
      </c>
      <c r="B2041" s="32" t="s">
        <v>2161</v>
      </c>
      <c r="C2041" s="33" t="s">
        <v>24</v>
      </c>
      <c r="D2041" s="34">
        <v>2015</v>
      </c>
      <c r="E2041" s="34" t="s">
        <v>179</v>
      </c>
      <c r="F2041" s="6"/>
      <c r="G2041" s="6"/>
      <c r="H2041" s="6"/>
      <c r="I2041" s="6"/>
      <c r="J2041" s="6"/>
      <c r="K2041" s="6">
        <v>10</v>
      </c>
      <c r="L2041" s="6">
        <v>8</v>
      </c>
      <c r="M2041" s="6"/>
      <c r="N2041" s="6"/>
      <c r="O2041" s="6"/>
      <c r="P2041" s="6"/>
      <c r="Q2041" s="6">
        <v>10</v>
      </c>
      <c r="R2041" s="6"/>
      <c r="S2041" s="35">
        <f>SUM(F2041:R2041)</f>
        <v>28</v>
      </c>
      <c r="T2041" s="35">
        <f>COUNT(F2041:R2041)</f>
        <v>3</v>
      </c>
      <c r="U2041" s="36">
        <f>IF(T2041&gt;=2,ROUND((IF(T2041=2,0.55,IF(T2041&lt;=4,0.7,IF(T2041&lt;=6,0.8,IF(T2041&lt;=9,0.9,1))))*(S2041/T2041)+(1-(IF(T2041=2,0.55,IF(T2041&lt;=4,0.7,IF(T2041&lt;=6,0.8,IF(T2041&lt;=9,0.9,1))))))*$Y$1),1),"")</f>
        <v>9</v>
      </c>
      <c r="V2041" s="37">
        <v>5.9</v>
      </c>
      <c r="W2041" s="38"/>
    </row>
    <row r="2042" ht="24" customHeight="1" spans="1:23" x14ac:dyDescent="0.25">
      <c r="A2042" s="47">
        <v>1891</v>
      </c>
      <c r="B2042" s="32" t="s">
        <v>2162</v>
      </c>
      <c r="C2042" s="48" t="s">
        <v>24</v>
      </c>
      <c r="D2042" s="49">
        <v>2024</v>
      </c>
      <c r="E2042" s="49" t="s">
        <v>48</v>
      </c>
      <c r="F2042" s="6">
        <v>10</v>
      </c>
      <c r="G2042" s="6">
        <v>9</v>
      </c>
      <c r="H2042" s="6">
        <v>9</v>
      </c>
      <c r="I2042" s="6">
        <v>8</v>
      </c>
      <c r="J2042" s="6">
        <v>9</v>
      </c>
      <c r="K2042" s="6">
        <v>10</v>
      </c>
      <c r="L2042" s="6">
        <v>9</v>
      </c>
      <c r="M2042" s="6">
        <v>10</v>
      </c>
      <c r="N2042" s="6">
        <v>10</v>
      </c>
      <c r="O2042" s="6">
        <v>10</v>
      </c>
      <c r="P2042" s="6">
        <v>9</v>
      </c>
      <c r="Q2042" s="6">
        <v>10</v>
      </c>
      <c r="R2042" s="6"/>
      <c r="S2042" s="35">
        <f>SUM(F2042:R2042)</f>
        <v>113</v>
      </c>
      <c r="T2042" s="35">
        <f>COUNT(F2042:R2042)</f>
        <v>12</v>
      </c>
      <c r="U2042" s="36">
        <f>IF(T2042&gt;=2,ROUND((IF(T2042=2,0.55,IF(T2042&lt;=4,0.7,IF(T2042&lt;=6,0.8,IF(T2042&lt;=9,0.9,1))))*(S2042/T2042)+(1-(IF(T2042=2,0.55,IF(T2042&lt;=4,0.7,IF(T2042&lt;=6,0.8,IF(T2042&lt;=9,0.9,1))))))*$Y$1),1),"")</f>
        <v>9.4</v>
      </c>
      <c r="V2042" s="37">
        <v>7.5</v>
      </c>
      <c r="W2042" s="38" t="s">
        <v>44</v>
      </c>
    </row>
    <row r="2043" ht="24" customHeight="1" spans="1:23" x14ac:dyDescent="0.25">
      <c r="A2043" s="40">
        <v>2115</v>
      </c>
      <c r="B2043" s="32" t="s">
        <v>2163</v>
      </c>
      <c r="C2043" s="33" t="s">
        <v>24</v>
      </c>
      <c r="D2043" s="34">
        <v>2000</v>
      </c>
      <c r="E2043" s="41"/>
      <c r="F2043" s="6"/>
      <c r="G2043" s="6">
        <v>6</v>
      </c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35">
        <f>SUM(F2043:R2043)</f>
        <v>6</v>
      </c>
      <c r="T2043" s="35">
        <f>COUNT(F2043:R2043)</f>
        <v>1</v>
      </c>
      <c r="U2043" s="36">
        <f>IF(T2043&gt;=2,ROUND((IF(T2043=2,0.55,IF(T2043&lt;=4,0.7,IF(T2043&lt;=6,0.8,IF(T2043&lt;=9,0.9,1))))*(S2043/T2043)+(1-(IF(T2043=2,0.55,IF(T2043&lt;=4,0.7,IF(T2043&lt;=6,0.8,IF(T2043&lt;=9,0.9,1))))))*$Y$1),1),"")</f>
      </c>
      <c r="V2043" s="37">
        <v>5.7</v>
      </c>
      <c r="W2043" s="38"/>
    </row>
    <row r="2044" ht="24" customHeight="1" spans="1:23" x14ac:dyDescent="0.25">
      <c r="A2044" s="31">
        <v>947</v>
      </c>
      <c r="B2044" s="32" t="s">
        <v>2164</v>
      </c>
      <c r="C2044" s="33" t="s">
        <v>114</v>
      </c>
      <c r="D2044" s="34">
        <v>2004</v>
      </c>
      <c r="E2044" s="34" t="s">
        <v>25</v>
      </c>
      <c r="F2044" s="6"/>
      <c r="G2044" s="6">
        <v>7</v>
      </c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35">
        <f>SUM(F2044:R2044)</f>
        <v>7</v>
      </c>
      <c r="T2044" s="35">
        <f>COUNT(F2044:R2044)</f>
        <v>1</v>
      </c>
      <c r="U2044" s="36">
        <f>IF(T2044&gt;=2,ROUND((IF(T2044=2,0.55,IF(T2044&lt;=4,0.7,IF(T2044&lt;=6,0.8,IF(T2044&lt;=9,0.9,1))))*(S2044/T2044)+(1-(IF(T2044=2,0.55,IF(T2044&lt;=4,0.7,IF(T2044&lt;=6,0.8,IF(T2044&lt;=9,0.9,1))))))*$Y$1),1),"")</f>
      </c>
      <c r="V2044" s="37">
        <v>8</v>
      </c>
      <c r="W2044" s="38"/>
    </row>
    <row r="2045" ht="24" customHeight="1" spans="1:23" x14ac:dyDescent="0.25">
      <c r="A2045" s="31">
        <v>1365</v>
      </c>
      <c r="B2045" s="32" t="s">
        <v>2165</v>
      </c>
      <c r="C2045" s="33" t="s">
        <v>24</v>
      </c>
      <c r="D2045" s="34">
        <v>2022</v>
      </c>
      <c r="E2045" s="34" t="s">
        <v>30</v>
      </c>
      <c r="F2045" s="6"/>
      <c r="G2045" s="6"/>
      <c r="H2045" s="6">
        <v>6</v>
      </c>
      <c r="I2045" s="6"/>
      <c r="J2045" s="6"/>
      <c r="K2045" s="6"/>
      <c r="L2045" s="6">
        <v>4</v>
      </c>
      <c r="M2045" s="6"/>
      <c r="N2045" s="6"/>
      <c r="O2045" s="6">
        <v>6</v>
      </c>
      <c r="P2045" s="6"/>
      <c r="Q2045" s="6"/>
      <c r="R2045" s="6"/>
      <c r="S2045" s="35">
        <f>SUM(F2045:R2045)</f>
        <v>16</v>
      </c>
      <c r="T2045" s="35">
        <f>COUNT(F2045:R2045)</f>
        <v>3</v>
      </c>
      <c r="U2045" s="36">
        <f>IF(T2045&gt;=2,ROUND((IF(T2045=2,0.55,IF(T2045&lt;=4,0.7,IF(T2045&lt;=6,0.8,IF(T2045&lt;=9,0.9,1))))*(S2045/T2045)+(1-(IF(T2045=2,0.55,IF(T2045&lt;=4,0.7,IF(T2045&lt;=6,0.8,IF(T2045&lt;=9,0.9,1))))))*$Y$1),1),"")</f>
        <v>6.2</v>
      </c>
      <c r="V2045" s="37">
        <v>5.8</v>
      </c>
      <c r="W2045" s="38"/>
    </row>
    <row r="2046" ht="24" customHeight="1" spans="1:23" x14ac:dyDescent="0.25">
      <c r="A2046" s="40">
        <v>2268</v>
      </c>
      <c r="B2046" s="32" t="s">
        <v>2166</v>
      </c>
      <c r="C2046" s="33" t="s">
        <v>24</v>
      </c>
      <c r="D2046" s="34">
        <v>2011</v>
      </c>
      <c r="E2046" s="41"/>
      <c r="F2046" s="6"/>
      <c r="G2046" s="6">
        <v>7</v>
      </c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35">
        <f>SUM(F2046:R2046)</f>
        <v>7</v>
      </c>
      <c r="T2046" s="35">
        <f>COUNT(F2046:R2046)</f>
        <v>1</v>
      </c>
      <c r="U2046" s="36">
        <f>IF(T2046&gt;=2,ROUND((IF(T2046=2,0.55,IF(T2046&lt;=4,0.7,IF(T2046&lt;=6,0.8,IF(T2046&lt;=9,0.9,1))))*(S2046/T2046)+(1-(IF(T2046=2,0.55,IF(T2046&lt;=4,0.7,IF(T2046&lt;=6,0.8,IF(T2046&lt;=9,0.9,1))))))*$Y$1),1),"")</f>
      </c>
      <c r="V2046" s="37">
        <v>7.5</v>
      </c>
      <c r="W2046" s="38"/>
    </row>
    <row r="2047" ht="24" customHeight="1" spans="1:23" x14ac:dyDescent="0.25">
      <c r="A2047" s="31">
        <v>1642</v>
      </c>
      <c r="B2047" s="32" t="s">
        <v>2167</v>
      </c>
      <c r="C2047" s="33" t="s">
        <v>24</v>
      </c>
      <c r="D2047" s="34">
        <v>2015</v>
      </c>
      <c r="E2047" s="34" t="s">
        <v>30</v>
      </c>
      <c r="F2047" s="6"/>
      <c r="G2047" s="6"/>
      <c r="H2047" s="6"/>
      <c r="I2047" s="6"/>
      <c r="J2047" s="6"/>
      <c r="K2047" s="6">
        <v>7</v>
      </c>
      <c r="L2047" s="6"/>
      <c r="M2047" s="6"/>
      <c r="N2047" s="6"/>
      <c r="O2047" s="6"/>
      <c r="P2047" s="6"/>
      <c r="Q2047" s="6">
        <v>7</v>
      </c>
      <c r="R2047" s="6"/>
      <c r="S2047" s="35">
        <f>SUM(F2047:R2047)</f>
        <v>14</v>
      </c>
      <c r="T2047" s="35">
        <f>COUNT(F2047:R2047)</f>
        <v>2</v>
      </c>
      <c r="U2047" s="36">
        <f>IF(T2047&gt;=2,ROUND((IF(T2047=2,0.55,IF(T2047&lt;=4,0.7,IF(T2047&lt;=6,0.8,IF(T2047&lt;=9,0.9,1))))*(S2047/T2047)+(1-(IF(T2047=2,0.55,IF(T2047&lt;=4,0.7,IF(T2047&lt;=6,0.8,IF(T2047&lt;=9,0.9,1))))))*$Y$1),1),"")</f>
        <v>7.5</v>
      </c>
      <c r="V2047" s="37">
        <v>6.3</v>
      </c>
      <c r="W2047" s="38"/>
    </row>
    <row r="2048" ht="24" customHeight="1" spans="1:23" x14ac:dyDescent="0.25">
      <c r="A2048" s="31">
        <v>1146</v>
      </c>
      <c r="B2048" s="32" t="s">
        <v>2168</v>
      </c>
      <c r="C2048" s="33" t="s">
        <v>24</v>
      </c>
      <c r="D2048" s="34">
        <v>2005</v>
      </c>
      <c r="E2048" s="34" t="s">
        <v>30</v>
      </c>
      <c r="F2048" s="6"/>
      <c r="G2048" s="6"/>
      <c r="H2048" s="6"/>
      <c r="I2048" s="6"/>
      <c r="J2048" s="6">
        <v>6</v>
      </c>
      <c r="K2048" s="6">
        <v>6</v>
      </c>
      <c r="L2048" s="6"/>
      <c r="M2048" s="6"/>
      <c r="N2048" s="6"/>
      <c r="O2048" s="6"/>
      <c r="P2048" s="6"/>
      <c r="Q2048" s="6">
        <v>6</v>
      </c>
      <c r="R2048" s="6"/>
      <c r="S2048" s="35">
        <f>SUM(F2048:R2048)</f>
        <v>18</v>
      </c>
      <c r="T2048" s="35">
        <f>COUNT(F2048:R2048)</f>
        <v>3</v>
      </c>
      <c r="U2048" s="36">
        <f>IF(T2048&gt;=2,ROUND((IF(T2048=2,0.55,IF(T2048&lt;=4,0.7,IF(T2048&lt;=6,0.8,IF(T2048&lt;=9,0.9,1))))*(S2048/T2048)+(1-(IF(T2048=2,0.55,IF(T2048&lt;=4,0.7,IF(T2048&lt;=6,0.8,IF(T2048&lt;=9,0.9,1))))))*$Y$1),1),"")</f>
        <v>6.6</v>
      </c>
      <c r="V2048" s="37">
        <v>6.4</v>
      </c>
      <c r="W2048" s="38"/>
    </row>
    <row r="2049" ht="24" customHeight="1" spans="1:23" x14ac:dyDescent="0.25">
      <c r="A2049" s="47">
        <v>735</v>
      </c>
      <c r="B2049" s="32" t="s">
        <v>2169</v>
      </c>
      <c r="C2049" s="48" t="s">
        <v>24</v>
      </c>
      <c r="D2049" s="49">
        <v>2015</v>
      </c>
      <c r="E2049" s="49" t="s">
        <v>27</v>
      </c>
      <c r="F2049" s="6">
        <v>7</v>
      </c>
      <c r="G2049" s="6"/>
      <c r="H2049" s="6">
        <v>7</v>
      </c>
      <c r="I2049" s="6">
        <v>7</v>
      </c>
      <c r="J2049" s="6"/>
      <c r="K2049" s="6">
        <v>8</v>
      </c>
      <c r="L2049" s="6">
        <v>8</v>
      </c>
      <c r="M2049" s="6">
        <v>8</v>
      </c>
      <c r="N2049" s="6">
        <v>8</v>
      </c>
      <c r="O2049" s="6">
        <v>8</v>
      </c>
      <c r="P2049" s="6">
        <v>6</v>
      </c>
      <c r="Q2049" s="6">
        <v>8</v>
      </c>
      <c r="R2049" s="6"/>
      <c r="S2049" s="35">
        <f>SUM(F2049:R2049)</f>
        <v>75</v>
      </c>
      <c r="T2049" s="35">
        <f>COUNT(F2049:R2049)</f>
        <v>10</v>
      </c>
      <c r="U2049" s="36">
        <f>IF(T2049&gt;=2,ROUND((IF(T2049=2,0.55,IF(T2049&lt;=4,0.7,IF(T2049&lt;=6,0.8,IF(T2049&lt;=9,0.9,1))))*(S2049/T2049)+(1-(IF(T2049=2,0.55,IF(T2049&lt;=4,0.7,IF(T2049&lt;=6,0.8,IF(T2049&lt;=9,0.9,1))))))*$Y$1),1),"")</f>
        <v>7.5</v>
      </c>
      <c r="V2049" s="37">
        <v>7.2</v>
      </c>
      <c r="W2049" s="38" t="s">
        <v>44</v>
      </c>
    </row>
    <row r="2050" ht="24" customHeight="1" spans="1:23" x14ac:dyDescent="0.25">
      <c r="A2050" s="31">
        <v>861</v>
      </c>
      <c r="B2050" s="32" t="s">
        <v>2170</v>
      </c>
      <c r="C2050" s="33" t="s">
        <v>24</v>
      </c>
      <c r="D2050" s="34">
        <v>2020</v>
      </c>
      <c r="E2050" s="34" t="s">
        <v>30</v>
      </c>
      <c r="F2050" s="6">
        <v>8</v>
      </c>
      <c r="G2050" s="6"/>
      <c r="H2050" s="6"/>
      <c r="I2050" s="6"/>
      <c r="J2050" s="6">
        <v>8</v>
      </c>
      <c r="K2050" s="6"/>
      <c r="L2050" s="6"/>
      <c r="M2050" s="6"/>
      <c r="N2050" s="6"/>
      <c r="O2050" s="6"/>
      <c r="P2050" s="6"/>
      <c r="Q2050" s="6"/>
      <c r="R2050" s="6"/>
      <c r="S2050" s="35">
        <f>SUM(F2050:R2050)</f>
        <v>16</v>
      </c>
      <c r="T2050" s="35">
        <f>COUNT(F2050:R2050)</f>
        <v>2</v>
      </c>
      <c r="U2050" s="36">
        <f>IF(T2050&gt;=2,ROUND((IF(T2050=2,0.55,IF(T2050&lt;=4,0.7,IF(T2050&lt;=6,0.8,IF(T2050&lt;=9,0.9,1))))*(S2050/T2050)+(1-(IF(T2050=2,0.55,IF(T2050&lt;=4,0.7,IF(T2050&lt;=6,0.8,IF(T2050&lt;=9,0.9,1))))))*$Y$1),1),"")</f>
        <v>8</v>
      </c>
      <c r="V2050" s="37">
        <v>7</v>
      </c>
      <c r="W2050" s="38"/>
    </row>
    <row r="2051" ht="24" customHeight="1" spans="1:23" x14ac:dyDescent="0.25">
      <c r="A2051" s="31">
        <v>1406</v>
      </c>
      <c r="B2051" s="32" t="s">
        <v>2171</v>
      </c>
      <c r="C2051" s="33" t="s">
        <v>29</v>
      </c>
      <c r="D2051" s="34">
        <v>2022</v>
      </c>
      <c r="E2051" s="34" t="s">
        <v>30</v>
      </c>
      <c r="F2051" s="6">
        <v>8</v>
      </c>
      <c r="G2051" s="6"/>
      <c r="H2051" s="6">
        <v>8</v>
      </c>
      <c r="I2051" s="6"/>
      <c r="J2051" s="6"/>
      <c r="K2051" s="6">
        <v>8</v>
      </c>
      <c r="L2051" s="6">
        <v>8</v>
      </c>
      <c r="M2051" s="6"/>
      <c r="N2051" s="6"/>
      <c r="O2051" s="6"/>
      <c r="P2051" s="6"/>
      <c r="Q2051" s="6">
        <v>8</v>
      </c>
      <c r="R2051" s="6"/>
      <c r="S2051" s="35">
        <f>SUM(F2051:R2051)</f>
        <v>40</v>
      </c>
      <c r="T2051" s="35">
        <f>COUNT(F2051:R2051)</f>
        <v>5</v>
      </c>
      <c r="U2051" s="36">
        <f>IF(T2051&gt;=2,ROUND((IF(T2051=2,0.55,IF(T2051&lt;=4,0.7,IF(T2051&lt;=6,0.8,IF(T2051&lt;=9,0.9,1))))*(S2051/T2051)+(1-(IF(T2051=2,0.55,IF(T2051&lt;=4,0.7,IF(T2051&lt;=6,0.8,IF(T2051&lt;=9,0.9,1))))))*$Y$1),1),"")</f>
        <v>8</v>
      </c>
      <c r="V2051" s="37">
        <v>7.8</v>
      </c>
      <c r="W2051" s="38"/>
    </row>
    <row r="2052" ht="24" customHeight="1" spans="1:23" x14ac:dyDescent="0.25">
      <c r="A2052" s="40">
        <v>2159</v>
      </c>
      <c r="B2052" s="32" t="s">
        <v>2172</v>
      </c>
      <c r="C2052" s="33" t="s">
        <v>24</v>
      </c>
      <c r="D2052" s="34">
        <v>2005</v>
      </c>
      <c r="E2052" s="41"/>
      <c r="F2052" s="6"/>
      <c r="G2052" s="6">
        <v>7</v>
      </c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35">
        <f>SUM(F2052:R2052)</f>
        <v>7</v>
      </c>
      <c r="T2052" s="35">
        <f>COUNT(F2052:R2052)</f>
        <v>1</v>
      </c>
      <c r="U2052" s="36">
        <f>IF(T2052&gt;=2,ROUND((IF(T2052=2,0.55,IF(T2052&lt;=4,0.7,IF(T2052&lt;=6,0.8,IF(T2052&lt;=9,0.9,1))))*(S2052/T2052)+(1-(IF(T2052=2,0.55,IF(T2052&lt;=4,0.7,IF(T2052&lt;=6,0.8,IF(T2052&lt;=9,0.9,1))))))*$Y$1),1),"")</f>
      </c>
      <c r="V2052" s="37">
        <v>6.8</v>
      </c>
      <c r="W2052" s="38"/>
    </row>
    <row r="2053" ht="24" customHeight="1" spans="1:23" x14ac:dyDescent="0.25">
      <c r="A2053" s="31">
        <v>1261</v>
      </c>
      <c r="B2053" s="32" t="s">
        <v>2173</v>
      </c>
      <c r="C2053" s="33" t="s">
        <v>29</v>
      </c>
      <c r="D2053" s="34">
        <v>2022</v>
      </c>
      <c r="E2053" s="34" t="s">
        <v>106</v>
      </c>
      <c r="F2053" s="6"/>
      <c r="G2053" s="6"/>
      <c r="H2053" s="6">
        <v>10</v>
      </c>
      <c r="I2053" s="6"/>
      <c r="J2053" s="6"/>
      <c r="K2053" s="6">
        <v>8</v>
      </c>
      <c r="L2053" s="6">
        <v>8</v>
      </c>
      <c r="M2053" s="6"/>
      <c r="N2053" s="6"/>
      <c r="O2053" s="6"/>
      <c r="P2053" s="6"/>
      <c r="Q2053" s="6">
        <v>8</v>
      </c>
      <c r="R2053" s="6"/>
      <c r="S2053" s="35">
        <f>SUM(F2053:R2053)</f>
        <v>34</v>
      </c>
      <c r="T2053" s="35">
        <f>COUNT(F2053:R2053)</f>
        <v>4</v>
      </c>
      <c r="U2053" s="36">
        <f>IF(T2053&gt;=2,ROUND((IF(T2053=2,0.55,IF(T2053&lt;=4,0.7,IF(T2053&lt;=6,0.8,IF(T2053&lt;=9,0.9,1))))*(S2053/T2053)+(1-(IF(T2053=2,0.55,IF(T2053&lt;=4,0.7,IF(T2053&lt;=6,0.8,IF(T2053&lt;=9,0.9,1))))))*$Y$1),1),"")</f>
        <v>8.4</v>
      </c>
      <c r="V2053" s="37">
        <v>8.1</v>
      </c>
      <c r="W2053" s="38"/>
    </row>
    <row r="2054" ht="24" customHeight="1" spans="1:23" x14ac:dyDescent="0.25">
      <c r="A2054" s="31">
        <v>1559</v>
      </c>
      <c r="B2054" s="32" t="s">
        <v>2174</v>
      </c>
      <c r="C2054" s="33" t="s">
        <v>24</v>
      </c>
      <c r="D2054" s="34">
        <v>2012</v>
      </c>
      <c r="E2054" s="34" t="s">
        <v>27</v>
      </c>
      <c r="F2054" s="6"/>
      <c r="G2054" s="6"/>
      <c r="H2054" s="6"/>
      <c r="I2054" s="6"/>
      <c r="J2054" s="6">
        <v>9</v>
      </c>
      <c r="K2054" s="6"/>
      <c r="L2054" s="6"/>
      <c r="M2054" s="6"/>
      <c r="N2054" s="6"/>
      <c r="O2054" s="6"/>
      <c r="P2054" s="6"/>
      <c r="Q2054" s="6"/>
      <c r="R2054" s="6"/>
      <c r="S2054" s="35">
        <f>SUM(F2054:R2054)</f>
        <v>9</v>
      </c>
      <c r="T2054" s="35">
        <f>COUNT(F2054:R2054)</f>
        <v>1</v>
      </c>
      <c r="U2054" s="36">
        <f>IF(T2054&gt;=2,ROUND((IF(T2054=2,0.55,IF(T2054&lt;=4,0.7,IF(T2054&lt;=6,0.8,IF(T2054&lt;=9,0.9,1))))*(S2054/T2054)+(1-(IF(T2054=2,0.55,IF(T2054&lt;=4,0.7,IF(T2054&lt;=6,0.8,IF(T2054&lt;=9,0.9,1))))))*$Y$1),1),"")</f>
      </c>
      <c r="V2054" s="37">
        <v>7.4</v>
      </c>
      <c r="W2054" s="38"/>
    </row>
    <row r="2055" ht="24" customHeight="1" spans="1:23" s="39" customFormat="1" x14ac:dyDescent="0.25">
      <c r="A2055" s="31">
        <v>329</v>
      </c>
      <c r="B2055" s="32" t="s">
        <v>2175</v>
      </c>
      <c r="C2055" s="33" t="s">
        <v>24</v>
      </c>
      <c r="D2055" s="34">
        <v>2015</v>
      </c>
      <c r="E2055" s="34" t="s">
        <v>30</v>
      </c>
      <c r="F2055" s="6">
        <v>8</v>
      </c>
      <c r="G2055" s="6"/>
      <c r="H2055" s="6"/>
      <c r="I2055" s="6">
        <v>8</v>
      </c>
      <c r="J2055" s="6">
        <v>8</v>
      </c>
      <c r="K2055" s="6">
        <v>10</v>
      </c>
      <c r="L2055" s="6">
        <v>8</v>
      </c>
      <c r="M2055" s="6">
        <v>8</v>
      </c>
      <c r="N2055" s="6">
        <v>8</v>
      </c>
      <c r="O2055" s="6">
        <v>8</v>
      </c>
      <c r="P2055" s="6"/>
      <c r="Q2055" s="6">
        <v>10</v>
      </c>
      <c r="R2055" s="6"/>
      <c r="S2055" s="35">
        <f>SUM(F2055:R2055)</f>
        <v>76</v>
      </c>
      <c r="T2055" s="35">
        <f>COUNT(F2055:R2055)</f>
        <v>9</v>
      </c>
      <c r="U2055" s="36">
        <f>IF(T2055&gt;=2,ROUND((IF(T2055=2,0.55,IF(T2055&lt;=4,0.7,IF(T2055&lt;=6,0.8,IF(T2055&lt;=9,0.9,1))))*(S2055/T2055)+(1-(IF(T2055=2,0.55,IF(T2055&lt;=4,0.7,IF(T2055&lt;=6,0.8,IF(T2055&lt;=9,0.9,1))))))*$Y$1),1),"")</f>
        <v>8.4</v>
      </c>
      <c r="V2055" s="37">
        <v>6.3</v>
      </c>
      <c r="W2055" s="38"/>
    </row>
    <row r="2056" ht="24" customHeight="1" spans="1:23" x14ac:dyDescent="0.25">
      <c r="A2056" s="31">
        <v>291</v>
      </c>
      <c r="B2056" s="32" t="s">
        <v>2176</v>
      </c>
      <c r="C2056" s="33" t="s">
        <v>24</v>
      </c>
      <c r="D2056" s="34">
        <v>1985</v>
      </c>
      <c r="E2056" s="34" t="s">
        <v>30</v>
      </c>
      <c r="F2056" s="6">
        <v>8</v>
      </c>
      <c r="G2056" s="6">
        <v>8</v>
      </c>
      <c r="H2056" s="6">
        <v>8</v>
      </c>
      <c r="I2056" s="6">
        <v>8</v>
      </c>
      <c r="J2056" s="6">
        <v>8</v>
      </c>
      <c r="K2056" s="6">
        <v>10</v>
      </c>
      <c r="L2056" s="6">
        <v>8</v>
      </c>
      <c r="M2056" s="6"/>
      <c r="N2056" s="6"/>
      <c r="O2056" s="6"/>
      <c r="P2056" s="6">
        <v>8</v>
      </c>
      <c r="Q2056" s="6">
        <v>10</v>
      </c>
      <c r="R2056" s="6">
        <v>8</v>
      </c>
      <c r="S2056" s="35">
        <f>SUM(F2056:R2056)</f>
        <v>84</v>
      </c>
      <c r="T2056" s="35">
        <f>COUNT(F2056:R2056)</f>
        <v>10</v>
      </c>
      <c r="U2056" s="36">
        <f>IF(T2056&gt;=2,ROUND((IF(T2056=2,0.55,IF(T2056&lt;=4,0.7,IF(T2056&lt;=6,0.8,IF(T2056&lt;=9,0.9,1))))*(S2056/T2056)+(1-(IF(T2056=2,0.55,IF(T2056&lt;=4,0.7,IF(T2056&lt;=6,0.8,IF(T2056&lt;=9,0.9,1))))))*$Y$1),1),"")</f>
        <v>8.4</v>
      </c>
      <c r="V2056" s="37">
        <v>7.7</v>
      </c>
      <c r="W2056" s="38"/>
    </row>
    <row r="2057" ht="24" customHeight="1" spans="1:23" x14ac:dyDescent="0.25">
      <c r="A2057" s="31">
        <v>2480</v>
      </c>
      <c r="B2057" s="32" t="s">
        <v>2177</v>
      </c>
      <c r="C2057" s="33" t="s">
        <v>24</v>
      </c>
      <c r="D2057" s="34">
        <v>2025</v>
      </c>
      <c r="E2057" s="41"/>
      <c r="F2057" s="6">
        <v>8</v>
      </c>
      <c r="G2057" s="6"/>
      <c r="H2057" s="6"/>
      <c r="I2057" s="6">
        <v>8</v>
      </c>
      <c r="J2057" s="6"/>
      <c r="K2057" s="6"/>
      <c r="L2057" s="6">
        <v>8</v>
      </c>
      <c r="M2057" s="6"/>
      <c r="N2057" s="6"/>
      <c r="O2057" s="6"/>
      <c r="P2057" s="6"/>
      <c r="Q2057" s="6"/>
      <c r="R2057" s="6"/>
      <c r="S2057" s="35">
        <f>SUM(F2057:R2057)</f>
        <v>24</v>
      </c>
      <c r="T2057" s="35">
        <f>COUNT(F2057:R2057)</f>
        <v>3</v>
      </c>
      <c r="U2057" s="36">
        <f>IF(T2057&gt;=2,ROUND((IF(T2057=2,0.55,IF(T2057&lt;=4,0.7,IF(T2057&lt;=6,0.8,IF(T2057&lt;=9,0.9,1))))*(S2057/T2057)+(1-(IF(T2057=2,0.55,IF(T2057&lt;=4,0.7,IF(T2057&lt;=6,0.8,IF(T2057&lt;=9,0.9,1))))))*$Y$1),1),"")</f>
        <v>8</v>
      </c>
      <c r="V2057" s="37">
        <v>6.9</v>
      </c>
      <c r="W2057" s="38"/>
    </row>
    <row r="2058" ht="24" customHeight="1" spans="1:23" x14ac:dyDescent="0.25">
      <c r="A2058" s="31">
        <v>628</v>
      </c>
      <c r="B2058" s="32" t="s">
        <v>2178</v>
      </c>
      <c r="C2058" s="33" t="s">
        <v>24</v>
      </c>
      <c r="D2058" s="34">
        <v>2016</v>
      </c>
      <c r="E2058" s="34" t="s">
        <v>27</v>
      </c>
      <c r="F2058" s="6"/>
      <c r="G2058" s="6"/>
      <c r="H2058" s="6"/>
      <c r="I2058" s="6"/>
      <c r="J2058" s="6"/>
      <c r="K2058" s="6">
        <v>6</v>
      </c>
      <c r="L2058" s="6"/>
      <c r="M2058" s="6"/>
      <c r="N2058" s="6"/>
      <c r="O2058" s="6"/>
      <c r="P2058" s="6"/>
      <c r="Q2058" s="6">
        <v>6</v>
      </c>
      <c r="R2058" s="6"/>
      <c r="S2058" s="35">
        <f>SUM(F2058:R2058)</f>
        <v>12</v>
      </c>
      <c r="T2058" s="35">
        <f>COUNT(F2058:R2058)</f>
        <v>2</v>
      </c>
      <c r="U2058" s="36">
        <f>IF(T2058&gt;=2,ROUND((IF(T2058=2,0.55,IF(T2058&lt;=4,0.7,IF(T2058&lt;=6,0.8,IF(T2058&lt;=9,0.9,1))))*(S2058/T2058)+(1-(IF(T2058=2,0.55,IF(T2058&lt;=4,0.7,IF(T2058&lt;=6,0.8,IF(T2058&lt;=9,0.9,1))))))*$Y$1),1),"")</f>
        <v>6.9</v>
      </c>
      <c r="V2058" s="37">
        <v>6.3</v>
      </c>
      <c r="W2058" s="38"/>
    </row>
    <row r="2059" ht="24" customHeight="1" spans="1:23" x14ac:dyDescent="0.25">
      <c r="A2059" s="40">
        <v>2083</v>
      </c>
      <c r="B2059" s="32" t="s">
        <v>2179</v>
      </c>
      <c r="C2059" s="33" t="s">
        <v>24</v>
      </c>
      <c r="D2059" s="34">
        <v>1984</v>
      </c>
      <c r="E2059" s="41"/>
      <c r="F2059" s="6"/>
      <c r="G2059" s="6">
        <v>6</v>
      </c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35">
        <f>SUM(F2059:R2059)</f>
        <v>6</v>
      </c>
      <c r="T2059" s="35">
        <f>COUNT(F2059:R2059)</f>
        <v>1</v>
      </c>
      <c r="U2059" s="36">
        <f>IF(T2059&gt;=2,ROUND((IF(T2059=2,0.55,IF(T2059&lt;=4,0.7,IF(T2059&lt;=6,0.8,IF(T2059&lt;=9,0.9,1))))*(S2059/T2059)+(1-(IF(T2059=2,0.55,IF(T2059&lt;=4,0.7,IF(T2059&lt;=6,0.8,IF(T2059&lt;=9,0.9,1))))))*$Y$1),1),"")</f>
      </c>
      <c r="V2059" s="37">
        <v>7.2</v>
      </c>
      <c r="W2059" s="38"/>
    </row>
    <row r="2060" ht="24" customHeight="1" spans="1:23" x14ac:dyDescent="0.25">
      <c r="A2060" s="31">
        <v>1868</v>
      </c>
      <c r="B2060" s="32" t="s">
        <v>2180</v>
      </c>
      <c r="C2060" s="33" t="s">
        <v>24</v>
      </c>
      <c r="D2060" s="34">
        <v>2006</v>
      </c>
      <c r="E2060" s="34" t="s">
        <v>25</v>
      </c>
      <c r="F2060" s="6"/>
      <c r="G2060" s="6"/>
      <c r="H2060" s="6"/>
      <c r="I2060" s="6"/>
      <c r="J2060" s="6"/>
      <c r="K2060" s="6">
        <v>7</v>
      </c>
      <c r="L2060" s="6"/>
      <c r="M2060" s="6"/>
      <c r="N2060" s="6"/>
      <c r="O2060" s="6"/>
      <c r="P2060" s="6"/>
      <c r="Q2060" s="6">
        <v>7</v>
      </c>
      <c r="R2060" s="6"/>
      <c r="S2060" s="35">
        <f>SUM(F2060:R2060)</f>
        <v>14</v>
      </c>
      <c r="T2060" s="35">
        <f>COUNT(F2060:R2060)</f>
        <v>2</v>
      </c>
      <c r="U2060" s="36">
        <f>IF(T2060&gt;=2,ROUND((IF(T2060=2,0.55,IF(T2060&lt;=4,0.7,IF(T2060&lt;=6,0.8,IF(T2060&lt;=9,0.9,1))))*(S2060/T2060)+(1-(IF(T2060=2,0.55,IF(T2060&lt;=4,0.7,IF(T2060&lt;=6,0.8,IF(T2060&lt;=9,0.9,1))))))*$Y$1),1),"")</f>
        <v>7.5</v>
      </c>
      <c r="V2060" s="37">
        <v>7.6</v>
      </c>
      <c r="W2060" s="38"/>
    </row>
    <row r="2061" ht="24" customHeight="1" spans="1:23" x14ac:dyDescent="0.25">
      <c r="A2061" s="31">
        <v>322</v>
      </c>
      <c r="B2061" s="32" t="s">
        <v>2181</v>
      </c>
      <c r="C2061" s="33" t="s">
        <v>24</v>
      </c>
      <c r="D2061" s="34">
        <v>2010</v>
      </c>
      <c r="E2061" s="34" t="s">
        <v>1693</v>
      </c>
      <c r="F2061" s="6"/>
      <c r="G2061" s="6"/>
      <c r="H2061" s="6">
        <v>8</v>
      </c>
      <c r="I2061" s="6"/>
      <c r="J2061" s="6">
        <v>8</v>
      </c>
      <c r="K2061" s="6">
        <v>10</v>
      </c>
      <c r="L2061" s="6">
        <v>10</v>
      </c>
      <c r="M2061" s="6"/>
      <c r="N2061" s="6"/>
      <c r="O2061" s="6"/>
      <c r="P2061" s="6"/>
      <c r="Q2061" s="6">
        <v>10</v>
      </c>
      <c r="R2061" s="6"/>
      <c r="S2061" s="35">
        <f>SUM(F2061:R2061)</f>
        <v>46</v>
      </c>
      <c r="T2061" s="35">
        <f>COUNT(F2061:R2061)</f>
        <v>5</v>
      </c>
      <c r="U2061" s="36">
        <f>IF(T2061&gt;=2,ROUND((IF(T2061=2,0.55,IF(T2061&lt;=4,0.7,IF(T2061&lt;=6,0.8,IF(T2061&lt;=9,0.9,1))))*(S2061/T2061)+(1-(IF(T2061=2,0.55,IF(T2061&lt;=4,0.7,IF(T2061&lt;=6,0.8,IF(T2061&lt;=9,0.9,1))))))*$Y$1),1),"")</f>
        <v>9</v>
      </c>
      <c r="V2061" s="37">
        <v>6.8</v>
      </c>
      <c r="W2061" s="38"/>
    </row>
    <row r="2062" ht="24" customHeight="1" spans="1:23" s="39" customFormat="1" x14ac:dyDescent="0.25">
      <c r="A2062" s="31">
        <v>1294</v>
      </c>
      <c r="B2062" s="32" t="s">
        <v>2182</v>
      </c>
      <c r="C2062" s="33" t="s">
        <v>24</v>
      </c>
      <c r="D2062" s="34">
        <v>2020</v>
      </c>
      <c r="E2062" s="34" t="s">
        <v>30</v>
      </c>
      <c r="F2062" s="6"/>
      <c r="G2062" s="6"/>
      <c r="H2062" s="6"/>
      <c r="I2062" s="6"/>
      <c r="J2062" s="6"/>
      <c r="K2062" s="6"/>
      <c r="L2062" s="6"/>
      <c r="M2062" s="6"/>
      <c r="N2062" s="6"/>
      <c r="O2062" s="6">
        <v>8</v>
      </c>
      <c r="P2062" s="6"/>
      <c r="Q2062" s="6"/>
      <c r="R2062" s="6"/>
      <c r="S2062" s="35">
        <f>SUM(F2062:R2062)</f>
        <v>8</v>
      </c>
      <c r="T2062" s="35">
        <f>COUNT(F2062:R2062)</f>
        <v>1</v>
      </c>
      <c r="U2062" s="36">
        <f>IF(T2062&gt;=2,ROUND((IF(T2062=2,0.55,IF(T2062&lt;=4,0.7,IF(T2062&lt;=6,0.8,IF(T2062&lt;=9,0.9,1))))*(S2062/T2062)+(1-(IF(T2062=2,0.55,IF(T2062&lt;=4,0.7,IF(T2062&lt;=6,0.8,IF(T2062&lt;=9,0.9,1))))))*$Y$1),1),"")</f>
      </c>
      <c r="V2062" s="37">
        <v>6.4</v>
      </c>
      <c r="W2062" s="38"/>
    </row>
    <row r="2063" ht="24" customHeight="1" spans="1:23" x14ac:dyDescent="0.25">
      <c r="A2063" s="31">
        <v>1860</v>
      </c>
      <c r="B2063" s="32" t="s">
        <v>2183</v>
      </c>
      <c r="C2063" s="33" t="s">
        <v>24</v>
      </c>
      <c r="D2063" s="34">
        <v>2017</v>
      </c>
      <c r="E2063" s="34" t="s">
        <v>25</v>
      </c>
      <c r="F2063" s="6"/>
      <c r="G2063" s="6">
        <v>8</v>
      </c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35">
        <f>SUM(F2063:R2063)</f>
        <v>8</v>
      </c>
      <c r="T2063" s="35">
        <f>COUNT(F2063:R2063)</f>
        <v>1</v>
      </c>
      <c r="U2063" s="36">
        <f>IF(T2063&gt;=2,ROUND((IF(T2063=2,0.55,IF(T2063&lt;=4,0.7,IF(T2063&lt;=6,0.8,IF(T2063&lt;=9,0.9,1))))*(S2063/T2063)+(1-(IF(T2063=2,0.55,IF(T2063&lt;=4,0.7,IF(T2063&lt;=6,0.8,IF(T2063&lt;=9,0.9,1))))))*$Y$1),1),"")</f>
      </c>
      <c r="V2063" s="37">
        <v>7.4</v>
      </c>
      <c r="W2063" s="38"/>
    </row>
    <row r="2064" ht="24" customHeight="1" spans="1:23" x14ac:dyDescent="0.25">
      <c r="A2064" s="31">
        <v>451</v>
      </c>
      <c r="B2064" s="32" t="s">
        <v>2184</v>
      </c>
      <c r="C2064" s="33" t="s">
        <v>24</v>
      </c>
      <c r="D2064" s="34">
        <v>2006</v>
      </c>
      <c r="E2064" s="34" t="s">
        <v>92</v>
      </c>
      <c r="F2064" s="6"/>
      <c r="G2064" s="6">
        <v>8</v>
      </c>
      <c r="H2064" s="6"/>
      <c r="I2064" s="6"/>
      <c r="J2064" s="6"/>
      <c r="K2064" s="6"/>
      <c r="L2064" s="6">
        <v>8</v>
      </c>
      <c r="M2064" s="6"/>
      <c r="N2064" s="6"/>
      <c r="O2064" s="6"/>
      <c r="P2064" s="6">
        <v>8</v>
      </c>
      <c r="Q2064" s="6"/>
      <c r="R2064" s="6"/>
      <c r="S2064" s="35">
        <f>SUM(F2064:R2064)</f>
        <v>24</v>
      </c>
      <c r="T2064" s="35">
        <f>COUNT(F2064:R2064)</f>
        <v>3</v>
      </c>
      <c r="U2064" s="36">
        <f>IF(T2064&gt;=2,ROUND((IF(T2064=2,0.55,IF(T2064&lt;=4,0.7,IF(T2064&lt;=6,0.8,IF(T2064&lt;=9,0.9,1))))*(S2064/T2064)+(1-(IF(T2064=2,0.55,IF(T2064&lt;=4,0.7,IF(T2064&lt;=6,0.8,IF(T2064&lt;=9,0.9,1))))))*$Y$1),1),"")</f>
        <v>8</v>
      </c>
      <c r="V2064" s="37">
        <v>6.1</v>
      </c>
      <c r="W2064" s="38"/>
    </row>
    <row r="2065" ht="24" customHeight="1" spans="1:23" x14ac:dyDescent="0.25">
      <c r="A2065" s="31">
        <v>1715</v>
      </c>
      <c r="B2065" s="32" t="s">
        <v>2185</v>
      </c>
      <c r="C2065" s="33" t="s">
        <v>260</v>
      </c>
      <c r="D2065" s="34">
        <v>2024</v>
      </c>
      <c r="E2065" s="34" t="s">
        <v>30</v>
      </c>
      <c r="F2065" s="6">
        <v>8</v>
      </c>
      <c r="G2065" s="6"/>
      <c r="H2065" s="6">
        <v>8</v>
      </c>
      <c r="I2065" s="6"/>
      <c r="J2065" s="6"/>
      <c r="K2065" s="6"/>
      <c r="L2065" s="6"/>
      <c r="M2065" s="6">
        <v>8</v>
      </c>
      <c r="N2065" s="6">
        <v>8</v>
      </c>
      <c r="O2065" s="6">
        <v>8</v>
      </c>
      <c r="P2065" s="6"/>
      <c r="Q2065" s="6"/>
      <c r="R2065" s="6"/>
      <c r="S2065" s="35">
        <f>SUM(F2065:R2065)</f>
        <v>40</v>
      </c>
      <c r="T2065" s="35">
        <f>COUNT(F2065:R2065)</f>
        <v>5</v>
      </c>
      <c r="U2065" s="36">
        <f>IF(T2065&gt;=2,ROUND((IF(T2065=2,0.55,IF(T2065&lt;=4,0.7,IF(T2065&lt;=6,0.8,IF(T2065&lt;=9,0.9,1))))*(S2065/T2065)+(1-(IF(T2065=2,0.55,IF(T2065&lt;=4,0.7,IF(T2065&lt;=6,0.8,IF(T2065&lt;=9,0.9,1))))))*$Y$1),1),"")</f>
        <v>8</v>
      </c>
      <c r="V2065" s="37">
        <v>6.8</v>
      </c>
      <c r="W2065" s="38"/>
    </row>
    <row r="2066" ht="24" customHeight="1" spans="1:23" x14ac:dyDescent="0.25">
      <c r="A2066" s="31">
        <v>1814</v>
      </c>
      <c r="B2066" s="32" t="s">
        <v>2186</v>
      </c>
      <c r="C2066" s="33" t="s">
        <v>24</v>
      </c>
      <c r="D2066" s="34">
        <v>2023</v>
      </c>
      <c r="E2066" s="34" t="s">
        <v>1114</v>
      </c>
      <c r="F2066" s="6">
        <v>8</v>
      </c>
      <c r="G2066" s="6"/>
      <c r="H2066" s="6"/>
      <c r="I2066" s="6"/>
      <c r="J2066" s="6"/>
      <c r="K2066" s="6"/>
      <c r="L2066" s="6"/>
      <c r="M2066" s="6"/>
      <c r="N2066" s="6"/>
      <c r="O2066" s="6">
        <v>9</v>
      </c>
      <c r="P2066" s="6"/>
      <c r="Q2066" s="6"/>
      <c r="R2066" s="6"/>
      <c r="S2066" s="35">
        <f>SUM(F2066:R2066)</f>
        <v>17</v>
      </c>
      <c r="T2066" s="35">
        <f>COUNT(F2066:R2066)</f>
        <v>2</v>
      </c>
      <c r="U2066" s="36">
        <f>IF(T2066&gt;=2,ROUND((IF(T2066=2,0.55,IF(T2066&lt;=4,0.7,IF(T2066&lt;=6,0.8,IF(T2066&lt;=9,0.9,1))))*(S2066/T2066)+(1-(IF(T2066=2,0.55,IF(T2066&lt;=4,0.7,IF(T2066&lt;=6,0.8,IF(T2066&lt;=9,0.9,1))))))*$Y$1),1),"")</f>
        <v>8.3</v>
      </c>
      <c r="V2066" s="37">
        <v>7</v>
      </c>
      <c r="W2066" s="38"/>
    </row>
    <row r="2067" ht="24" customHeight="1" spans="1:23" x14ac:dyDescent="0.25">
      <c r="A2067" s="31">
        <v>1969</v>
      </c>
      <c r="B2067" s="32" t="s">
        <v>2187</v>
      </c>
      <c r="C2067" s="33" t="s">
        <v>29</v>
      </c>
      <c r="D2067" s="34">
        <v>2025</v>
      </c>
      <c r="E2067" s="34" t="s">
        <v>30</v>
      </c>
      <c r="F2067" s="6">
        <v>7</v>
      </c>
      <c r="G2067" s="6"/>
      <c r="H2067" s="6">
        <v>8</v>
      </c>
      <c r="I2067" s="6"/>
      <c r="J2067" s="6"/>
      <c r="K2067" s="6">
        <v>8</v>
      </c>
      <c r="L2067" s="6">
        <v>7</v>
      </c>
      <c r="M2067" s="6"/>
      <c r="N2067" s="6">
        <v>7</v>
      </c>
      <c r="O2067" s="6">
        <v>8</v>
      </c>
      <c r="P2067" s="6"/>
      <c r="Q2067" s="6">
        <v>8</v>
      </c>
      <c r="R2067" s="6"/>
      <c r="S2067" s="35">
        <f>SUM(F2067:R2067)</f>
        <v>53</v>
      </c>
      <c r="T2067" s="35">
        <f>COUNT(F2067:R2067)</f>
        <v>7</v>
      </c>
      <c r="U2067" s="36">
        <f>IF(T2067&gt;=2,ROUND((IF(T2067=2,0.55,IF(T2067&lt;=4,0.7,IF(T2067&lt;=6,0.8,IF(T2067&lt;=9,0.9,1))))*(S2067/T2067)+(1-(IF(T2067=2,0.55,IF(T2067&lt;=4,0.7,IF(T2067&lt;=6,0.8,IF(T2067&lt;=9,0.9,1))))))*$Y$1),1),"")</f>
        <v>7.6</v>
      </c>
      <c r="V2067" s="37">
        <v>7.1</v>
      </c>
      <c r="W2067" s="38"/>
    </row>
    <row r="2068" ht="24" customHeight="1" spans="1:23" x14ac:dyDescent="0.25">
      <c r="A2068" s="31">
        <v>1413</v>
      </c>
      <c r="B2068" s="32" t="s">
        <v>2188</v>
      </c>
      <c r="C2068" s="33" t="s">
        <v>24</v>
      </c>
      <c r="D2068" s="34">
        <v>2013</v>
      </c>
      <c r="E2068" s="34" t="s">
        <v>48</v>
      </c>
      <c r="F2068" s="6"/>
      <c r="G2068" s="6">
        <v>8</v>
      </c>
      <c r="H2068" s="6"/>
      <c r="I2068" s="6"/>
      <c r="J2068" s="6"/>
      <c r="K2068" s="6"/>
      <c r="L2068" s="6"/>
      <c r="M2068" s="6"/>
      <c r="N2068" s="6"/>
      <c r="O2068" s="6"/>
      <c r="P2068" s="6">
        <v>7</v>
      </c>
      <c r="Q2068" s="6"/>
      <c r="R2068" s="6"/>
      <c r="S2068" s="35">
        <f>SUM(F2068:R2068)</f>
        <v>15</v>
      </c>
      <c r="T2068" s="35">
        <f>COUNT(F2068:R2068)</f>
        <v>2</v>
      </c>
      <c r="U2068" s="36">
        <f>IF(T2068&gt;=2,ROUND((IF(T2068=2,0.55,IF(T2068&lt;=4,0.7,IF(T2068&lt;=6,0.8,IF(T2068&lt;=9,0.9,1))))*(S2068/T2068)+(1-(IF(T2068=2,0.55,IF(T2068&lt;=4,0.7,IF(T2068&lt;=6,0.8,IF(T2068&lt;=9,0.9,1))))))*$Y$1),1),"")</f>
        <v>7.8</v>
      </c>
      <c r="V2068" s="37">
        <v>7.7</v>
      </c>
      <c r="W2068" s="38"/>
    </row>
    <row r="2069" ht="24" customHeight="1" spans="1:23" x14ac:dyDescent="0.25">
      <c r="A2069" s="31">
        <v>450</v>
      </c>
      <c r="B2069" s="32" t="s">
        <v>2189</v>
      </c>
      <c r="C2069" s="33" t="s">
        <v>24</v>
      </c>
      <c r="D2069" s="34">
        <v>2015</v>
      </c>
      <c r="E2069" s="34" t="s">
        <v>30</v>
      </c>
      <c r="F2069" s="6"/>
      <c r="G2069" s="6">
        <v>8</v>
      </c>
      <c r="H2069" s="6"/>
      <c r="I2069" s="6"/>
      <c r="J2069" s="6"/>
      <c r="K2069" s="6">
        <v>8</v>
      </c>
      <c r="L2069" s="6">
        <v>8</v>
      </c>
      <c r="M2069" s="6"/>
      <c r="N2069" s="6"/>
      <c r="O2069" s="6"/>
      <c r="P2069" s="6">
        <v>8</v>
      </c>
      <c r="Q2069" s="6">
        <v>8</v>
      </c>
      <c r="R2069" s="6"/>
      <c r="S2069" s="35">
        <f>SUM(F2069:R2069)</f>
        <v>40</v>
      </c>
      <c r="T2069" s="35">
        <f>COUNT(F2069:R2069)</f>
        <v>5</v>
      </c>
      <c r="U2069" s="36">
        <f>IF(T2069&gt;=2,ROUND((IF(T2069=2,0.55,IF(T2069&lt;=4,0.7,IF(T2069&lt;=6,0.8,IF(T2069&lt;=9,0.9,1))))*(S2069/T2069)+(1-(IF(T2069=2,0.55,IF(T2069&lt;=4,0.7,IF(T2069&lt;=6,0.8,IF(T2069&lt;=9,0.9,1))))))*$Y$1),1),"")</f>
        <v>8</v>
      </c>
      <c r="V2069" s="37">
        <v>7.8</v>
      </c>
      <c r="W2069" s="38"/>
    </row>
    <row r="2070" ht="24" customHeight="1" spans="1:23" x14ac:dyDescent="0.25">
      <c r="A2070" s="31">
        <v>1385</v>
      </c>
      <c r="B2070" s="32" t="s">
        <v>2190</v>
      </c>
      <c r="C2070" s="33" t="s">
        <v>24</v>
      </c>
      <c r="D2070" s="34">
        <v>2022</v>
      </c>
      <c r="E2070" s="34" t="s">
        <v>30</v>
      </c>
      <c r="F2070" s="6"/>
      <c r="G2070" s="6"/>
      <c r="H2070" s="6"/>
      <c r="I2070" s="6"/>
      <c r="J2070" s="6"/>
      <c r="K2070" s="6"/>
      <c r="L2070" s="6"/>
      <c r="M2070" s="6"/>
      <c r="N2070" s="6"/>
      <c r="O2070" s="6">
        <v>7</v>
      </c>
      <c r="P2070" s="6"/>
      <c r="Q2070" s="6"/>
      <c r="R2070" s="6"/>
      <c r="S2070" s="35">
        <f>SUM(F2070:R2070)</f>
        <v>7</v>
      </c>
      <c r="T2070" s="35">
        <f>COUNT(F2070:R2070)</f>
        <v>1</v>
      </c>
      <c r="U2070" s="36">
        <f>IF(T2070&gt;=2,ROUND((IF(T2070=2,0.55,IF(T2070&lt;=4,0.7,IF(T2070&lt;=6,0.8,IF(T2070&lt;=9,0.9,1))))*(S2070/T2070)+(1-(IF(T2070=2,0.55,IF(T2070&lt;=4,0.7,IF(T2070&lt;=6,0.8,IF(T2070&lt;=9,0.9,1))))))*$Y$1),1),"")</f>
      </c>
      <c r="V2070" s="37">
        <v>4.8</v>
      </c>
      <c r="W2070" s="38"/>
    </row>
    <row r="2071" ht="24" customHeight="1" spans="1:23" x14ac:dyDescent="0.25">
      <c r="A2071" s="31">
        <v>240</v>
      </c>
      <c r="B2071" s="32" t="s">
        <v>2191</v>
      </c>
      <c r="C2071" s="33" t="s">
        <v>114</v>
      </c>
      <c r="D2071" s="34">
        <v>2016</v>
      </c>
      <c r="E2071" s="34" t="s">
        <v>92</v>
      </c>
      <c r="F2071" s="6">
        <v>6</v>
      </c>
      <c r="G2071" s="6"/>
      <c r="H2071" s="6"/>
      <c r="I2071" s="6"/>
      <c r="J2071" s="6">
        <v>6</v>
      </c>
      <c r="K2071" s="6">
        <v>8</v>
      </c>
      <c r="L2071" s="6">
        <v>8</v>
      </c>
      <c r="M2071" s="6"/>
      <c r="N2071" s="6"/>
      <c r="O2071" s="6">
        <v>6</v>
      </c>
      <c r="P2071" s="6"/>
      <c r="Q2071" s="6">
        <v>8</v>
      </c>
      <c r="R2071" s="6"/>
      <c r="S2071" s="35">
        <f>SUM(F2071:R2071)</f>
        <v>42</v>
      </c>
      <c r="T2071" s="35">
        <f>COUNT(F2071:R2071)</f>
        <v>6</v>
      </c>
      <c r="U2071" s="36">
        <f>IF(T2071&gt;=2,ROUND((IF(T2071=2,0.55,IF(T2071&lt;=4,0.7,IF(T2071&lt;=6,0.8,IF(T2071&lt;=9,0.9,1))))*(S2071/T2071)+(1-(IF(T2071=2,0.55,IF(T2071&lt;=4,0.7,IF(T2071&lt;=6,0.8,IF(T2071&lt;=9,0.9,1))))))*$Y$1),1),"")</f>
        <v>7.2</v>
      </c>
      <c r="V2071" s="37">
        <v>6.5</v>
      </c>
      <c r="W2071" s="38"/>
    </row>
    <row r="2072" ht="24" customHeight="1" spans="1:23" x14ac:dyDescent="0.25">
      <c r="A2072" s="31">
        <v>1745</v>
      </c>
      <c r="B2072" s="32" t="s">
        <v>2192</v>
      </c>
      <c r="C2072" s="33" t="s">
        <v>260</v>
      </c>
      <c r="D2072" s="34">
        <v>2023</v>
      </c>
      <c r="E2072" s="34" t="s">
        <v>30</v>
      </c>
      <c r="F2072" s="6">
        <v>7</v>
      </c>
      <c r="G2072" s="6"/>
      <c r="H2072" s="6">
        <v>8</v>
      </c>
      <c r="I2072" s="6"/>
      <c r="J2072" s="6"/>
      <c r="K2072" s="6"/>
      <c r="L2072" s="6">
        <v>7</v>
      </c>
      <c r="M2072" s="6"/>
      <c r="N2072" s="6"/>
      <c r="O2072" s="6">
        <v>8</v>
      </c>
      <c r="P2072" s="6"/>
      <c r="Q2072" s="6"/>
      <c r="R2072" s="6"/>
      <c r="S2072" s="35">
        <f>SUM(F2072:R2072)</f>
        <v>30</v>
      </c>
      <c r="T2072" s="35">
        <f>COUNT(F2072:R2072)</f>
        <v>4</v>
      </c>
      <c r="U2072" s="36">
        <f>IF(T2072&gt;=2,ROUND((IF(T2072=2,0.55,IF(T2072&lt;=4,0.7,IF(T2072&lt;=6,0.8,IF(T2072&lt;=9,0.9,1))))*(S2072/T2072)+(1-(IF(T2072=2,0.55,IF(T2072&lt;=4,0.7,IF(T2072&lt;=6,0.8,IF(T2072&lt;=9,0.9,1))))))*$Y$1),1),"")</f>
        <v>7.7</v>
      </c>
      <c r="V2072" s="37">
        <v>6.8</v>
      </c>
      <c r="W2072" s="38"/>
    </row>
    <row r="2073" ht="24" customHeight="1" spans="1:23" x14ac:dyDescent="0.25">
      <c r="A2073" s="31">
        <v>1967</v>
      </c>
      <c r="B2073" s="32" t="s">
        <v>2193</v>
      </c>
      <c r="C2073" s="33" t="s">
        <v>114</v>
      </c>
      <c r="D2073" s="34">
        <v>2024</v>
      </c>
      <c r="E2073" s="34" t="s">
        <v>30</v>
      </c>
      <c r="F2073" s="6">
        <v>7</v>
      </c>
      <c r="G2073" s="6"/>
      <c r="H2073" s="6"/>
      <c r="I2073" s="6"/>
      <c r="J2073" s="6"/>
      <c r="K2073" s="6"/>
      <c r="L2073" s="6"/>
      <c r="M2073" s="6">
        <v>7</v>
      </c>
      <c r="N2073" s="6"/>
      <c r="O2073" s="6">
        <v>7</v>
      </c>
      <c r="P2073" s="6"/>
      <c r="Q2073" s="6"/>
      <c r="R2073" s="6"/>
      <c r="S2073" s="35">
        <f>SUM(F2073:R2073)</f>
        <v>21</v>
      </c>
      <c r="T2073" s="35">
        <f>COUNT(F2073:R2073)</f>
        <v>3</v>
      </c>
      <c r="U2073" s="36">
        <f>IF(T2073&gt;=2,ROUND((IF(T2073=2,0.55,IF(T2073&lt;=4,0.7,IF(T2073&lt;=6,0.8,IF(T2073&lt;=9,0.9,1))))*(S2073/T2073)+(1-(IF(T2073=2,0.55,IF(T2073&lt;=4,0.7,IF(T2073&lt;=6,0.8,IF(T2073&lt;=9,0.9,1))))))*$Y$1),1),"")</f>
        <v>7.3</v>
      </c>
      <c r="V2073" s="37">
        <v>5.5</v>
      </c>
      <c r="W2073" s="38"/>
    </row>
    <row r="2074" ht="24" customHeight="1" spans="1:23" x14ac:dyDescent="0.25">
      <c r="A2074" s="31">
        <v>2027</v>
      </c>
      <c r="B2074" s="32" t="s">
        <v>2194</v>
      </c>
      <c r="C2074" s="33" t="s">
        <v>24</v>
      </c>
      <c r="D2074" s="34">
        <v>1977</v>
      </c>
      <c r="E2074" s="41"/>
      <c r="F2074" s="6"/>
      <c r="G2074" s="6"/>
      <c r="H2074" s="6"/>
      <c r="I2074" s="6"/>
      <c r="J2074" s="6">
        <v>8</v>
      </c>
      <c r="K2074" s="6"/>
      <c r="L2074" s="6"/>
      <c r="M2074" s="6"/>
      <c r="N2074" s="6"/>
      <c r="O2074" s="6"/>
      <c r="P2074" s="6"/>
      <c r="Q2074" s="6"/>
      <c r="R2074" s="6"/>
      <c r="S2074" s="35">
        <f>SUM(F2074:R2074)</f>
        <v>8</v>
      </c>
      <c r="T2074" s="35">
        <f>COUNT(F2074:R2074)</f>
        <v>1</v>
      </c>
      <c r="U2074" s="36">
        <f>IF(T2074&gt;=2,ROUND((IF(T2074=2,0.55,IF(T2074&lt;=4,0.7,IF(T2074&lt;=6,0.8,IF(T2074&lt;=9,0.9,1))))*(S2074/T2074)+(1-(IF(T2074=2,0.55,IF(T2074&lt;=4,0.7,IF(T2074&lt;=6,0.8,IF(T2074&lt;=9,0.9,1))))))*$Y$1),1),"")</f>
      </c>
      <c r="V2074" s="37">
        <v>7.4</v>
      </c>
      <c r="W2074" s="38"/>
    </row>
    <row r="2075" ht="24" customHeight="1" spans="1:23" x14ac:dyDescent="0.25">
      <c r="A2075" s="47">
        <v>258</v>
      </c>
      <c r="B2075" s="32" t="s">
        <v>2195</v>
      </c>
      <c r="C2075" s="48" t="s">
        <v>24</v>
      </c>
      <c r="D2075" s="49">
        <v>2015</v>
      </c>
      <c r="E2075" s="49" t="s">
        <v>2196</v>
      </c>
      <c r="F2075" s="6">
        <v>10</v>
      </c>
      <c r="G2075" s="6">
        <v>8</v>
      </c>
      <c r="H2075" s="6">
        <v>10</v>
      </c>
      <c r="I2075" s="6">
        <v>10</v>
      </c>
      <c r="J2075" s="6">
        <v>10</v>
      </c>
      <c r="K2075" s="6">
        <v>10</v>
      </c>
      <c r="L2075" s="6">
        <v>10</v>
      </c>
      <c r="M2075" s="6">
        <v>8</v>
      </c>
      <c r="N2075" s="6">
        <v>8</v>
      </c>
      <c r="O2075" s="6">
        <v>10</v>
      </c>
      <c r="P2075" s="6">
        <v>10</v>
      </c>
      <c r="Q2075" s="6">
        <v>10</v>
      </c>
      <c r="R2075" s="6">
        <v>10</v>
      </c>
      <c r="S2075" s="35">
        <f>SUM(F2075:R2075)</f>
        <v>124</v>
      </c>
      <c r="T2075" s="35">
        <f>COUNT(F2075:R2075)</f>
        <v>13</v>
      </c>
      <c r="U2075" s="36">
        <f>IF(T2075&gt;=2,ROUND((IF(T2075=2,0.55,IF(T2075&lt;=4,0.7,IF(T2075&lt;=6,0.8,IF(T2075&lt;=9,0.9,1))))*(S2075/T2075)+(1-(IF(T2075=2,0.55,IF(T2075&lt;=4,0.7,IF(T2075&lt;=6,0.8,IF(T2075&lt;=9,0.9,1))))))*$Y$1),1),"")</f>
        <v>9.5</v>
      </c>
      <c r="V2075" s="37">
        <v>7.1</v>
      </c>
      <c r="W2075" s="38" t="s">
        <v>44</v>
      </c>
    </row>
    <row r="2076" ht="24" customHeight="1" spans="1:23" x14ac:dyDescent="0.25">
      <c r="A2076" s="31">
        <v>1198</v>
      </c>
      <c r="B2076" s="32" t="s">
        <v>2197</v>
      </c>
      <c r="C2076" s="33" t="s">
        <v>29</v>
      </c>
      <c r="D2076" s="34">
        <v>2021</v>
      </c>
      <c r="E2076" s="34" t="s">
        <v>30</v>
      </c>
      <c r="F2076" s="6">
        <v>7</v>
      </c>
      <c r="G2076" s="6"/>
      <c r="H2076" s="6">
        <v>10</v>
      </c>
      <c r="I2076" s="6"/>
      <c r="J2076" s="6">
        <v>8</v>
      </c>
      <c r="K2076" s="6">
        <v>8</v>
      </c>
      <c r="L2076" s="6">
        <v>6</v>
      </c>
      <c r="M2076" s="6"/>
      <c r="N2076" s="6">
        <v>8</v>
      </c>
      <c r="O2076" s="6"/>
      <c r="P2076" s="6"/>
      <c r="Q2076" s="6">
        <v>8</v>
      </c>
      <c r="R2076" s="6"/>
      <c r="S2076" s="35">
        <f>SUM(F2076:R2076)</f>
        <v>55</v>
      </c>
      <c r="T2076" s="35">
        <f>COUNT(F2076:R2076)</f>
        <v>7</v>
      </c>
      <c r="U2076" s="36">
        <f>IF(T2076&gt;=2,ROUND((IF(T2076=2,0.55,IF(T2076&lt;=4,0.7,IF(T2076&lt;=6,0.8,IF(T2076&lt;=9,0.9,1))))*(S2076/T2076)+(1-(IF(T2076=2,0.55,IF(T2076&lt;=4,0.7,IF(T2076&lt;=6,0.8,IF(T2076&lt;=9,0.9,1))))))*$Y$1),1),"")</f>
        <v>7.9</v>
      </c>
      <c r="V2076" s="37">
        <v>6.3</v>
      </c>
      <c r="W2076" s="38"/>
    </row>
    <row r="2077" ht="24" customHeight="1" spans="1:23" x14ac:dyDescent="0.25">
      <c r="A2077" s="31">
        <v>1352</v>
      </c>
      <c r="B2077" s="32" t="s">
        <v>2198</v>
      </c>
      <c r="C2077" s="33" t="s">
        <v>158</v>
      </c>
      <c r="D2077" s="34">
        <v>2022</v>
      </c>
      <c r="E2077" s="34" t="s">
        <v>27</v>
      </c>
      <c r="F2077" s="6"/>
      <c r="G2077" s="6"/>
      <c r="H2077" s="6"/>
      <c r="I2077" s="6"/>
      <c r="J2077" s="6">
        <v>8</v>
      </c>
      <c r="K2077" s="6"/>
      <c r="L2077" s="6">
        <v>7</v>
      </c>
      <c r="M2077" s="6"/>
      <c r="N2077" s="6"/>
      <c r="O2077" s="6"/>
      <c r="P2077" s="6"/>
      <c r="Q2077" s="6"/>
      <c r="R2077" s="6"/>
      <c r="S2077" s="35">
        <f>SUM(F2077:R2077)</f>
        <v>15</v>
      </c>
      <c r="T2077" s="35">
        <f>COUNT(F2077:R2077)</f>
        <v>2</v>
      </c>
      <c r="U2077" s="36">
        <f>IF(T2077&gt;=2,ROUND((IF(T2077=2,0.55,IF(T2077&lt;=4,0.7,IF(T2077&lt;=6,0.8,IF(T2077&lt;=9,0.9,1))))*(S2077/T2077)+(1-(IF(T2077=2,0.55,IF(T2077&lt;=4,0.7,IF(T2077&lt;=6,0.8,IF(T2077&lt;=9,0.9,1))))))*$Y$1),1),"")</f>
        <v>7.8</v>
      </c>
      <c r="V2077" s="37">
        <v>7.3</v>
      </c>
      <c r="W2077" s="38"/>
    </row>
    <row r="2078" ht="24" customHeight="1" spans="1:23" x14ac:dyDescent="0.25">
      <c r="A2078" s="31">
        <v>1977</v>
      </c>
      <c r="B2078" s="32" t="s">
        <v>2199</v>
      </c>
      <c r="C2078" s="33" t="s">
        <v>24</v>
      </c>
      <c r="D2078" s="34">
        <v>2024</v>
      </c>
      <c r="E2078" s="34" t="s">
        <v>27</v>
      </c>
      <c r="F2078" s="6">
        <v>7</v>
      </c>
      <c r="G2078" s="6"/>
      <c r="H2078" s="6">
        <v>8</v>
      </c>
      <c r="I2078" s="6"/>
      <c r="J2078" s="6">
        <v>8</v>
      </c>
      <c r="K2078" s="6"/>
      <c r="L2078" s="6">
        <v>8</v>
      </c>
      <c r="M2078" s="6"/>
      <c r="N2078" s="6"/>
      <c r="O2078" s="6">
        <v>8</v>
      </c>
      <c r="P2078" s="6"/>
      <c r="Q2078" s="6"/>
      <c r="R2078" s="6"/>
      <c r="S2078" s="35">
        <f>SUM(F2078:R2078)</f>
        <v>39</v>
      </c>
      <c r="T2078" s="35">
        <f>COUNT(F2078:R2078)</f>
        <v>5</v>
      </c>
      <c r="U2078" s="36">
        <f>IF(T2078&gt;=2,ROUND((IF(T2078=2,0.55,IF(T2078&lt;=4,0.7,IF(T2078&lt;=6,0.8,IF(T2078&lt;=9,0.9,1))))*(S2078/T2078)+(1-(IF(T2078=2,0.55,IF(T2078&lt;=4,0.7,IF(T2078&lt;=6,0.8,IF(T2078&lt;=9,0.9,1))))))*$Y$1),1),"")</f>
        <v>7.9</v>
      </c>
      <c r="V2078" s="37">
        <v>7.5</v>
      </c>
      <c r="W2078" s="38"/>
    </row>
    <row r="2079" ht="24" customHeight="1" spans="1:23" x14ac:dyDescent="0.25">
      <c r="A2079" s="40">
        <v>2393</v>
      </c>
      <c r="B2079" s="32" t="s">
        <v>2200</v>
      </c>
      <c r="C2079" s="33" t="s">
        <v>24</v>
      </c>
      <c r="D2079" s="34">
        <v>2025</v>
      </c>
      <c r="E2079" s="41"/>
      <c r="F2079" s="6">
        <v>8</v>
      </c>
      <c r="G2079" s="6"/>
      <c r="H2079" s="6"/>
      <c r="I2079" s="6"/>
      <c r="J2079" s="6">
        <v>8</v>
      </c>
      <c r="K2079" s="6">
        <v>7</v>
      </c>
      <c r="L2079" s="6">
        <v>8</v>
      </c>
      <c r="M2079" s="6"/>
      <c r="N2079" s="6"/>
      <c r="O2079" s="6"/>
      <c r="P2079" s="6"/>
      <c r="Q2079" s="6">
        <v>7</v>
      </c>
      <c r="R2079" s="6"/>
      <c r="S2079" s="35">
        <f>SUM(F2079:R2079)</f>
        <v>38</v>
      </c>
      <c r="T2079" s="35">
        <f>COUNT(F2079:R2079)</f>
        <v>5</v>
      </c>
      <c r="U2079" s="36">
        <f>IF(T2079&gt;=2,ROUND((IF(T2079=2,0.55,IF(T2079&lt;=4,0.7,IF(T2079&lt;=6,0.8,IF(T2079&lt;=9,0.9,1))))*(S2079/T2079)+(1-(IF(T2079=2,0.55,IF(T2079&lt;=4,0.7,IF(T2079&lt;=6,0.8,IF(T2079&lt;=9,0.9,1))))))*$Y$1),1),"")</f>
        <v>7.7</v>
      </c>
      <c r="V2079" s="37">
        <v>7.3</v>
      </c>
      <c r="W2079" s="38"/>
    </row>
    <row r="2080" ht="24" customHeight="1" spans="1:23" x14ac:dyDescent="0.25">
      <c r="A2080" s="31">
        <v>1312</v>
      </c>
      <c r="B2080" s="32" t="s">
        <v>2201</v>
      </c>
      <c r="C2080" s="33" t="s">
        <v>24</v>
      </c>
      <c r="D2080" s="34">
        <v>2021</v>
      </c>
      <c r="E2080" s="34" t="s">
        <v>25</v>
      </c>
      <c r="F2080" s="6"/>
      <c r="G2080" s="6"/>
      <c r="H2080" s="6"/>
      <c r="I2080" s="6"/>
      <c r="J2080" s="6"/>
      <c r="K2080" s="6"/>
      <c r="L2080" s="6"/>
      <c r="M2080" s="6"/>
      <c r="N2080" s="6"/>
      <c r="O2080" s="6">
        <v>6</v>
      </c>
      <c r="P2080" s="6"/>
      <c r="Q2080" s="6"/>
      <c r="R2080" s="6"/>
      <c r="S2080" s="35">
        <f>SUM(F2080:R2080)</f>
        <v>6</v>
      </c>
      <c r="T2080" s="35">
        <f>COUNT(F2080:R2080)</f>
        <v>1</v>
      </c>
      <c r="U2080" s="36">
        <f>IF(T2080&gt;=2,ROUND((IF(T2080=2,0.55,IF(T2080&lt;=4,0.7,IF(T2080&lt;=6,0.8,IF(T2080&lt;=9,0.9,1))))*(S2080/T2080)+(1-(IF(T2080=2,0.55,IF(T2080&lt;=4,0.7,IF(T2080&lt;=6,0.8,IF(T2080&lt;=9,0.9,1))))))*$Y$1),1),"")</f>
      </c>
      <c r="V2080" s="37">
        <v>6.5</v>
      </c>
      <c r="W2080" s="38"/>
    </row>
    <row r="2081" ht="24" customHeight="1" spans="1:23" x14ac:dyDescent="0.25">
      <c r="A2081" s="42">
        <v>946</v>
      </c>
      <c r="B2081" s="32" t="s">
        <v>2202</v>
      </c>
      <c r="C2081" s="43" t="s">
        <v>114</v>
      </c>
      <c r="D2081" s="44">
        <v>1994</v>
      </c>
      <c r="E2081" s="44" t="s">
        <v>52</v>
      </c>
      <c r="F2081" s="6"/>
      <c r="G2081" s="6">
        <v>8</v>
      </c>
      <c r="H2081" s="6">
        <v>8</v>
      </c>
      <c r="I2081" s="6">
        <v>8</v>
      </c>
      <c r="J2081" s="6">
        <v>8</v>
      </c>
      <c r="K2081" s="6">
        <v>8</v>
      </c>
      <c r="L2081" s="6">
        <v>6</v>
      </c>
      <c r="M2081" s="6">
        <v>6</v>
      </c>
      <c r="N2081" s="6">
        <v>8</v>
      </c>
      <c r="O2081" s="6">
        <v>10</v>
      </c>
      <c r="P2081" s="6">
        <v>8</v>
      </c>
      <c r="Q2081" s="6">
        <v>8</v>
      </c>
      <c r="R2081" s="6">
        <v>6</v>
      </c>
      <c r="S2081" s="35">
        <f>SUM(F2081:R2081)</f>
        <v>92</v>
      </c>
      <c r="T2081" s="35">
        <f>COUNT(F2081:R2081)</f>
        <v>12</v>
      </c>
      <c r="U2081" s="36">
        <f>IF(T2081&gt;=2,ROUND((IF(T2081=2,0.55,IF(T2081&lt;=4,0.7,IF(T2081&lt;=6,0.8,IF(T2081&lt;=9,0.9,1))))*(S2081/T2081)+(1-(IF(T2081=2,0.55,IF(T2081&lt;=4,0.7,IF(T2081&lt;=6,0.8,IF(T2081&lt;=9,0.9,1))))))*$Y$1),1),"")</f>
        <v>7.7</v>
      </c>
      <c r="V2081" s="37">
        <v>8.1</v>
      </c>
      <c r="W2081" s="38" t="s">
        <v>44</v>
      </c>
    </row>
    <row r="2082" ht="47.25" customHeight="1" spans="1:23" x14ac:dyDescent="0.25">
      <c r="A2082" s="31">
        <v>196</v>
      </c>
      <c r="B2082" s="32" t="s">
        <v>2203</v>
      </c>
      <c r="C2082" s="33" t="s">
        <v>24</v>
      </c>
      <c r="D2082" s="34">
        <v>2017</v>
      </c>
      <c r="E2082" s="34" t="s">
        <v>237</v>
      </c>
      <c r="F2082" s="6">
        <v>8</v>
      </c>
      <c r="G2082" s="6">
        <v>9</v>
      </c>
      <c r="H2082" s="6"/>
      <c r="I2082" s="6"/>
      <c r="J2082" s="6">
        <v>8</v>
      </c>
      <c r="K2082" s="6">
        <v>10</v>
      </c>
      <c r="L2082" s="6">
        <v>8</v>
      </c>
      <c r="M2082" s="6"/>
      <c r="N2082" s="6"/>
      <c r="O2082" s="6"/>
      <c r="P2082" s="6">
        <v>10</v>
      </c>
      <c r="Q2082" s="6">
        <v>10</v>
      </c>
      <c r="R2082" s="6">
        <v>10</v>
      </c>
      <c r="S2082" s="35">
        <f>SUM(F2082:R2082)</f>
        <v>73</v>
      </c>
      <c r="T2082" s="35">
        <f>COUNT(F2082:R2082)</f>
        <v>8</v>
      </c>
      <c r="U2082" s="36">
        <f>IF(T2082&gt;=2,ROUND((IF(T2082=2,0.55,IF(T2082&lt;=4,0.7,IF(T2082&lt;=6,0.8,IF(T2082&lt;=9,0.9,1))))*(S2082/T2082)+(1-(IF(T2082=2,0.55,IF(T2082&lt;=4,0.7,IF(T2082&lt;=6,0.8,IF(T2082&lt;=9,0.9,1))))))*$Y$1),1),"")</f>
        <v>9</v>
      </c>
      <c r="V2082" s="37">
        <v>7.3</v>
      </c>
      <c r="W2082" s="38"/>
    </row>
    <row r="2083" ht="24" customHeight="1" spans="1:23" x14ac:dyDescent="0.25">
      <c r="A2083" s="31">
        <v>57</v>
      </c>
      <c r="B2083" s="32" t="s">
        <v>2204</v>
      </c>
      <c r="C2083" s="33" t="s">
        <v>24</v>
      </c>
      <c r="D2083" s="34">
        <v>1982</v>
      </c>
      <c r="E2083" s="34" t="s">
        <v>1024</v>
      </c>
      <c r="F2083" s="6">
        <v>8</v>
      </c>
      <c r="G2083" s="6"/>
      <c r="H2083" s="6">
        <v>10</v>
      </c>
      <c r="I2083" s="6"/>
      <c r="J2083" s="6"/>
      <c r="K2083" s="6">
        <v>10</v>
      </c>
      <c r="L2083" s="6"/>
      <c r="M2083" s="6">
        <v>10</v>
      </c>
      <c r="N2083" s="6">
        <v>10</v>
      </c>
      <c r="O2083" s="6"/>
      <c r="P2083" s="6"/>
      <c r="Q2083" s="6">
        <v>10</v>
      </c>
      <c r="R2083" s="6"/>
      <c r="S2083" s="35">
        <f>SUM(F2083:R2083)</f>
        <v>58</v>
      </c>
      <c r="T2083" s="35">
        <f>COUNT(F2083:R2083)</f>
        <v>6</v>
      </c>
      <c r="U2083" s="36">
        <f>IF(T2083&gt;=2,ROUND((IF(T2083=2,0.55,IF(T2083&lt;=4,0.7,IF(T2083&lt;=6,0.8,IF(T2083&lt;=9,0.9,1))))*(S2083/T2083)+(1-(IF(T2083=2,0.55,IF(T2083&lt;=4,0.7,IF(T2083&lt;=6,0.8,IF(T2083&lt;=9,0.9,1))))))*$Y$1),1),"")</f>
        <v>9.4</v>
      </c>
      <c r="V2083" s="37">
        <v>7.1</v>
      </c>
      <c r="W2083" s="38"/>
    </row>
    <row r="2084" ht="24" customHeight="1" spans="1:23" x14ac:dyDescent="0.25">
      <c r="A2084" s="31">
        <v>1286</v>
      </c>
      <c r="B2084" s="32" t="s">
        <v>2205</v>
      </c>
      <c r="C2084" s="33" t="s">
        <v>24</v>
      </c>
      <c r="D2084" s="34">
        <v>1995</v>
      </c>
      <c r="E2084" s="34" t="s">
        <v>30</v>
      </c>
      <c r="F2084" s="6"/>
      <c r="G2084" s="6"/>
      <c r="H2084" s="6"/>
      <c r="I2084" s="6"/>
      <c r="J2084" s="6">
        <v>8</v>
      </c>
      <c r="K2084" s="6">
        <v>7</v>
      </c>
      <c r="L2084" s="6"/>
      <c r="M2084" s="6"/>
      <c r="N2084" s="6"/>
      <c r="O2084" s="6">
        <v>6</v>
      </c>
      <c r="P2084" s="6"/>
      <c r="Q2084" s="6">
        <v>7</v>
      </c>
      <c r="R2084" s="6"/>
      <c r="S2084" s="35">
        <f>SUM(F2084:R2084)</f>
        <v>28</v>
      </c>
      <c r="T2084" s="35">
        <f>COUNT(F2084:R2084)</f>
        <v>4</v>
      </c>
      <c r="U2084" s="36">
        <f>IF(T2084&gt;=2,ROUND((IF(T2084=2,0.55,IF(T2084&lt;=4,0.7,IF(T2084&lt;=6,0.8,IF(T2084&lt;=9,0.9,1))))*(S2084/T2084)+(1-(IF(T2084=2,0.55,IF(T2084&lt;=4,0.7,IF(T2084&lt;=6,0.8,IF(T2084&lt;=9,0.9,1))))))*$Y$1),1),"")</f>
        <v>7.3</v>
      </c>
      <c r="V2084" s="37">
        <v>7</v>
      </c>
      <c r="W2084" s="38"/>
    </row>
    <row r="2085" ht="24" customHeight="1" spans="1:23" x14ac:dyDescent="0.25">
      <c r="A2085" s="31">
        <v>8</v>
      </c>
      <c r="B2085" s="32" t="s">
        <v>2206</v>
      </c>
      <c r="C2085" s="33" t="s">
        <v>24</v>
      </c>
      <c r="D2085" s="34">
        <v>2009</v>
      </c>
      <c r="E2085" s="34" t="s">
        <v>25</v>
      </c>
      <c r="F2085" s="6">
        <v>10</v>
      </c>
      <c r="G2085" s="6">
        <v>7</v>
      </c>
      <c r="H2085" s="6"/>
      <c r="I2085" s="6"/>
      <c r="J2085" s="6"/>
      <c r="K2085" s="6"/>
      <c r="L2085" s="6"/>
      <c r="M2085" s="6"/>
      <c r="N2085" s="6"/>
      <c r="O2085" s="6"/>
      <c r="P2085" s="6">
        <v>8</v>
      </c>
      <c r="Q2085" s="6"/>
      <c r="R2085" s="6"/>
      <c r="S2085" s="35">
        <f>SUM(F2085:R2085)</f>
        <v>25</v>
      </c>
      <c r="T2085" s="35">
        <f>COUNT(F2085:R2085)</f>
        <v>3</v>
      </c>
      <c r="U2085" s="36">
        <f>IF(T2085&gt;=2,ROUND((IF(T2085=2,0.55,IF(T2085&lt;=4,0.7,IF(T2085&lt;=6,0.8,IF(T2085&lt;=9,0.9,1))))*(S2085/T2085)+(1-(IF(T2085=2,0.55,IF(T2085&lt;=4,0.7,IF(T2085&lt;=6,0.8,IF(T2085&lt;=9,0.9,1))))))*$Y$1),1),"")</f>
        <v>8.3</v>
      </c>
      <c r="V2085" s="37">
        <v>7.8</v>
      </c>
      <c r="W2085" s="38"/>
    </row>
    <row r="2086" ht="47.25" customHeight="1" spans="1:23" x14ac:dyDescent="0.25">
      <c r="A2086" s="31">
        <v>1199</v>
      </c>
      <c r="B2086" s="32" t="s">
        <v>2207</v>
      </c>
      <c r="C2086" s="33" t="s">
        <v>24</v>
      </c>
      <c r="D2086" s="34">
        <v>2021</v>
      </c>
      <c r="E2086" s="34" t="s">
        <v>30</v>
      </c>
      <c r="F2086" s="6">
        <v>8</v>
      </c>
      <c r="G2086" s="6">
        <v>8</v>
      </c>
      <c r="H2086" s="6">
        <v>8</v>
      </c>
      <c r="I2086" s="6">
        <v>8</v>
      </c>
      <c r="J2086" s="6">
        <v>8</v>
      </c>
      <c r="K2086" s="6">
        <v>8</v>
      </c>
      <c r="L2086" s="6">
        <v>8</v>
      </c>
      <c r="M2086" s="6">
        <v>8</v>
      </c>
      <c r="N2086" s="6">
        <v>8</v>
      </c>
      <c r="O2086" s="6">
        <v>8</v>
      </c>
      <c r="P2086" s="6">
        <v>8</v>
      </c>
      <c r="Q2086" s="6">
        <v>8</v>
      </c>
      <c r="R2086" s="6"/>
      <c r="S2086" s="35">
        <f>SUM(F2086:R2086)</f>
        <v>96</v>
      </c>
      <c r="T2086" s="35">
        <f>COUNT(F2086:R2086)</f>
        <v>12</v>
      </c>
      <c r="U2086" s="36">
        <f>IF(T2086&gt;=2,ROUND((IF(T2086=2,0.55,IF(T2086&lt;=4,0.7,IF(T2086&lt;=6,0.8,IF(T2086&lt;=9,0.9,1))))*(S2086/T2086)+(1-(IF(T2086=2,0.55,IF(T2086&lt;=4,0.7,IF(T2086&lt;=6,0.8,IF(T2086&lt;=9,0.9,1))))))*$Y$1),1),"")</f>
        <v>8</v>
      </c>
      <c r="V2086" s="37">
        <v>6.7</v>
      </c>
      <c r="W2086" s="38"/>
    </row>
    <row r="2087" ht="24" customHeight="1" spans="1:23" x14ac:dyDescent="0.25">
      <c r="A2087" s="31">
        <v>326</v>
      </c>
      <c r="B2087" s="32" t="s">
        <v>2208</v>
      </c>
      <c r="C2087" s="33" t="s">
        <v>24</v>
      </c>
      <c r="D2087" s="34">
        <v>1999</v>
      </c>
      <c r="E2087" s="34" t="s">
        <v>30</v>
      </c>
      <c r="F2087" s="6">
        <v>7</v>
      </c>
      <c r="G2087" s="6"/>
      <c r="H2087" s="6">
        <v>8</v>
      </c>
      <c r="I2087" s="6"/>
      <c r="J2087" s="6"/>
      <c r="K2087" s="6">
        <v>8</v>
      </c>
      <c r="L2087" s="6"/>
      <c r="M2087" s="6"/>
      <c r="N2087" s="6"/>
      <c r="O2087" s="6"/>
      <c r="P2087" s="6"/>
      <c r="Q2087" s="6">
        <v>8</v>
      </c>
      <c r="R2087" s="6">
        <v>8</v>
      </c>
      <c r="S2087" s="35">
        <f>SUM(F2087:R2087)</f>
        <v>39</v>
      </c>
      <c r="T2087" s="35">
        <f>COUNT(F2087:R2087)</f>
        <v>5</v>
      </c>
      <c r="U2087" s="36">
        <f>IF(T2087&gt;=2,ROUND((IF(T2087=2,0.55,IF(T2087&lt;=4,0.7,IF(T2087&lt;=6,0.8,IF(T2087&lt;=9,0.9,1))))*(S2087/T2087)+(1-(IF(T2087=2,0.55,IF(T2087&lt;=4,0.7,IF(T2087&lt;=6,0.8,IF(T2087&lt;=9,0.9,1))))))*$Y$1),1),"")</f>
        <v>7.9</v>
      </c>
      <c r="V2087" s="37">
        <v>6.4</v>
      </c>
      <c r="W2087" s="38"/>
    </row>
    <row r="2088" ht="24" customHeight="1" spans="1:23" x14ac:dyDescent="0.25">
      <c r="A2088" s="31">
        <v>1468</v>
      </c>
      <c r="B2088" s="32" t="s">
        <v>2209</v>
      </c>
      <c r="C2088" s="33" t="s">
        <v>24</v>
      </c>
      <c r="D2088" s="34">
        <v>1946</v>
      </c>
      <c r="E2088" s="34" t="s">
        <v>122</v>
      </c>
      <c r="F2088" s="6"/>
      <c r="G2088" s="6">
        <v>7</v>
      </c>
      <c r="H2088" s="6"/>
      <c r="I2088" s="6"/>
      <c r="J2088" s="6"/>
      <c r="K2088" s="6"/>
      <c r="L2088" s="6"/>
      <c r="M2088" s="6"/>
      <c r="N2088" s="6"/>
      <c r="O2088" s="6">
        <v>7</v>
      </c>
      <c r="P2088" s="6"/>
      <c r="Q2088" s="6"/>
      <c r="R2088" s="6"/>
      <c r="S2088" s="35">
        <f>SUM(F2088:R2088)</f>
        <v>14</v>
      </c>
      <c r="T2088" s="35">
        <f>COUNT(F2088:R2088)</f>
        <v>2</v>
      </c>
      <c r="U2088" s="36">
        <f>IF(T2088&gt;=2,ROUND((IF(T2088=2,0.55,IF(T2088&lt;=4,0.7,IF(T2088&lt;=6,0.8,IF(T2088&lt;=9,0.9,1))))*(S2088/T2088)+(1-(IF(T2088=2,0.55,IF(T2088&lt;=4,0.7,IF(T2088&lt;=6,0.8,IF(T2088&lt;=9,0.9,1))))))*$Y$1),1),"")</f>
        <v>7.5</v>
      </c>
      <c r="V2088" s="37">
        <v>8.6</v>
      </c>
      <c r="W2088" s="38"/>
    </row>
    <row r="2089" ht="24" customHeight="1" spans="1:23" x14ac:dyDescent="0.25">
      <c r="A2089" s="40">
        <v>2280</v>
      </c>
      <c r="B2089" s="32" t="s">
        <v>2210</v>
      </c>
      <c r="C2089" s="33" t="s">
        <v>24</v>
      </c>
      <c r="D2089" s="34">
        <v>2012</v>
      </c>
      <c r="E2089" s="41"/>
      <c r="F2089" s="6"/>
      <c r="G2089" s="6">
        <v>8</v>
      </c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35">
        <f>SUM(F2089:R2089)</f>
        <v>8</v>
      </c>
      <c r="T2089" s="35">
        <f>COUNT(F2089:R2089)</f>
        <v>1</v>
      </c>
      <c r="U2089" s="36">
        <f>IF(T2089&gt;=2,ROUND((IF(T2089=2,0.55,IF(T2089&lt;=4,0.7,IF(T2089&lt;=6,0.8,IF(T2089&lt;=9,0.9,1))))*(S2089/T2089)+(1-(IF(T2089=2,0.55,IF(T2089&lt;=4,0.7,IF(T2089&lt;=6,0.8,IF(T2089&lt;=9,0.9,1))))))*$Y$1),1),"")</f>
      </c>
      <c r="V2089" s="37">
        <v>7</v>
      </c>
      <c r="W2089" s="38"/>
    </row>
    <row r="2090" ht="24" customHeight="1" spans="1:23" x14ac:dyDescent="0.25">
      <c r="A2090" s="31">
        <v>287</v>
      </c>
      <c r="B2090" s="32" t="s">
        <v>2211</v>
      </c>
      <c r="C2090" s="33" t="s">
        <v>24</v>
      </c>
      <c r="D2090" s="34">
        <v>2018</v>
      </c>
      <c r="E2090" s="34" t="s">
        <v>52</v>
      </c>
      <c r="F2090" s="6"/>
      <c r="G2090" s="6">
        <v>8</v>
      </c>
      <c r="H2090" s="6"/>
      <c r="I2090" s="6"/>
      <c r="J2090" s="6">
        <v>8</v>
      </c>
      <c r="K2090" s="6">
        <v>8</v>
      </c>
      <c r="L2090" s="6">
        <v>8</v>
      </c>
      <c r="M2090" s="6"/>
      <c r="N2090" s="6"/>
      <c r="O2090" s="6"/>
      <c r="P2090" s="6">
        <v>8</v>
      </c>
      <c r="Q2090" s="6">
        <v>8</v>
      </c>
      <c r="R2090" s="6"/>
      <c r="S2090" s="35">
        <f>SUM(F2090:R2090)</f>
        <v>48</v>
      </c>
      <c r="T2090" s="35">
        <f>COUNT(F2090:R2090)</f>
        <v>6</v>
      </c>
      <c r="U2090" s="36">
        <f>IF(T2090&gt;=2,ROUND((IF(T2090=2,0.55,IF(T2090&lt;=4,0.7,IF(T2090&lt;=6,0.8,IF(T2090&lt;=9,0.9,1))))*(S2090/T2090)+(1-(IF(T2090=2,0.55,IF(T2090&lt;=4,0.7,IF(T2090&lt;=6,0.8,IF(T2090&lt;=9,0.9,1))))))*$Y$1),1),"")</f>
        <v>8</v>
      </c>
      <c r="V2090" s="37">
        <v>7.5</v>
      </c>
      <c r="W2090" s="38"/>
    </row>
    <row r="2091" ht="24" customHeight="1" spans="1:23" x14ac:dyDescent="0.25">
      <c r="A2091" s="40">
        <v>2152</v>
      </c>
      <c r="B2091" s="32" t="s">
        <v>2212</v>
      </c>
      <c r="C2091" s="33" t="s">
        <v>24</v>
      </c>
      <c r="D2091" s="34">
        <v>2005</v>
      </c>
      <c r="E2091" s="41"/>
      <c r="F2091" s="6"/>
      <c r="G2091" s="6">
        <v>7</v>
      </c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35">
        <f>SUM(F2091:R2091)</f>
        <v>7</v>
      </c>
      <c r="T2091" s="35">
        <f>COUNT(F2091:R2091)</f>
        <v>1</v>
      </c>
      <c r="U2091" s="36">
        <f>IF(T2091&gt;=2,ROUND((IF(T2091=2,0.55,IF(T2091&lt;=4,0.7,IF(T2091&lt;=6,0.8,IF(T2091&lt;=9,0.9,1))))*(S2091/T2091)+(1-(IF(T2091=2,0.55,IF(T2091&lt;=4,0.7,IF(T2091&lt;=6,0.8,IF(T2091&lt;=9,0.9,1))))))*$Y$1),1),"")</f>
      </c>
      <c r="V2091" s="37">
        <v>6.7</v>
      </c>
      <c r="W2091" s="38"/>
    </row>
    <row r="2092" ht="24" customHeight="1" spans="1:23" x14ac:dyDescent="0.25">
      <c r="A2092" s="31">
        <v>1318</v>
      </c>
      <c r="B2092" s="32" t="s">
        <v>2213</v>
      </c>
      <c r="C2092" s="33" t="s">
        <v>24</v>
      </c>
      <c r="D2092" s="34">
        <v>2021</v>
      </c>
      <c r="E2092" s="34" t="s">
        <v>30</v>
      </c>
      <c r="F2092" s="6"/>
      <c r="G2092" s="6"/>
      <c r="H2092" s="6"/>
      <c r="I2092" s="6"/>
      <c r="J2092" s="6"/>
      <c r="K2092" s="6">
        <v>7</v>
      </c>
      <c r="L2092" s="6"/>
      <c r="M2092" s="6">
        <v>6</v>
      </c>
      <c r="N2092" s="6"/>
      <c r="O2092" s="6"/>
      <c r="P2092" s="6"/>
      <c r="Q2092" s="6">
        <v>7</v>
      </c>
      <c r="R2092" s="6"/>
      <c r="S2092" s="35">
        <f>SUM(F2092:R2092)</f>
        <v>20</v>
      </c>
      <c r="T2092" s="35">
        <f>COUNT(F2092:R2092)</f>
        <v>3</v>
      </c>
      <c r="U2092" s="36">
        <f>IF(T2092&gt;=2,ROUND((IF(T2092=2,0.55,IF(T2092&lt;=4,0.7,IF(T2092&lt;=6,0.8,IF(T2092&lt;=9,0.9,1))))*(S2092/T2092)+(1-(IF(T2092=2,0.55,IF(T2092&lt;=4,0.7,IF(T2092&lt;=6,0.8,IF(T2092&lt;=9,0.9,1))))))*$Y$1),1),"")</f>
        <v>7.1</v>
      </c>
      <c r="V2092" s="37">
        <v>5.4</v>
      </c>
      <c r="W2092" s="38"/>
    </row>
    <row r="2093" ht="24" customHeight="1" spans="1:23" x14ac:dyDescent="0.25">
      <c r="A2093" s="31">
        <v>255</v>
      </c>
      <c r="B2093" s="32" t="s">
        <v>2214</v>
      </c>
      <c r="C2093" s="33" t="s">
        <v>24</v>
      </c>
      <c r="D2093" s="34">
        <v>2014</v>
      </c>
      <c r="E2093" s="34" t="s">
        <v>92</v>
      </c>
      <c r="F2093" s="6">
        <v>8</v>
      </c>
      <c r="G2093" s="6"/>
      <c r="H2093" s="6"/>
      <c r="I2093" s="6"/>
      <c r="J2093" s="6">
        <v>10</v>
      </c>
      <c r="K2093" s="6">
        <v>8</v>
      </c>
      <c r="L2093" s="6">
        <v>10</v>
      </c>
      <c r="M2093" s="6"/>
      <c r="N2093" s="6"/>
      <c r="O2093" s="6"/>
      <c r="P2093" s="6"/>
      <c r="Q2093" s="6">
        <v>8</v>
      </c>
      <c r="R2093" s="6"/>
      <c r="S2093" s="35">
        <f>SUM(F2093:R2093)</f>
        <v>44</v>
      </c>
      <c r="T2093" s="35">
        <f>COUNT(F2093:R2093)</f>
        <v>5</v>
      </c>
      <c r="U2093" s="36">
        <f>IF(T2093&gt;=2,ROUND((IF(T2093=2,0.55,IF(T2093&lt;=4,0.7,IF(T2093&lt;=6,0.8,IF(T2093&lt;=9,0.9,1))))*(S2093/T2093)+(1-(IF(T2093=2,0.55,IF(T2093&lt;=4,0.7,IF(T2093&lt;=6,0.8,IF(T2093&lt;=9,0.9,1))))))*$Y$1),1),"")</f>
        <v>8.7</v>
      </c>
      <c r="V2093" s="37">
        <v>7.3</v>
      </c>
      <c r="W2093" s="38"/>
    </row>
    <row r="2094" ht="24" customHeight="1" spans="1:23" x14ac:dyDescent="0.25">
      <c r="A2094" s="40">
        <v>2469</v>
      </c>
      <c r="B2094" s="32" t="s">
        <v>2215</v>
      </c>
      <c r="C2094" s="33" t="s">
        <v>158</v>
      </c>
      <c r="D2094" s="34">
        <v>2026</v>
      </c>
      <c r="E2094" s="41"/>
      <c r="F2094" s="6">
        <v>10</v>
      </c>
      <c r="G2094" s="6"/>
      <c r="H2094" s="6"/>
      <c r="I2094" s="6"/>
      <c r="J2094" s="6">
        <v>10</v>
      </c>
      <c r="K2094" s="6"/>
      <c r="L2094" s="6"/>
      <c r="M2094" s="6">
        <v>10</v>
      </c>
      <c r="N2094" s="6"/>
      <c r="O2094" s="6"/>
      <c r="P2094" s="6"/>
      <c r="Q2094" s="6"/>
      <c r="R2094" s="6"/>
      <c r="S2094" s="35">
        <f>SUM(F2094:R2094)</f>
        <v>30</v>
      </c>
      <c r="T2094" s="35">
        <f>COUNT(F2094:R2094)</f>
        <v>3</v>
      </c>
      <c r="U2094" s="36">
        <f>IF(T2094&gt;=2,ROUND((IF(T2094=2,0.55,IF(T2094&lt;=4,0.7,IF(T2094&lt;=6,0.8,IF(T2094&lt;=9,0.9,1))))*(S2094/T2094)+(1-(IF(T2094=2,0.55,IF(T2094&lt;=4,0.7,IF(T2094&lt;=6,0.8,IF(T2094&lt;=9,0.9,1))))))*$Y$1),1),"")</f>
        <v>9.4</v>
      </c>
      <c r="V2094" s="37"/>
      <c r="W2094" s="38"/>
    </row>
    <row r="2095" ht="24" customHeight="1" spans="1:23" x14ac:dyDescent="0.25">
      <c r="A2095" s="31">
        <v>295</v>
      </c>
      <c r="B2095" s="32" t="s">
        <v>2216</v>
      </c>
      <c r="C2095" s="33" t="s">
        <v>24</v>
      </c>
      <c r="D2095" s="34">
        <v>2015</v>
      </c>
      <c r="E2095" s="34" t="s">
        <v>30</v>
      </c>
      <c r="F2095" s="6"/>
      <c r="G2095" s="6"/>
      <c r="H2095" s="6"/>
      <c r="I2095" s="6"/>
      <c r="J2095" s="6">
        <v>8</v>
      </c>
      <c r="K2095" s="6">
        <v>6</v>
      </c>
      <c r="L2095" s="6"/>
      <c r="M2095" s="6"/>
      <c r="N2095" s="6"/>
      <c r="O2095" s="6"/>
      <c r="P2095" s="6"/>
      <c r="Q2095" s="6">
        <v>6</v>
      </c>
      <c r="R2095" s="6"/>
      <c r="S2095" s="35">
        <f>SUM(F2095:R2095)</f>
        <v>20</v>
      </c>
      <c r="T2095" s="35">
        <f>COUNT(F2095:R2095)</f>
        <v>3</v>
      </c>
      <c r="U2095" s="36">
        <f>IF(T2095&gt;=2,ROUND((IF(T2095=2,0.55,IF(T2095&lt;=4,0.7,IF(T2095&lt;=6,0.8,IF(T2095&lt;=9,0.9,1))))*(S2095/T2095)+(1-(IF(T2095=2,0.55,IF(T2095&lt;=4,0.7,IF(T2095&lt;=6,0.8,IF(T2095&lt;=9,0.9,1))))))*$Y$1),1),"")</f>
        <v>7.1</v>
      </c>
      <c r="V2095" s="37">
        <v>6.5</v>
      </c>
      <c r="W2095" s="38"/>
    </row>
    <row r="2096" ht="47.25" customHeight="1" spans="1:23" x14ac:dyDescent="0.25">
      <c r="A2096" s="47">
        <v>1908</v>
      </c>
      <c r="B2096" s="32" t="s">
        <v>2217</v>
      </c>
      <c r="C2096" s="48" t="s">
        <v>158</v>
      </c>
      <c r="D2096" s="49">
        <v>2024</v>
      </c>
      <c r="E2096" s="49" t="s">
        <v>30</v>
      </c>
      <c r="F2096" s="6">
        <v>8</v>
      </c>
      <c r="G2096" s="6">
        <v>9</v>
      </c>
      <c r="H2096" s="6">
        <v>9</v>
      </c>
      <c r="I2096" s="6">
        <v>9</v>
      </c>
      <c r="J2096" s="6">
        <v>9</v>
      </c>
      <c r="K2096" s="6"/>
      <c r="L2096" s="6">
        <v>9</v>
      </c>
      <c r="M2096" s="6">
        <v>9</v>
      </c>
      <c r="N2096" s="6">
        <v>10</v>
      </c>
      <c r="O2096" s="6">
        <v>10</v>
      </c>
      <c r="P2096" s="6">
        <v>8</v>
      </c>
      <c r="Q2096" s="6"/>
      <c r="R2096" s="6">
        <v>10</v>
      </c>
      <c r="S2096" s="35">
        <f>SUM(F2096:R2096)</f>
        <v>100</v>
      </c>
      <c r="T2096" s="35">
        <f>COUNT(F2096:R2096)</f>
        <v>11</v>
      </c>
      <c r="U2096" s="36">
        <f>IF(T2096&gt;=2,ROUND((IF(T2096=2,0.55,IF(T2096&lt;=4,0.7,IF(T2096&lt;=6,0.8,IF(T2096&lt;=9,0.9,1))))*(S2096/T2096)+(1-(IF(T2096=2,0.55,IF(T2096&lt;=4,0.7,IF(T2096&lt;=6,0.8,IF(T2096&lt;=9,0.9,1))))))*$Y$1),1),"")</f>
        <v>9.1</v>
      </c>
      <c r="V2096" s="37">
        <v>8.1</v>
      </c>
      <c r="W2096" s="38" t="s">
        <v>44</v>
      </c>
    </row>
    <row r="2097" ht="24" customHeight="1" spans="1:23" x14ac:dyDescent="0.25">
      <c r="A2097" s="31">
        <v>1042</v>
      </c>
      <c r="B2097" s="32" t="s">
        <v>2218</v>
      </c>
      <c r="C2097" s="33" t="s">
        <v>24</v>
      </c>
      <c r="D2097" s="34">
        <v>2007</v>
      </c>
      <c r="E2097" s="34" t="s">
        <v>30</v>
      </c>
      <c r="F2097" s="6">
        <v>8</v>
      </c>
      <c r="G2097" s="6"/>
      <c r="H2097" s="6">
        <v>8</v>
      </c>
      <c r="I2097" s="6">
        <v>8</v>
      </c>
      <c r="J2097" s="6"/>
      <c r="K2097" s="6">
        <v>8</v>
      </c>
      <c r="L2097" s="6">
        <v>8</v>
      </c>
      <c r="M2097" s="6">
        <v>8</v>
      </c>
      <c r="N2097" s="6">
        <v>8</v>
      </c>
      <c r="O2097" s="6">
        <v>8</v>
      </c>
      <c r="P2097" s="6"/>
      <c r="Q2097" s="6">
        <v>8</v>
      </c>
      <c r="R2097" s="6"/>
      <c r="S2097" s="35">
        <f>SUM(F2097:R2097)</f>
        <v>72</v>
      </c>
      <c r="T2097" s="35">
        <f>COUNT(F2097:R2097)</f>
        <v>9</v>
      </c>
      <c r="U2097" s="36">
        <f>IF(T2097&gt;=2,ROUND((IF(T2097=2,0.55,IF(T2097&lt;=4,0.7,IF(T2097&lt;=6,0.8,IF(T2097&lt;=9,0.9,1))))*(S2097/T2097)+(1-(IF(T2097=2,0.55,IF(T2097&lt;=4,0.7,IF(T2097&lt;=6,0.8,IF(T2097&lt;=9,0.9,1))))))*$Y$1),1),"")</f>
        <v>8</v>
      </c>
      <c r="V2097" s="37">
        <v>5.7</v>
      </c>
      <c r="W2097" s="38"/>
    </row>
    <row r="2098" ht="24" customHeight="1" spans="1:23" x14ac:dyDescent="0.25">
      <c r="A2098" s="40">
        <v>2293</v>
      </c>
      <c r="B2098" s="32" t="s">
        <v>2219</v>
      </c>
      <c r="C2098" s="33" t="s">
        <v>24</v>
      </c>
      <c r="D2098" s="34">
        <v>2013</v>
      </c>
      <c r="E2098" s="41"/>
      <c r="F2098" s="6"/>
      <c r="G2098" s="6">
        <v>6</v>
      </c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35">
        <f>SUM(F2098:R2098)</f>
        <v>6</v>
      </c>
      <c r="T2098" s="35">
        <f>COUNT(F2098:R2098)</f>
        <v>1</v>
      </c>
      <c r="U2098" s="36">
        <f>IF(T2098&gt;=2,ROUND((IF(T2098=2,0.55,IF(T2098&lt;=4,0.7,IF(T2098&lt;=6,0.8,IF(T2098&lt;=9,0.9,1))))*(S2098/T2098)+(1-(IF(T2098=2,0.55,IF(T2098&lt;=4,0.7,IF(T2098&lt;=6,0.8,IF(T2098&lt;=9,0.9,1))))))*$Y$1),1),"")</f>
      </c>
      <c r="V2098" s="37">
        <v>6.5</v>
      </c>
      <c r="W2098" s="38"/>
    </row>
    <row r="2099" ht="24" customHeight="1" spans="1:23" x14ac:dyDescent="0.25">
      <c r="A2099" s="31">
        <v>1768</v>
      </c>
      <c r="B2099" s="32" t="s">
        <v>2220</v>
      </c>
      <c r="C2099" s="33" t="s">
        <v>24</v>
      </c>
      <c r="D2099" s="34">
        <v>2022</v>
      </c>
      <c r="E2099" s="34" t="s">
        <v>25</v>
      </c>
      <c r="F2099" s="6">
        <v>6</v>
      </c>
      <c r="G2099" s="6"/>
      <c r="H2099" s="6">
        <v>7</v>
      </c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35">
        <f>SUM(F2099:R2099)</f>
        <v>13</v>
      </c>
      <c r="T2099" s="35">
        <f>COUNT(F2099:R2099)</f>
        <v>2</v>
      </c>
      <c r="U2099" s="36">
        <f>IF(T2099&gt;=2,ROUND((IF(T2099=2,0.55,IF(T2099&lt;=4,0.7,IF(T2099&lt;=6,0.8,IF(T2099&lt;=9,0.9,1))))*(S2099/T2099)+(1-(IF(T2099=2,0.55,IF(T2099&lt;=4,0.7,IF(T2099&lt;=6,0.8,IF(T2099&lt;=9,0.9,1))))))*$Y$1),1),"")</f>
        <v>7.2</v>
      </c>
      <c r="V2099" s="37">
        <v>6.4</v>
      </c>
      <c r="W2099" s="38"/>
    </row>
    <row r="2100" ht="24" customHeight="1" spans="1:23" x14ac:dyDescent="0.25">
      <c r="A2100" s="42">
        <v>449</v>
      </c>
      <c r="B2100" s="32" t="s">
        <v>2221</v>
      </c>
      <c r="C2100" s="43" t="s">
        <v>24</v>
      </c>
      <c r="D2100" s="44">
        <v>2017</v>
      </c>
      <c r="E2100" s="44" t="s">
        <v>2222</v>
      </c>
      <c r="F2100" s="6">
        <v>8</v>
      </c>
      <c r="G2100" s="6">
        <v>8</v>
      </c>
      <c r="H2100" s="6">
        <v>8</v>
      </c>
      <c r="I2100" s="6">
        <v>10</v>
      </c>
      <c r="J2100" s="6">
        <v>10</v>
      </c>
      <c r="K2100" s="6">
        <v>10</v>
      </c>
      <c r="L2100" s="6">
        <v>8</v>
      </c>
      <c r="M2100" s="6">
        <v>8</v>
      </c>
      <c r="N2100" s="6">
        <v>8</v>
      </c>
      <c r="O2100" s="6"/>
      <c r="P2100" s="6">
        <v>8</v>
      </c>
      <c r="Q2100" s="6">
        <v>10</v>
      </c>
      <c r="R2100" s="6"/>
      <c r="S2100" s="35">
        <f>SUM(F2100:R2100)</f>
        <v>96</v>
      </c>
      <c r="T2100" s="35">
        <f>COUNT(F2100:R2100)</f>
        <v>11</v>
      </c>
      <c r="U2100" s="36">
        <f>IF(T2100&gt;=2,ROUND((IF(T2100=2,0.55,IF(T2100&lt;=4,0.7,IF(T2100&lt;=6,0.8,IF(T2100&lt;=9,0.9,1))))*(S2100/T2100)+(1-(IF(T2100=2,0.55,IF(T2100&lt;=4,0.7,IF(T2100&lt;=6,0.8,IF(T2100&lt;=9,0.9,1))))))*$Y$1),1),"")</f>
        <v>8.7</v>
      </c>
      <c r="V2100" s="37">
        <v>7.2</v>
      </c>
      <c r="W2100" s="38" t="s">
        <v>44</v>
      </c>
    </row>
    <row r="2101" ht="24" customHeight="1" spans="1:23" x14ac:dyDescent="0.25">
      <c r="A2101" s="31">
        <v>430</v>
      </c>
      <c r="B2101" s="32" t="s">
        <v>2223</v>
      </c>
      <c r="C2101" s="33" t="s">
        <v>24</v>
      </c>
      <c r="D2101" s="34">
        <v>2019</v>
      </c>
      <c r="E2101" s="34" t="s">
        <v>27</v>
      </c>
      <c r="F2101" s="6"/>
      <c r="G2101" s="6"/>
      <c r="H2101" s="6"/>
      <c r="I2101" s="6"/>
      <c r="J2101" s="6"/>
      <c r="K2101" s="6">
        <v>6</v>
      </c>
      <c r="L2101" s="6"/>
      <c r="M2101" s="6"/>
      <c r="N2101" s="6"/>
      <c r="O2101" s="6"/>
      <c r="P2101" s="6"/>
      <c r="Q2101" s="6">
        <v>6</v>
      </c>
      <c r="R2101" s="6"/>
      <c r="S2101" s="35">
        <f>SUM(F2101:R2101)</f>
        <v>12</v>
      </c>
      <c r="T2101" s="35">
        <f>COUNT(F2101:R2101)</f>
        <v>2</v>
      </c>
      <c r="U2101" s="36">
        <f>IF(T2101&gt;=2,ROUND((IF(T2101=2,0.55,IF(T2101&lt;=4,0.7,IF(T2101&lt;=6,0.8,IF(T2101&lt;=9,0.9,1))))*(S2101/T2101)+(1-(IF(T2101=2,0.55,IF(T2101&lt;=4,0.7,IF(T2101&lt;=6,0.8,IF(T2101&lt;=9,0.9,1))))))*$Y$1),1),"")</f>
        <v>6.9</v>
      </c>
      <c r="V2101" s="37">
        <v>6.2</v>
      </c>
      <c r="W2101" s="38"/>
    </row>
    <row r="2102" ht="24" customHeight="1" spans="1:23" x14ac:dyDescent="0.25">
      <c r="A2102" s="31">
        <v>7</v>
      </c>
      <c r="B2102" s="32" t="s">
        <v>2224</v>
      </c>
      <c r="C2102" s="33" t="s">
        <v>24</v>
      </c>
      <c r="D2102" s="34">
        <v>1999</v>
      </c>
      <c r="E2102" s="34" t="s">
        <v>30</v>
      </c>
      <c r="F2102" s="6">
        <v>8</v>
      </c>
      <c r="G2102" s="6">
        <v>9</v>
      </c>
      <c r="H2102" s="6">
        <v>8</v>
      </c>
      <c r="I2102" s="6">
        <v>8</v>
      </c>
      <c r="J2102" s="6">
        <v>8</v>
      </c>
      <c r="K2102" s="6">
        <v>10</v>
      </c>
      <c r="L2102" s="6">
        <v>8</v>
      </c>
      <c r="M2102" s="6">
        <v>8</v>
      </c>
      <c r="N2102" s="6">
        <v>8</v>
      </c>
      <c r="O2102" s="6"/>
      <c r="P2102" s="6">
        <v>10</v>
      </c>
      <c r="Q2102" s="6">
        <v>10</v>
      </c>
      <c r="R2102" s="6">
        <v>8</v>
      </c>
      <c r="S2102" s="35">
        <f>SUM(F2102:R2102)</f>
        <v>103</v>
      </c>
      <c r="T2102" s="35">
        <f>COUNT(F2102:R2102)</f>
        <v>12</v>
      </c>
      <c r="U2102" s="36">
        <f>IF(T2102&gt;=2,ROUND((IF(T2102=2,0.55,IF(T2102&lt;=4,0.7,IF(T2102&lt;=6,0.8,IF(T2102&lt;=9,0.9,1))))*(S2102/T2102)+(1-(IF(T2102=2,0.55,IF(T2102&lt;=4,0.7,IF(T2102&lt;=6,0.8,IF(T2102&lt;=9,0.9,1))))))*$Y$1),1),"")</f>
        <v>8.6</v>
      </c>
      <c r="V2102" s="37">
        <v>8.6</v>
      </c>
      <c r="W2102" s="38"/>
    </row>
    <row r="2103" ht="24" customHeight="1" spans="1:23" x14ac:dyDescent="0.25">
      <c r="A2103" s="42">
        <v>785</v>
      </c>
      <c r="B2103" s="32" t="s">
        <v>2225</v>
      </c>
      <c r="C2103" s="43" t="s">
        <v>24</v>
      </c>
      <c r="D2103" s="44">
        <v>1982</v>
      </c>
      <c r="E2103" s="44" t="s">
        <v>30</v>
      </c>
      <c r="F2103" s="6">
        <v>10</v>
      </c>
      <c r="G2103" s="6">
        <v>8</v>
      </c>
      <c r="H2103" s="6">
        <v>8</v>
      </c>
      <c r="I2103" s="6">
        <v>10</v>
      </c>
      <c r="J2103" s="6">
        <v>10</v>
      </c>
      <c r="K2103" s="6">
        <v>10</v>
      </c>
      <c r="L2103" s="6">
        <v>10</v>
      </c>
      <c r="M2103" s="6">
        <v>10</v>
      </c>
      <c r="N2103" s="6">
        <v>10</v>
      </c>
      <c r="O2103" s="6"/>
      <c r="P2103" s="6">
        <v>8</v>
      </c>
      <c r="Q2103" s="6">
        <v>10</v>
      </c>
      <c r="R2103" s="6">
        <v>8</v>
      </c>
      <c r="S2103" s="35">
        <f>SUM(F2103:R2103)</f>
        <v>112</v>
      </c>
      <c r="T2103" s="35">
        <f>COUNT(F2103:R2103)</f>
        <v>12</v>
      </c>
      <c r="U2103" s="36">
        <f>IF(T2103&gt;=2,ROUND((IF(T2103=2,0.55,IF(T2103&lt;=4,0.7,IF(T2103&lt;=6,0.8,IF(T2103&lt;=9,0.9,1))))*(S2103/T2103)+(1-(IF(T2103=2,0.55,IF(T2103&lt;=4,0.7,IF(T2103&lt;=6,0.8,IF(T2103&lt;=9,0.9,1))))))*$Y$1),1),"")</f>
        <v>9.3</v>
      </c>
      <c r="V2103" s="37">
        <v>7.5</v>
      </c>
      <c r="W2103" s="38" t="s">
        <v>44</v>
      </c>
    </row>
    <row r="2104" ht="24" customHeight="1" spans="1:23" x14ac:dyDescent="0.25">
      <c r="A2104" s="31">
        <v>914</v>
      </c>
      <c r="B2104" s="32" t="s">
        <v>2226</v>
      </c>
      <c r="C2104" s="33" t="s">
        <v>24</v>
      </c>
      <c r="D2104" s="34">
        <v>2021</v>
      </c>
      <c r="E2104" s="34" t="s">
        <v>30</v>
      </c>
      <c r="F2104" s="6">
        <v>8</v>
      </c>
      <c r="G2104" s="6"/>
      <c r="H2104" s="6"/>
      <c r="I2104" s="6">
        <v>6</v>
      </c>
      <c r="J2104" s="6">
        <v>6</v>
      </c>
      <c r="K2104" s="6">
        <v>8</v>
      </c>
      <c r="L2104" s="6">
        <v>8</v>
      </c>
      <c r="M2104" s="6"/>
      <c r="N2104" s="6"/>
      <c r="O2104" s="6"/>
      <c r="P2104" s="6"/>
      <c r="Q2104" s="6">
        <v>8</v>
      </c>
      <c r="R2104" s="6">
        <v>8</v>
      </c>
      <c r="S2104" s="35">
        <f>SUM(F2104:R2104)</f>
        <v>52</v>
      </c>
      <c r="T2104" s="35">
        <f>COUNT(F2104:R2104)</f>
        <v>7</v>
      </c>
      <c r="U2104" s="36">
        <f>IF(T2104&gt;=2,ROUND((IF(T2104=2,0.55,IF(T2104&lt;=4,0.7,IF(T2104&lt;=6,0.8,IF(T2104&lt;=9,0.9,1))))*(S2104/T2104)+(1-(IF(T2104=2,0.55,IF(T2104&lt;=4,0.7,IF(T2104&lt;=6,0.8,IF(T2104&lt;=9,0.9,1))))))*$Y$1),1),"")</f>
        <v>7.5</v>
      </c>
      <c r="V2104" s="37">
        <v>7.1</v>
      </c>
      <c r="W2104" s="38"/>
    </row>
    <row r="2105" ht="47.25" customHeight="1" spans="1:23" x14ac:dyDescent="0.25">
      <c r="A2105" s="31">
        <v>2466</v>
      </c>
      <c r="B2105" s="32" t="s">
        <v>2227</v>
      </c>
      <c r="C2105" s="33" t="s">
        <v>29</v>
      </c>
      <c r="D2105" s="34">
        <v>2022</v>
      </c>
      <c r="E2105" s="41"/>
      <c r="F2105" s="6">
        <v>8</v>
      </c>
      <c r="G2105" s="6"/>
      <c r="H2105" s="6">
        <v>8</v>
      </c>
      <c r="I2105" s="6"/>
      <c r="J2105" s="6"/>
      <c r="K2105" s="6"/>
      <c r="L2105" s="6">
        <v>8</v>
      </c>
      <c r="M2105" s="6">
        <v>8</v>
      </c>
      <c r="N2105" s="6"/>
      <c r="O2105" s="6"/>
      <c r="P2105" s="6"/>
      <c r="Q2105" s="6"/>
      <c r="R2105" s="6"/>
      <c r="S2105" s="35">
        <f>SUM(F2105:R2105)</f>
        <v>32</v>
      </c>
      <c r="T2105" s="35">
        <f>COUNT(F2105:R2105)</f>
        <v>4</v>
      </c>
      <c r="U2105" s="36">
        <f>IF(T2105&gt;=2,ROUND((IF(T2105=2,0.55,IF(T2105&lt;=4,0.7,IF(T2105&lt;=6,0.8,IF(T2105&lt;=9,0.9,1))))*(S2105/T2105)+(1-(IF(T2105=2,0.55,IF(T2105&lt;=4,0.7,IF(T2105&lt;=6,0.8,IF(T2105&lt;=9,0.9,1))))))*$Y$1),1),"")</f>
        <v>8</v>
      </c>
      <c r="V2105" s="37">
        <v>7.1</v>
      </c>
      <c r="W2105" s="38"/>
    </row>
    <row r="2106" ht="24" customHeight="1" spans="1:23" x14ac:dyDescent="0.25">
      <c r="A2106" s="40">
        <v>2176</v>
      </c>
      <c r="B2106" s="32" t="s">
        <v>2228</v>
      </c>
      <c r="C2106" s="33" t="s">
        <v>24</v>
      </c>
      <c r="D2106" s="34">
        <v>2006</v>
      </c>
      <c r="E2106" s="41"/>
      <c r="F2106" s="6"/>
      <c r="G2106" s="6">
        <v>7</v>
      </c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35">
        <f>SUM(F2106:R2106)</f>
        <v>7</v>
      </c>
      <c r="T2106" s="35">
        <f>COUNT(F2106:R2106)</f>
        <v>1</v>
      </c>
      <c r="U2106" s="36">
        <f>IF(T2106&gt;=2,ROUND((IF(T2106=2,0.55,IF(T2106&lt;=4,0.7,IF(T2106&lt;=6,0.8,IF(T2106&lt;=9,0.9,1))))*(S2106/T2106)+(1-(IF(T2106=2,0.55,IF(T2106&lt;=4,0.7,IF(T2106&lt;=6,0.8,IF(T2106&lt;=9,0.9,1))))))*$Y$1),1),"")</f>
      </c>
      <c r="V2106" s="37">
        <v>6.8</v>
      </c>
      <c r="W2106" s="38"/>
    </row>
    <row r="2107" ht="24" customHeight="1" spans="1:23" x14ac:dyDescent="0.25">
      <c r="A2107" s="40">
        <v>2409</v>
      </c>
      <c r="B2107" s="32" t="s">
        <v>2229</v>
      </c>
      <c r="C2107" s="33" t="s">
        <v>24</v>
      </c>
      <c r="D2107" s="34">
        <v>2025</v>
      </c>
      <c r="E2107" s="41"/>
      <c r="F2107" s="6">
        <v>7</v>
      </c>
      <c r="G2107" s="6"/>
      <c r="H2107" s="6">
        <v>7</v>
      </c>
      <c r="I2107" s="6"/>
      <c r="J2107" s="6">
        <v>8</v>
      </c>
      <c r="K2107" s="6">
        <v>7</v>
      </c>
      <c r="L2107" s="6">
        <v>8</v>
      </c>
      <c r="M2107" s="6"/>
      <c r="N2107" s="6"/>
      <c r="O2107" s="6"/>
      <c r="P2107" s="6"/>
      <c r="Q2107" s="6">
        <v>7</v>
      </c>
      <c r="R2107" s="6"/>
      <c r="S2107" s="35">
        <f>SUM(F2107:R2107)</f>
        <v>44</v>
      </c>
      <c r="T2107" s="35">
        <f>COUNT(F2107:R2107)</f>
        <v>6</v>
      </c>
      <c r="U2107" s="36">
        <f>IF(T2107&gt;=2,ROUND((IF(T2107=2,0.55,IF(T2107&lt;=4,0.7,IF(T2107&lt;=6,0.8,IF(T2107&lt;=9,0.9,1))))*(S2107/T2107)+(1-(IF(T2107=2,0.55,IF(T2107&lt;=4,0.7,IF(T2107&lt;=6,0.8,IF(T2107&lt;=9,0.9,1))))))*$Y$1),1),"")</f>
        <v>7.5</v>
      </c>
      <c r="V2107" s="37">
        <v>6.7</v>
      </c>
      <c r="W2107" s="38"/>
    </row>
    <row r="2108" ht="24" customHeight="1" spans="1:23" x14ac:dyDescent="0.25">
      <c r="A2108" s="31">
        <v>1279</v>
      </c>
      <c r="B2108" s="32" t="s">
        <v>2230</v>
      </c>
      <c r="C2108" s="33" t="s">
        <v>24</v>
      </c>
      <c r="D2108" s="34">
        <v>2019</v>
      </c>
      <c r="E2108" s="34" t="s">
        <v>27</v>
      </c>
      <c r="F2108" s="6"/>
      <c r="G2108" s="6"/>
      <c r="H2108" s="6"/>
      <c r="I2108" s="6"/>
      <c r="J2108" s="6">
        <v>8</v>
      </c>
      <c r="K2108" s="6"/>
      <c r="L2108" s="6"/>
      <c r="M2108" s="6"/>
      <c r="N2108" s="6"/>
      <c r="O2108" s="6"/>
      <c r="P2108" s="6"/>
      <c r="Q2108" s="6"/>
      <c r="R2108" s="6"/>
      <c r="S2108" s="35">
        <f>SUM(F2108:R2108)</f>
        <v>8</v>
      </c>
      <c r="T2108" s="35">
        <f>COUNT(F2108:R2108)</f>
        <v>1</v>
      </c>
      <c r="U2108" s="36">
        <f>IF(T2108&gt;=2,ROUND((IF(T2108=2,0.55,IF(T2108&lt;=4,0.7,IF(T2108&lt;=6,0.8,IF(T2108&lt;=9,0.9,1))))*(S2108/T2108)+(1-(IF(T2108=2,0.55,IF(T2108&lt;=4,0.7,IF(T2108&lt;=6,0.8,IF(T2108&lt;=9,0.9,1))))))*$Y$1),1),"")</f>
      </c>
      <c r="V2108" s="37">
        <v>7.3</v>
      </c>
      <c r="W2108" s="38"/>
    </row>
    <row r="2109" ht="24" customHeight="1" spans="1:23" x14ac:dyDescent="0.25">
      <c r="A2109" s="31">
        <v>945</v>
      </c>
      <c r="B2109" s="32" t="s">
        <v>2231</v>
      </c>
      <c r="C2109" s="33" t="s">
        <v>114</v>
      </c>
      <c r="D2109" s="34">
        <v>2019</v>
      </c>
      <c r="E2109" s="34" t="s">
        <v>2232</v>
      </c>
      <c r="F2109" s="6"/>
      <c r="G2109" s="6">
        <v>8</v>
      </c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35">
        <f>SUM(F2109:R2109)</f>
        <v>8</v>
      </c>
      <c r="T2109" s="35">
        <f>COUNT(F2109:R2109)</f>
        <v>1</v>
      </c>
      <c r="U2109" s="36">
        <f>IF(T2109&gt;=2,ROUND((IF(T2109=2,0.55,IF(T2109&lt;=4,0.7,IF(T2109&lt;=6,0.8,IF(T2109&lt;=9,0.9,1))))*(S2109/T2109)+(1-(IF(T2109=2,0.55,IF(T2109&lt;=4,0.7,IF(T2109&lt;=6,0.8,IF(T2109&lt;=9,0.9,1))))))*$Y$1),1),"")</f>
      </c>
      <c r="V2109" s="37">
        <v>7.5</v>
      </c>
      <c r="W2109" s="38"/>
    </row>
    <row r="2110" ht="24" customHeight="1" spans="1:23" x14ac:dyDescent="0.25">
      <c r="A2110" s="31">
        <v>884</v>
      </c>
      <c r="B2110" s="32" t="s">
        <v>2233</v>
      </c>
      <c r="C2110" s="33" t="s">
        <v>29</v>
      </c>
      <c r="D2110" s="34">
        <v>2020</v>
      </c>
      <c r="E2110" s="34" t="s">
        <v>30</v>
      </c>
      <c r="F2110" s="6">
        <v>6</v>
      </c>
      <c r="G2110" s="6"/>
      <c r="H2110" s="6"/>
      <c r="I2110" s="6"/>
      <c r="J2110" s="6"/>
      <c r="K2110" s="6"/>
      <c r="L2110" s="6">
        <v>6</v>
      </c>
      <c r="M2110" s="6"/>
      <c r="N2110" s="6"/>
      <c r="O2110" s="6"/>
      <c r="P2110" s="6"/>
      <c r="Q2110" s="6"/>
      <c r="R2110" s="6"/>
      <c r="S2110" s="35">
        <f>SUM(F2110:R2110)</f>
        <v>12</v>
      </c>
      <c r="T2110" s="35">
        <f>COUNT(F2110:R2110)</f>
        <v>2</v>
      </c>
      <c r="U2110" s="36">
        <f>IF(T2110&gt;=2,ROUND((IF(T2110=2,0.55,IF(T2110&lt;=4,0.7,IF(T2110&lt;=6,0.8,IF(T2110&lt;=9,0.9,1))))*(S2110/T2110)+(1-(IF(T2110=2,0.55,IF(T2110&lt;=4,0.7,IF(T2110&lt;=6,0.8,IF(T2110&lt;=9,0.9,1))))))*$Y$1),1),"")</f>
        <v>6.9</v>
      </c>
      <c r="V2110" s="37">
        <v>6.8</v>
      </c>
      <c r="W2110" s="38"/>
    </row>
    <row r="2111" ht="24" customHeight="1" spans="1:23" x14ac:dyDescent="0.25">
      <c r="A2111" s="31">
        <v>455</v>
      </c>
      <c r="B2111" s="32" t="s">
        <v>2234</v>
      </c>
      <c r="C2111" s="33" t="s">
        <v>24</v>
      </c>
      <c r="D2111" s="34">
        <v>2017</v>
      </c>
      <c r="E2111" s="34" t="s">
        <v>79</v>
      </c>
      <c r="F2111" s="6">
        <v>6</v>
      </c>
      <c r="G2111" s="6"/>
      <c r="H2111" s="6"/>
      <c r="I2111" s="6"/>
      <c r="J2111" s="6"/>
      <c r="K2111" s="6"/>
      <c r="L2111" s="6">
        <v>8</v>
      </c>
      <c r="M2111" s="6"/>
      <c r="N2111" s="6"/>
      <c r="O2111" s="6"/>
      <c r="P2111" s="6"/>
      <c r="Q2111" s="6"/>
      <c r="R2111" s="6"/>
      <c r="S2111" s="35">
        <f>SUM(F2111:R2111)</f>
        <v>14</v>
      </c>
      <c r="T2111" s="35">
        <f>COUNT(F2111:R2111)</f>
        <v>2</v>
      </c>
      <c r="U2111" s="36">
        <f>IF(T2111&gt;=2,ROUND((IF(T2111=2,0.55,IF(T2111&lt;=4,0.7,IF(T2111&lt;=6,0.8,IF(T2111&lt;=9,0.9,1))))*(S2111/T2111)+(1-(IF(T2111=2,0.55,IF(T2111&lt;=4,0.7,IF(T2111&lt;=6,0.8,IF(T2111&lt;=9,0.9,1))))))*$Y$1),1),"")</f>
        <v>7.5</v>
      </c>
      <c r="V2111" s="37">
        <v>5.8</v>
      </c>
      <c r="W2111" s="38"/>
    </row>
    <row r="2112" ht="24" customHeight="1" spans="1:23" x14ac:dyDescent="0.25">
      <c r="A2112" s="31">
        <v>448</v>
      </c>
      <c r="B2112" s="32" t="s">
        <v>2235</v>
      </c>
      <c r="C2112" s="33" t="s">
        <v>24</v>
      </c>
      <c r="D2112" s="34">
        <v>2011</v>
      </c>
      <c r="E2112" s="34" t="s">
        <v>2062</v>
      </c>
      <c r="F2112" s="6">
        <v>7</v>
      </c>
      <c r="G2112" s="6">
        <v>8</v>
      </c>
      <c r="H2112" s="6"/>
      <c r="I2112" s="6"/>
      <c r="J2112" s="6">
        <v>8</v>
      </c>
      <c r="K2112" s="6">
        <v>6</v>
      </c>
      <c r="L2112" s="6"/>
      <c r="M2112" s="6"/>
      <c r="N2112" s="6"/>
      <c r="O2112" s="6">
        <v>6</v>
      </c>
      <c r="P2112" s="6">
        <v>8</v>
      </c>
      <c r="Q2112" s="6">
        <v>6</v>
      </c>
      <c r="R2112" s="6"/>
      <c r="S2112" s="35">
        <f>SUM(F2112:R2112)</f>
        <v>49</v>
      </c>
      <c r="T2112" s="35">
        <f>COUNT(F2112:R2112)</f>
        <v>7</v>
      </c>
      <c r="U2112" s="36">
        <f>IF(T2112&gt;=2,ROUND((IF(T2112=2,0.55,IF(T2112&lt;=4,0.7,IF(T2112&lt;=6,0.8,IF(T2112&lt;=9,0.9,1))))*(S2112/T2112)+(1-(IF(T2112=2,0.55,IF(T2112&lt;=4,0.7,IF(T2112&lt;=6,0.8,IF(T2112&lt;=9,0.9,1))))))*$Y$1),1),"")</f>
        <v>7.1</v>
      </c>
      <c r="V2112" s="37">
        <v>6.6</v>
      </c>
      <c r="W2112" s="38"/>
    </row>
    <row r="2113" ht="24" customHeight="1" spans="1:23" x14ac:dyDescent="0.25">
      <c r="A2113" s="31">
        <v>1990</v>
      </c>
      <c r="B2113" s="32" t="s">
        <v>2236</v>
      </c>
      <c r="C2113" s="33" t="s">
        <v>24</v>
      </c>
      <c r="D2113" s="34">
        <v>1998</v>
      </c>
      <c r="E2113" s="34" t="s">
        <v>25</v>
      </c>
      <c r="F2113" s="6">
        <v>6</v>
      </c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35">
        <f>SUM(F2113:R2113)</f>
        <v>6</v>
      </c>
      <c r="T2113" s="35">
        <f>COUNT(F2113:R2113)</f>
        <v>1</v>
      </c>
      <c r="U2113" s="36">
        <f>IF(T2113&gt;=2,ROUND((IF(T2113=2,0.55,IF(T2113&lt;=4,0.7,IF(T2113&lt;=6,0.8,IF(T2113&lt;=9,0.9,1))))*(S2113/T2113)+(1-(IF(T2113=2,0.55,IF(T2113&lt;=4,0.7,IF(T2113&lt;=6,0.8,IF(T2113&lt;=9,0.9,1))))))*$Y$1),1),"")</f>
      </c>
      <c r="V2113" s="37">
        <v>6.3</v>
      </c>
      <c r="W2113" s="38"/>
    </row>
    <row r="2114" ht="24" customHeight="1" spans="1:23" x14ac:dyDescent="0.25">
      <c r="A2114" s="47">
        <v>380</v>
      </c>
      <c r="B2114" s="32" t="s">
        <v>2237</v>
      </c>
      <c r="C2114" s="48" t="s">
        <v>24</v>
      </c>
      <c r="D2114" s="49">
        <v>2015</v>
      </c>
      <c r="E2114" s="49" t="s">
        <v>2238</v>
      </c>
      <c r="F2114" s="6">
        <v>9</v>
      </c>
      <c r="G2114" s="6">
        <v>8</v>
      </c>
      <c r="H2114" s="6">
        <v>8</v>
      </c>
      <c r="I2114" s="6">
        <v>9</v>
      </c>
      <c r="J2114" s="6">
        <v>8</v>
      </c>
      <c r="K2114" s="6">
        <v>9</v>
      </c>
      <c r="L2114" s="6">
        <v>8</v>
      </c>
      <c r="M2114" s="6">
        <v>8</v>
      </c>
      <c r="N2114" s="6">
        <v>8</v>
      </c>
      <c r="O2114" s="6">
        <v>10</v>
      </c>
      <c r="P2114" s="6">
        <v>8</v>
      </c>
      <c r="Q2114" s="6">
        <v>9</v>
      </c>
      <c r="R2114" s="6"/>
      <c r="S2114" s="35">
        <f>SUM(F2114:R2114)</f>
        <v>102</v>
      </c>
      <c r="T2114" s="35">
        <f>COUNT(F2114:R2114)</f>
        <v>12</v>
      </c>
      <c r="U2114" s="36">
        <f>IF(T2114&gt;=2,ROUND((IF(T2114=2,0.55,IF(T2114&lt;=4,0.7,IF(T2114&lt;=6,0.8,IF(T2114&lt;=9,0.9,1))))*(S2114/T2114)+(1-(IF(T2114=2,0.55,IF(T2114&lt;=4,0.7,IF(T2114&lt;=6,0.8,IF(T2114&lt;=9,0.9,1))))))*$Y$1),1),"")</f>
        <v>8.5</v>
      </c>
      <c r="V2114" s="37">
        <v>7.3</v>
      </c>
      <c r="W2114" s="38" t="s">
        <v>44</v>
      </c>
    </row>
    <row r="2115" ht="24" customHeight="1" spans="1:23" x14ac:dyDescent="0.25">
      <c r="A2115" s="31">
        <v>6</v>
      </c>
      <c r="B2115" s="32" t="s">
        <v>2239</v>
      </c>
      <c r="C2115" s="33" t="s">
        <v>24</v>
      </c>
      <c r="D2115" s="34">
        <v>1984</v>
      </c>
      <c r="E2115" s="34" t="s">
        <v>25</v>
      </c>
      <c r="F2115" s="6">
        <v>6</v>
      </c>
      <c r="G2115" s="6">
        <v>6</v>
      </c>
      <c r="H2115" s="6">
        <v>10</v>
      </c>
      <c r="I2115" s="6">
        <v>8</v>
      </c>
      <c r="J2115" s="6">
        <v>8</v>
      </c>
      <c r="K2115" s="6">
        <v>10</v>
      </c>
      <c r="L2115" s="6">
        <v>6</v>
      </c>
      <c r="M2115" s="6">
        <v>8</v>
      </c>
      <c r="N2115" s="6">
        <v>10</v>
      </c>
      <c r="O2115" s="6">
        <v>6</v>
      </c>
      <c r="P2115" s="6">
        <v>6</v>
      </c>
      <c r="Q2115" s="6">
        <v>10</v>
      </c>
      <c r="R2115" s="6"/>
      <c r="S2115" s="35">
        <f>SUM(F2115:R2115)</f>
        <v>94</v>
      </c>
      <c r="T2115" s="35">
        <f>COUNT(F2115:R2115)</f>
        <v>12</v>
      </c>
      <c r="U2115" s="36">
        <f>IF(T2115&gt;=2,ROUND((IF(T2115=2,0.55,IF(T2115&lt;=4,0.7,IF(T2115&lt;=6,0.8,IF(T2115&lt;=9,0.9,1))))*(S2115/T2115)+(1-(IF(T2115=2,0.55,IF(T2115&lt;=4,0.7,IF(T2115&lt;=6,0.8,IF(T2115&lt;=9,0.9,1))))))*$Y$1),1),"")</f>
        <v>7.8</v>
      </c>
      <c r="V2115" s="37">
        <v>6</v>
      </c>
      <c r="W2115" s="38"/>
    </row>
    <row r="2116" ht="24" customHeight="1" spans="1:23" x14ac:dyDescent="0.25">
      <c r="A2116" s="31">
        <v>297</v>
      </c>
      <c r="B2116" s="32" t="s">
        <v>2240</v>
      </c>
      <c r="C2116" s="33" t="s">
        <v>114</v>
      </c>
      <c r="D2116" s="34">
        <v>2014</v>
      </c>
      <c r="E2116" s="34" t="s">
        <v>137</v>
      </c>
      <c r="F2116" s="6">
        <v>6</v>
      </c>
      <c r="G2116" s="6"/>
      <c r="H2116" s="6"/>
      <c r="I2116" s="6"/>
      <c r="J2116" s="6"/>
      <c r="K2116" s="6">
        <v>6</v>
      </c>
      <c r="L2116" s="6">
        <v>6</v>
      </c>
      <c r="M2116" s="6"/>
      <c r="N2116" s="6"/>
      <c r="O2116" s="6"/>
      <c r="P2116" s="6"/>
      <c r="Q2116" s="6">
        <v>6</v>
      </c>
      <c r="R2116" s="6"/>
      <c r="S2116" s="35">
        <f>SUM(F2116:R2116)</f>
        <v>24</v>
      </c>
      <c r="T2116" s="35">
        <f>COUNT(F2116:R2116)</f>
        <v>4</v>
      </c>
      <c r="U2116" s="36">
        <f>IF(T2116&gt;=2,ROUND((IF(T2116=2,0.55,IF(T2116&lt;=4,0.7,IF(T2116&lt;=6,0.8,IF(T2116&lt;=9,0.9,1))))*(S2116/T2116)+(1-(IF(T2116=2,0.55,IF(T2116&lt;=4,0.7,IF(T2116&lt;=6,0.8,IF(T2116&lt;=9,0.9,1))))))*$Y$1),1),"")</f>
        <v>6.6</v>
      </c>
      <c r="V2116" s="37">
        <v>7.6</v>
      </c>
      <c r="W2116" s="38"/>
    </row>
    <row r="2117" ht="24" customHeight="1" spans="1:23" x14ac:dyDescent="0.25">
      <c r="A2117" s="40">
        <v>2251</v>
      </c>
      <c r="B2117" s="32" t="s">
        <v>2241</v>
      </c>
      <c r="C2117" s="33" t="s">
        <v>24</v>
      </c>
      <c r="D2117" s="34">
        <v>2009</v>
      </c>
      <c r="E2117" s="41"/>
      <c r="F2117" s="6"/>
      <c r="G2117" s="6">
        <v>7</v>
      </c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35">
        <f>SUM(F2117:R2117)</f>
        <v>7</v>
      </c>
      <c r="T2117" s="35">
        <f>COUNT(F2117:R2117)</f>
        <v>1</v>
      </c>
      <c r="U2117" s="36">
        <f>IF(T2117&gt;=2,ROUND((IF(T2117=2,0.55,IF(T2117&lt;=4,0.7,IF(T2117&lt;=6,0.8,IF(T2117&lt;=9,0.9,1))))*(S2117/T2117)+(1-(IF(T2117=2,0.55,IF(T2117&lt;=4,0.7,IF(T2117&lt;=6,0.8,IF(T2117&lt;=9,0.9,1))))))*$Y$1),1),"")</f>
      </c>
      <c r="V2117" s="37">
        <v>7.3</v>
      </c>
      <c r="W2117" s="38"/>
    </row>
    <row r="2118" ht="24" customHeight="1" spans="1:23" x14ac:dyDescent="0.25">
      <c r="A2118" s="31">
        <v>345</v>
      </c>
      <c r="B2118" s="32" t="s">
        <v>2241</v>
      </c>
      <c r="C2118" s="33" t="s">
        <v>24</v>
      </c>
      <c r="D2118" s="34">
        <v>2016</v>
      </c>
      <c r="E2118" s="34" t="s">
        <v>179</v>
      </c>
      <c r="F2118" s="6"/>
      <c r="G2118" s="6">
        <v>8</v>
      </c>
      <c r="H2118" s="6"/>
      <c r="I2118" s="6"/>
      <c r="J2118" s="6"/>
      <c r="K2118" s="6">
        <v>6</v>
      </c>
      <c r="L2118" s="6">
        <v>8</v>
      </c>
      <c r="M2118" s="6"/>
      <c r="N2118" s="6"/>
      <c r="O2118" s="6"/>
      <c r="P2118" s="6">
        <v>8</v>
      </c>
      <c r="Q2118" s="6">
        <v>6</v>
      </c>
      <c r="R2118" s="6"/>
      <c r="S2118" s="35">
        <f>SUM(F2118:R2118)</f>
        <v>36</v>
      </c>
      <c r="T2118" s="35">
        <f>COUNT(F2118:R2118)</f>
        <v>5</v>
      </c>
      <c r="U2118" s="36">
        <f>IF(T2118&gt;=2,ROUND((IF(T2118=2,0.55,IF(T2118&lt;=4,0.7,IF(T2118&lt;=6,0.8,IF(T2118&lt;=9,0.9,1))))*(S2118/T2118)+(1-(IF(T2118=2,0.55,IF(T2118&lt;=4,0.7,IF(T2118&lt;=6,0.8,IF(T2118&lt;=9,0.9,1))))))*$Y$1),1),"")</f>
        <v>7.4</v>
      </c>
      <c r="V2118" s="37">
        <v>8.1</v>
      </c>
      <c r="W2118" s="38"/>
    </row>
    <row r="2119" ht="24" customHeight="1" spans="1:23" x14ac:dyDescent="0.25">
      <c r="A2119" s="31">
        <v>1067</v>
      </c>
      <c r="B2119" s="32" t="s">
        <v>2242</v>
      </c>
      <c r="C2119" s="33" t="s">
        <v>260</v>
      </c>
      <c r="D2119" s="34">
        <v>2021</v>
      </c>
      <c r="E2119" s="34" t="s">
        <v>30</v>
      </c>
      <c r="F2119" s="6">
        <v>8</v>
      </c>
      <c r="G2119" s="6"/>
      <c r="H2119" s="6">
        <v>8</v>
      </c>
      <c r="I2119" s="6"/>
      <c r="J2119" s="6">
        <v>8</v>
      </c>
      <c r="K2119" s="6"/>
      <c r="L2119" s="6">
        <v>8</v>
      </c>
      <c r="M2119" s="6"/>
      <c r="N2119" s="6"/>
      <c r="O2119" s="6">
        <v>8</v>
      </c>
      <c r="P2119" s="6"/>
      <c r="Q2119" s="6"/>
      <c r="R2119" s="6"/>
      <c r="S2119" s="35">
        <f>SUM(F2119:R2119)</f>
        <v>40</v>
      </c>
      <c r="T2119" s="35">
        <f>COUNT(F2119:R2119)</f>
        <v>5</v>
      </c>
      <c r="U2119" s="36">
        <f>IF(T2119&gt;=2,ROUND((IF(T2119=2,0.55,IF(T2119&lt;=4,0.7,IF(T2119&lt;=6,0.8,IF(T2119&lt;=9,0.9,1))))*(S2119/T2119)+(1-(IF(T2119=2,0.55,IF(T2119&lt;=4,0.7,IF(T2119&lt;=6,0.8,IF(T2119&lt;=9,0.9,1))))))*$Y$1),1),"")</f>
        <v>8</v>
      </c>
      <c r="V2119" s="37">
        <v>7.4</v>
      </c>
      <c r="W2119" s="38"/>
    </row>
    <row r="2120" ht="24" customHeight="1" spans="1:23" x14ac:dyDescent="0.25">
      <c r="A2120" s="31">
        <v>167</v>
      </c>
      <c r="B2120" s="32" t="s">
        <v>2243</v>
      </c>
      <c r="C2120" s="33" t="s">
        <v>24</v>
      </c>
      <c r="D2120" s="34">
        <v>1985</v>
      </c>
      <c r="E2120" s="34" t="s">
        <v>2244</v>
      </c>
      <c r="F2120" s="6">
        <v>10</v>
      </c>
      <c r="G2120" s="6">
        <v>9</v>
      </c>
      <c r="H2120" s="6">
        <v>10</v>
      </c>
      <c r="I2120" s="6">
        <v>10</v>
      </c>
      <c r="J2120" s="6">
        <v>10</v>
      </c>
      <c r="K2120" s="6">
        <v>10</v>
      </c>
      <c r="L2120" s="6">
        <v>10</v>
      </c>
      <c r="M2120" s="6">
        <v>8</v>
      </c>
      <c r="N2120" s="6"/>
      <c r="O2120" s="6">
        <v>10</v>
      </c>
      <c r="P2120" s="6">
        <v>10</v>
      </c>
      <c r="Q2120" s="6">
        <v>10</v>
      </c>
      <c r="R2120" s="6">
        <v>10</v>
      </c>
      <c r="S2120" s="35">
        <f>SUM(F2120:R2120)</f>
        <v>117</v>
      </c>
      <c r="T2120" s="35">
        <f>COUNT(F2120:R2120)</f>
        <v>12</v>
      </c>
      <c r="U2120" s="36">
        <f>IF(T2120&gt;=2,ROUND((IF(T2120=2,0.55,IF(T2120&lt;=4,0.7,IF(T2120&lt;=6,0.8,IF(T2120&lt;=9,0.9,1))))*(S2120/T2120)+(1-(IF(T2120=2,0.55,IF(T2120&lt;=4,0.7,IF(T2120&lt;=6,0.8,IF(T2120&lt;=9,0.9,1))))))*$Y$1),1),"")</f>
        <v>9.8</v>
      </c>
      <c r="V2120" s="37">
        <v>7.7</v>
      </c>
      <c r="W2120" s="38"/>
    </row>
    <row r="2121" ht="24" customHeight="1" spans="1:23" x14ac:dyDescent="0.25">
      <c r="A2121" s="40">
        <v>2075</v>
      </c>
      <c r="B2121" s="32" t="s">
        <v>2245</v>
      </c>
      <c r="C2121" s="33" t="s">
        <v>24</v>
      </c>
      <c r="D2121" s="34">
        <v>1974</v>
      </c>
      <c r="E2121" s="41"/>
      <c r="F2121" s="6"/>
      <c r="G2121" s="6">
        <v>7</v>
      </c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35">
        <f>SUM(F2121:R2121)</f>
        <v>7</v>
      </c>
      <c r="T2121" s="35">
        <f>COUNT(F2121:R2121)</f>
        <v>1</v>
      </c>
      <c r="U2121" s="36">
        <f>IF(T2121&gt;=2,ROUND((IF(T2121=2,0.55,IF(T2121&lt;=4,0.7,IF(T2121&lt;=6,0.8,IF(T2121&lt;=9,0.9,1))))*(S2121/T2121)+(1-(IF(T2121=2,0.55,IF(T2121&lt;=4,0.7,IF(T2121&lt;=6,0.8,IF(T2121&lt;=9,0.9,1))))))*$Y$1),1),"")</f>
      </c>
      <c r="V2121" s="37">
        <v>7.7</v>
      </c>
      <c r="W2121" s="38"/>
    </row>
    <row r="2122" ht="24" customHeight="1" spans="1:23" x14ac:dyDescent="0.25">
      <c r="A2122" s="40">
        <v>2175</v>
      </c>
      <c r="B2122" s="32" t="s">
        <v>2246</v>
      </c>
      <c r="C2122" s="33" t="s">
        <v>24</v>
      </c>
      <c r="D2122" s="34">
        <v>2006</v>
      </c>
      <c r="E2122" s="41"/>
      <c r="F2122" s="6"/>
      <c r="G2122" s="6">
        <v>7</v>
      </c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35">
        <f>SUM(F2122:R2122)</f>
        <v>7</v>
      </c>
      <c r="T2122" s="35">
        <f>COUNT(F2122:R2122)</f>
        <v>1</v>
      </c>
      <c r="U2122" s="36">
        <f>IF(T2122&gt;=2,ROUND((IF(T2122=2,0.55,IF(T2122&lt;=4,0.7,IF(T2122&lt;=6,0.8,IF(T2122&lt;=9,0.9,1))))*(S2122/T2122)+(1-(IF(T2122=2,0.55,IF(T2122&lt;=4,0.7,IF(T2122&lt;=6,0.8,IF(T2122&lt;=9,0.9,1))))))*$Y$1),1),"")</f>
      </c>
      <c r="V2122" s="37">
        <v>7.1</v>
      </c>
      <c r="W2122" s="38"/>
    </row>
    <row r="2123" ht="24" customHeight="1" spans="1:23" x14ac:dyDescent="0.25">
      <c r="A2123" s="31">
        <v>2456</v>
      </c>
      <c r="B2123" s="32" t="s">
        <v>2247</v>
      </c>
      <c r="C2123" s="33" t="s">
        <v>24</v>
      </c>
      <c r="D2123" s="34">
        <v>2026</v>
      </c>
      <c r="E2123" s="41"/>
      <c r="F2123" s="6"/>
      <c r="G2123" s="6"/>
      <c r="H2123" s="6"/>
      <c r="I2123" s="6"/>
      <c r="J2123" s="6"/>
      <c r="K2123" s="6">
        <v>7.5</v>
      </c>
      <c r="L2123" s="6"/>
      <c r="M2123" s="6"/>
      <c r="N2123" s="6">
        <v>8</v>
      </c>
      <c r="O2123" s="6"/>
      <c r="P2123" s="6"/>
      <c r="Q2123" s="6">
        <v>7.5</v>
      </c>
      <c r="R2123" s="6"/>
      <c r="S2123" s="35">
        <f>SUM(F2123:R2123)</f>
        <v>23</v>
      </c>
      <c r="T2123" s="35">
        <f>COUNT(F2123:R2123)</f>
        <v>3</v>
      </c>
      <c r="U2123" s="36">
        <f>IF(T2123&gt;=2,ROUND((IF(T2123=2,0.55,IF(T2123&lt;=4,0.7,IF(T2123&lt;=6,0.8,IF(T2123&lt;=9,0.9,1))))*(S2123/T2123)+(1-(IF(T2123=2,0.55,IF(T2123&lt;=4,0.7,IF(T2123&lt;=6,0.8,IF(T2123&lt;=9,0.9,1))))))*$Y$1),1),"")</f>
        <v>7.8</v>
      </c>
      <c r="V2123" s="37">
        <v>6.9</v>
      </c>
      <c r="W2123" s="38"/>
    </row>
    <row r="2124" ht="24" customHeight="1" spans="1:23" s="39" customFormat="1" x14ac:dyDescent="0.25">
      <c r="A2124" s="31">
        <v>866</v>
      </c>
      <c r="B2124" s="32" t="s">
        <v>2248</v>
      </c>
      <c r="C2124" s="33" t="s">
        <v>24</v>
      </c>
      <c r="D2124" s="34">
        <v>2016</v>
      </c>
      <c r="E2124" s="34" t="s">
        <v>25</v>
      </c>
      <c r="F2124" s="6">
        <v>7</v>
      </c>
      <c r="G2124" s="6">
        <v>8</v>
      </c>
      <c r="H2124" s="6"/>
      <c r="I2124" s="6"/>
      <c r="J2124" s="6"/>
      <c r="K2124" s="6"/>
      <c r="L2124" s="6"/>
      <c r="M2124" s="6"/>
      <c r="N2124" s="6"/>
      <c r="O2124" s="6">
        <v>8</v>
      </c>
      <c r="P2124" s="6">
        <v>8</v>
      </c>
      <c r="Q2124" s="6"/>
      <c r="R2124" s="6"/>
      <c r="S2124" s="35">
        <f>SUM(F2124:R2124)</f>
        <v>31</v>
      </c>
      <c r="T2124" s="35">
        <f>COUNT(F2124:R2124)</f>
        <v>4</v>
      </c>
      <c r="U2124" s="36">
        <f>IF(T2124&gt;=2,ROUND((IF(T2124=2,0.55,IF(T2124&lt;=4,0.7,IF(T2124&lt;=6,0.8,IF(T2124&lt;=9,0.9,1))))*(S2124/T2124)+(1-(IF(T2124=2,0.55,IF(T2124&lt;=4,0.7,IF(T2124&lt;=6,0.8,IF(T2124&lt;=9,0.9,1))))))*$Y$1),1),"")</f>
        <v>7.9</v>
      </c>
      <c r="V2124" s="37">
        <v>7.9</v>
      </c>
      <c r="W2124" s="38"/>
    </row>
    <row r="2125" ht="47.25" customHeight="1" spans="1:23" x14ac:dyDescent="0.25">
      <c r="A2125" s="31">
        <v>1228</v>
      </c>
      <c r="B2125" s="32" t="s">
        <v>2249</v>
      </c>
      <c r="C2125" s="33" t="s">
        <v>24</v>
      </c>
      <c r="D2125" s="34">
        <v>2010</v>
      </c>
      <c r="E2125" s="34" t="s">
        <v>179</v>
      </c>
      <c r="F2125" s="6">
        <v>10</v>
      </c>
      <c r="G2125" s="6">
        <v>8</v>
      </c>
      <c r="H2125" s="6"/>
      <c r="I2125" s="6"/>
      <c r="J2125" s="6">
        <v>10</v>
      </c>
      <c r="K2125" s="6">
        <v>10</v>
      </c>
      <c r="L2125" s="6">
        <v>10</v>
      </c>
      <c r="M2125" s="6">
        <v>8</v>
      </c>
      <c r="N2125" s="6"/>
      <c r="O2125" s="6"/>
      <c r="P2125" s="6">
        <v>8</v>
      </c>
      <c r="Q2125" s="6">
        <v>10</v>
      </c>
      <c r="R2125" s="6"/>
      <c r="S2125" s="35">
        <f>SUM(F2125:R2125)</f>
        <v>74</v>
      </c>
      <c r="T2125" s="35">
        <f>COUNT(F2125:R2125)</f>
        <v>8</v>
      </c>
      <c r="U2125" s="36">
        <f>IF(T2125&gt;=2,ROUND((IF(T2125=2,0.55,IF(T2125&lt;=4,0.7,IF(T2125&lt;=6,0.8,IF(T2125&lt;=9,0.9,1))))*(S2125/T2125)+(1-(IF(T2125=2,0.55,IF(T2125&lt;=4,0.7,IF(T2125&lt;=6,0.8,IF(T2125&lt;=9,0.9,1))))))*$Y$1),1),"")</f>
        <v>9.1</v>
      </c>
      <c r="V2125" s="37">
        <v>7.5</v>
      </c>
      <c r="W2125" s="38"/>
    </row>
    <row r="2126" ht="24" customHeight="1" spans="1:23" x14ac:dyDescent="0.25">
      <c r="A2126" s="31">
        <v>197</v>
      </c>
      <c r="B2126" s="32" t="s">
        <v>2250</v>
      </c>
      <c r="C2126" s="33" t="s">
        <v>24</v>
      </c>
      <c r="D2126" s="34">
        <v>2015</v>
      </c>
      <c r="E2126" s="34" t="s">
        <v>25</v>
      </c>
      <c r="F2126" s="6">
        <v>10</v>
      </c>
      <c r="G2126" s="6">
        <v>9</v>
      </c>
      <c r="H2126" s="6"/>
      <c r="I2126" s="6"/>
      <c r="J2126" s="6">
        <v>10</v>
      </c>
      <c r="K2126" s="6">
        <v>9</v>
      </c>
      <c r="L2126" s="6">
        <v>9</v>
      </c>
      <c r="M2126" s="6"/>
      <c r="N2126" s="6"/>
      <c r="O2126" s="6"/>
      <c r="P2126" s="6"/>
      <c r="Q2126" s="6">
        <v>9</v>
      </c>
      <c r="R2126" s="6"/>
      <c r="S2126" s="35">
        <f>SUM(F2126:R2126)</f>
        <v>56</v>
      </c>
      <c r="T2126" s="35">
        <f>COUNT(F2126:R2126)</f>
        <v>6</v>
      </c>
      <c r="U2126" s="36">
        <f>IF(T2126&gt;=2,ROUND((IF(T2126=2,0.55,IF(T2126&lt;=4,0.7,IF(T2126&lt;=6,0.8,IF(T2126&lt;=9,0.9,1))))*(S2126/T2126)+(1-(IF(T2126=2,0.55,IF(T2126&lt;=4,0.7,IF(T2126&lt;=6,0.8,IF(T2126&lt;=9,0.9,1))))))*$Y$1),1),"")</f>
        <v>9.1</v>
      </c>
      <c r="V2126" s="37">
        <v>8.2</v>
      </c>
      <c r="W2126" s="38"/>
    </row>
    <row r="2127" ht="24" customHeight="1" spans="1:23" x14ac:dyDescent="0.25">
      <c r="A2127" s="31">
        <v>764</v>
      </c>
      <c r="B2127" s="32" t="s">
        <v>2251</v>
      </c>
      <c r="C2127" s="33" t="s">
        <v>24</v>
      </c>
      <c r="D2127" s="34">
        <v>2019</v>
      </c>
      <c r="E2127" s="34" t="s">
        <v>52</v>
      </c>
      <c r="F2127" s="6"/>
      <c r="G2127" s="6"/>
      <c r="H2127" s="6"/>
      <c r="I2127" s="6"/>
      <c r="J2127" s="6"/>
      <c r="K2127" s="6">
        <v>8</v>
      </c>
      <c r="L2127" s="6"/>
      <c r="M2127" s="6"/>
      <c r="N2127" s="6"/>
      <c r="O2127" s="6"/>
      <c r="P2127" s="6"/>
      <c r="Q2127" s="6">
        <v>8</v>
      </c>
      <c r="R2127" s="6"/>
      <c r="S2127" s="35">
        <f>SUM(F2127:R2127)</f>
        <v>16</v>
      </c>
      <c r="T2127" s="35">
        <f>COUNT(F2127:R2127)</f>
        <v>2</v>
      </c>
      <c r="U2127" s="36">
        <f>IF(T2127&gt;=2,ROUND((IF(T2127=2,0.55,IF(T2127&lt;=4,0.7,IF(T2127&lt;=6,0.8,IF(T2127&lt;=9,0.9,1))))*(S2127/T2127)+(1-(IF(T2127=2,0.55,IF(T2127&lt;=4,0.7,IF(T2127&lt;=6,0.8,IF(T2127&lt;=9,0.9,1))))))*$Y$1),1),"")</f>
        <v>8</v>
      </c>
      <c r="V2127" s="37">
        <v>6.9</v>
      </c>
      <c r="W2127" s="38"/>
    </row>
    <row r="2128" ht="24" customHeight="1" spans="1:23" x14ac:dyDescent="0.25">
      <c r="A2128" s="31">
        <v>909</v>
      </c>
      <c r="B2128" s="32" t="s">
        <v>2252</v>
      </c>
      <c r="C2128" s="33" t="s">
        <v>29</v>
      </c>
      <c r="D2128" s="34">
        <v>2018</v>
      </c>
      <c r="E2128" s="34" t="s">
        <v>30</v>
      </c>
      <c r="F2128" s="6">
        <v>8</v>
      </c>
      <c r="G2128" s="6"/>
      <c r="H2128" s="6">
        <v>8</v>
      </c>
      <c r="I2128" s="6"/>
      <c r="J2128" s="6"/>
      <c r="K2128" s="6"/>
      <c r="L2128" s="6">
        <v>8</v>
      </c>
      <c r="M2128" s="6"/>
      <c r="N2128" s="6"/>
      <c r="O2128" s="6"/>
      <c r="P2128" s="6"/>
      <c r="Q2128" s="6"/>
      <c r="R2128" s="6"/>
      <c r="S2128" s="35">
        <f>SUM(F2128:R2128)</f>
        <v>24</v>
      </c>
      <c r="T2128" s="35">
        <f>COUNT(F2128:R2128)</f>
        <v>3</v>
      </c>
      <c r="U2128" s="36">
        <f>IF(T2128&gt;=2,ROUND((IF(T2128=2,0.55,IF(T2128&lt;=4,0.7,IF(T2128&lt;=6,0.8,IF(T2128&lt;=9,0.9,1))))*(S2128/T2128)+(1-(IF(T2128=2,0.55,IF(T2128&lt;=4,0.7,IF(T2128&lt;=6,0.8,IF(T2128&lt;=9,0.9,1))))))*$Y$1),1),"")</f>
        <v>8</v>
      </c>
      <c r="V2128" s="37">
        <v>7.5</v>
      </c>
      <c r="W2128" s="38"/>
    </row>
    <row r="2129" ht="24" customHeight="1" spans="1:23" x14ac:dyDescent="0.25">
      <c r="A2129" s="40">
        <v>2174</v>
      </c>
      <c r="B2129" s="32" t="s">
        <v>2253</v>
      </c>
      <c r="C2129" s="33" t="s">
        <v>24</v>
      </c>
      <c r="D2129" s="34">
        <v>2006</v>
      </c>
      <c r="E2129" s="41"/>
      <c r="F2129" s="6"/>
      <c r="G2129" s="6">
        <v>7</v>
      </c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35">
        <f>SUM(F2129:R2129)</f>
        <v>7</v>
      </c>
      <c r="T2129" s="35">
        <f>COUNT(F2129:R2129)</f>
        <v>1</v>
      </c>
      <c r="U2129" s="36">
        <f>IF(T2129&gt;=2,ROUND((IF(T2129=2,0.55,IF(T2129&lt;=4,0.7,IF(T2129&lt;=6,0.8,IF(T2129&lt;=9,0.9,1))))*(S2129/T2129)+(1-(IF(T2129=2,0.55,IF(T2129&lt;=4,0.7,IF(T2129&lt;=6,0.8,IF(T2129&lt;=9,0.9,1))))))*$Y$1),1),"")</f>
      </c>
      <c r="V2129" s="37">
        <v>6.7</v>
      </c>
      <c r="W2129" s="38"/>
    </row>
    <row r="2130" ht="24" customHeight="1" spans="1:23" x14ac:dyDescent="0.25">
      <c r="A2130" s="31">
        <v>378</v>
      </c>
      <c r="B2130" s="32" t="s">
        <v>2254</v>
      </c>
      <c r="C2130" s="33" t="s">
        <v>24</v>
      </c>
      <c r="D2130" s="34">
        <v>1993</v>
      </c>
      <c r="E2130" s="34" t="s">
        <v>2255</v>
      </c>
      <c r="F2130" s="6"/>
      <c r="G2130" s="6"/>
      <c r="H2130" s="6"/>
      <c r="I2130" s="6"/>
      <c r="J2130" s="6"/>
      <c r="K2130" s="6"/>
      <c r="L2130" s="6">
        <v>10</v>
      </c>
      <c r="M2130" s="6"/>
      <c r="N2130" s="6"/>
      <c r="O2130" s="6"/>
      <c r="P2130" s="6"/>
      <c r="Q2130" s="6"/>
      <c r="R2130" s="6"/>
      <c r="S2130" s="35">
        <f>SUM(F2130:R2130)</f>
        <v>10</v>
      </c>
      <c r="T2130" s="35">
        <f>COUNT(F2130:R2130)</f>
        <v>1</v>
      </c>
      <c r="U2130" s="36">
        <f>IF(T2130&gt;=2,ROUND((IF(T2130=2,0.55,IF(T2130&lt;=4,0.7,IF(T2130&lt;=6,0.8,IF(T2130&lt;=9,0.9,1))))*(S2130/T2130)+(1-(IF(T2130=2,0.55,IF(T2130&lt;=4,0.7,IF(T2130&lt;=6,0.8,IF(T2130&lt;=9,0.9,1))))))*$Y$1),1),"")</f>
      </c>
      <c r="V2130" s="37">
        <v>6.9</v>
      </c>
      <c r="W2130" s="38"/>
    </row>
    <row r="2131" ht="24" customHeight="1" spans="1:23" x14ac:dyDescent="0.25">
      <c r="A2131" s="31">
        <v>577</v>
      </c>
      <c r="B2131" s="32" t="s">
        <v>2256</v>
      </c>
      <c r="C2131" s="33" t="s">
        <v>29</v>
      </c>
      <c r="D2131" s="34">
        <v>2018</v>
      </c>
      <c r="E2131" s="34" t="s">
        <v>30</v>
      </c>
      <c r="F2131" s="6"/>
      <c r="G2131" s="6"/>
      <c r="H2131" s="6"/>
      <c r="I2131" s="6">
        <v>6</v>
      </c>
      <c r="J2131" s="6"/>
      <c r="K2131" s="6"/>
      <c r="L2131" s="6"/>
      <c r="M2131" s="6">
        <v>6</v>
      </c>
      <c r="N2131" s="6"/>
      <c r="O2131" s="6"/>
      <c r="P2131" s="6"/>
      <c r="Q2131" s="6"/>
      <c r="R2131" s="6"/>
      <c r="S2131" s="35">
        <f>SUM(F2131:R2131)</f>
        <v>12</v>
      </c>
      <c r="T2131" s="35">
        <f>COUNT(F2131:R2131)</f>
        <v>2</v>
      </c>
      <c r="U2131" s="36">
        <f>IF(T2131&gt;=2,ROUND((IF(T2131=2,0.55,IF(T2131&lt;=4,0.7,IF(T2131&lt;=6,0.8,IF(T2131&lt;=9,0.9,1))))*(S2131/T2131)+(1-(IF(T2131=2,0.55,IF(T2131&lt;=4,0.7,IF(T2131&lt;=6,0.8,IF(T2131&lt;=9,0.9,1))))))*$Y$1),1),"")</f>
        <v>6.9</v>
      </c>
      <c r="V2131" s="37">
        <v>7.5</v>
      </c>
      <c r="W2131" s="38"/>
    </row>
    <row r="2132" ht="47.25" customHeight="1" spans="1:23" x14ac:dyDescent="0.25">
      <c r="A2132" s="31">
        <v>445</v>
      </c>
      <c r="B2132" s="32" t="s">
        <v>2257</v>
      </c>
      <c r="C2132" s="33" t="s">
        <v>24</v>
      </c>
      <c r="D2132" s="34">
        <v>2012</v>
      </c>
      <c r="E2132" s="34" t="s">
        <v>25</v>
      </c>
      <c r="F2132" s="6">
        <v>8</v>
      </c>
      <c r="G2132" s="6">
        <v>8</v>
      </c>
      <c r="H2132" s="6">
        <v>8</v>
      </c>
      <c r="I2132" s="6">
        <v>8</v>
      </c>
      <c r="J2132" s="6">
        <v>8</v>
      </c>
      <c r="K2132" s="6">
        <v>8</v>
      </c>
      <c r="L2132" s="6">
        <v>8</v>
      </c>
      <c r="M2132" s="6">
        <v>8</v>
      </c>
      <c r="N2132" s="6">
        <v>8</v>
      </c>
      <c r="O2132" s="6">
        <v>8</v>
      </c>
      <c r="P2132" s="6">
        <v>8</v>
      </c>
      <c r="Q2132" s="6">
        <v>8</v>
      </c>
      <c r="R2132" s="6">
        <v>8</v>
      </c>
      <c r="S2132" s="35">
        <f>SUM(F2132:R2132)</f>
        <v>104</v>
      </c>
      <c r="T2132" s="35">
        <f>COUNT(F2132:R2132)</f>
        <v>13</v>
      </c>
      <c r="U2132" s="36">
        <f>IF(T2132&gt;=2,ROUND((IF(T2132=2,0.55,IF(T2132&lt;=4,0.7,IF(T2132&lt;=6,0.8,IF(T2132&lt;=9,0.9,1))))*(S2132/T2132)+(1-(IF(T2132=2,0.55,IF(T2132&lt;=4,0.7,IF(T2132&lt;=6,0.8,IF(T2132&lt;=9,0.9,1))))))*$Y$1),1),"")</f>
        <v>8</v>
      </c>
      <c r="V2132" s="37">
        <v>8.3</v>
      </c>
      <c r="W2132" s="38"/>
    </row>
    <row r="2133" ht="24" customHeight="1" spans="1:23" x14ac:dyDescent="0.25">
      <c r="A2133" s="31">
        <v>303</v>
      </c>
      <c r="B2133" s="32" t="s">
        <v>2258</v>
      </c>
      <c r="C2133" s="33" t="s">
        <v>24</v>
      </c>
      <c r="D2133" s="34">
        <v>2017</v>
      </c>
      <c r="E2133" s="34" t="s">
        <v>137</v>
      </c>
      <c r="F2133" s="6"/>
      <c r="G2133" s="6"/>
      <c r="H2133" s="6"/>
      <c r="I2133" s="6"/>
      <c r="J2133" s="6">
        <v>6</v>
      </c>
      <c r="K2133" s="6"/>
      <c r="L2133" s="6"/>
      <c r="M2133" s="6"/>
      <c r="N2133" s="6"/>
      <c r="O2133" s="6">
        <v>7</v>
      </c>
      <c r="P2133" s="6"/>
      <c r="Q2133" s="6"/>
      <c r="R2133" s="6"/>
      <c r="S2133" s="35">
        <f>SUM(F2133:R2133)</f>
        <v>13</v>
      </c>
      <c r="T2133" s="35">
        <f>COUNT(F2133:R2133)</f>
        <v>2</v>
      </c>
      <c r="U2133" s="36">
        <f>IF(T2133&gt;=2,ROUND((IF(T2133=2,0.55,IF(T2133&lt;=4,0.7,IF(T2133&lt;=6,0.8,IF(T2133&lt;=9,0.9,1))))*(S2133/T2133)+(1-(IF(T2133=2,0.55,IF(T2133&lt;=4,0.7,IF(T2133&lt;=6,0.8,IF(T2133&lt;=9,0.9,1))))))*$Y$1),1),"")</f>
        <v>7.2</v>
      </c>
      <c r="V2133" s="37">
        <v>6.3</v>
      </c>
      <c r="W2133" s="38"/>
    </row>
    <row r="2134" ht="24" customHeight="1" spans="1:23" x14ac:dyDescent="0.25">
      <c r="A2134" s="31">
        <v>778</v>
      </c>
      <c r="B2134" s="32" t="s">
        <v>2259</v>
      </c>
      <c r="C2134" s="33" t="s">
        <v>24</v>
      </c>
      <c r="D2134" s="34">
        <v>2006</v>
      </c>
      <c r="E2134" s="34" t="s">
        <v>27</v>
      </c>
      <c r="F2134" s="6"/>
      <c r="G2134" s="6"/>
      <c r="H2134" s="6"/>
      <c r="I2134" s="6"/>
      <c r="J2134" s="6"/>
      <c r="K2134" s="6">
        <v>8</v>
      </c>
      <c r="L2134" s="6"/>
      <c r="M2134" s="6"/>
      <c r="N2134" s="6"/>
      <c r="O2134" s="6"/>
      <c r="P2134" s="6"/>
      <c r="Q2134" s="6">
        <v>8</v>
      </c>
      <c r="R2134" s="6"/>
      <c r="S2134" s="35">
        <f>SUM(F2134:R2134)</f>
        <v>16</v>
      </c>
      <c r="T2134" s="35">
        <f>COUNT(F2134:R2134)</f>
        <v>2</v>
      </c>
      <c r="U2134" s="36">
        <f>IF(T2134&gt;=2,ROUND((IF(T2134=2,0.55,IF(T2134&lt;=4,0.7,IF(T2134&lt;=6,0.8,IF(T2134&lt;=9,0.9,1))))*(S2134/T2134)+(1-(IF(T2134=2,0.55,IF(T2134&lt;=4,0.7,IF(T2134&lt;=6,0.8,IF(T2134&lt;=9,0.9,1))))))*$Y$1),1),"")</f>
        <v>8</v>
      </c>
      <c r="V2134" s="37">
        <v>6.6</v>
      </c>
      <c r="W2134" s="38"/>
    </row>
    <row r="2135" ht="24" customHeight="1" spans="1:23" x14ac:dyDescent="0.25">
      <c r="A2135" s="31">
        <v>1812</v>
      </c>
      <c r="B2135" s="32" t="s">
        <v>2260</v>
      </c>
      <c r="C2135" s="33" t="s">
        <v>29</v>
      </c>
      <c r="D2135" s="34">
        <v>2023</v>
      </c>
      <c r="E2135" s="34" t="s">
        <v>30</v>
      </c>
      <c r="F2135" s="6"/>
      <c r="G2135" s="6"/>
      <c r="H2135" s="6"/>
      <c r="I2135" s="6"/>
      <c r="J2135" s="6"/>
      <c r="K2135" s="6"/>
      <c r="L2135" s="6">
        <v>8</v>
      </c>
      <c r="M2135" s="6"/>
      <c r="N2135" s="6"/>
      <c r="O2135" s="6"/>
      <c r="P2135" s="6"/>
      <c r="Q2135" s="6"/>
      <c r="R2135" s="6"/>
      <c r="S2135" s="35">
        <f>SUM(F2135:R2135)</f>
        <v>8</v>
      </c>
      <c r="T2135" s="35">
        <f>COUNT(F2135:R2135)</f>
        <v>1</v>
      </c>
      <c r="U2135" s="36">
        <f>IF(T2135&gt;=2,ROUND((IF(T2135=2,0.55,IF(T2135&lt;=4,0.7,IF(T2135&lt;=6,0.8,IF(T2135&lt;=9,0.9,1))))*(S2135/T2135)+(1-(IF(T2135=2,0.55,IF(T2135&lt;=4,0.7,IF(T2135&lt;=6,0.8,IF(T2135&lt;=9,0.9,1))))))*$Y$1),1),"")</f>
      </c>
      <c r="V2135" s="37">
        <v>7.7</v>
      </c>
      <c r="W2135" s="38"/>
    </row>
    <row r="2136" ht="24" customHeight="1" spans="1:23" x14ac:dyDescent="0.25">
      <c r="A2136" s="47">
        <v>1086</v>
      </c>
      <c r="B2136" s="32" t="s">
        <v>2261</v>
      </c>
      <c r="C2136" s="48" t="s">
        <v>24</v>
      </c>
      <c r="D2136" s="49">
        <v>2020</v>
      </c>
      <c r="E2136" s="49" t="s">
        <v>167</v>
      </c>
      <c r="F2136" s="6"/>
      <c r="G2136" s="6">
        <v>7</v>
      </c>
      <c r="H2136" s="6">
        <v>8</v>
      </c>
      <c r="I2136" s="6">
        <v>8</v>
      </c>
      <c r="J2136" s="6">
        <v>6</v>
      </c>
      <c r="K2136" s="6">
        <v>8</v>
      </c>
      <c r="L2136" s="6">
        <v>6</v>
      </c>
      <c r="M2136" s="6"/>
      <c r="N2136" s="6">
        <v>8</v>
      </c>
      <c r="O2136" s="6"/>
      <c r="P2136" s="6">
        <v>6</v>
      </c>
      <c r="Q2136" s="6">
        <v>8</v>
      </c>
      <c r="R2136" s="6"/>
      <c r="S2136" s="35">
        <f>SUM(F2136:R2136)</f>
        <v>65</v>
      </c>
      <c r="T2136" s="35">
        <f>COUNT(F2136:R2136)</f>
        <v>9</v>
      </c>
      <c r="U2136" s="36">
        <f>IF(T2136&gt;=2,ROUND((IF(T2136=2,0.55,IF(T2136&lt;=4,0.7,IF(T2136&lt;=6,0.8,IF(T2136&lt;=9,0.9,1))))*(S2136/T2136)+(1-(IF(T2136=2,0.55,IF(T2136&lt;=4,0.7,IF(T2136&lt;=6,0.8,IF(T2136&lt;=9,0.9,1))))))*$Y$1),1),"")</f>
        <v>7.3</v>
      </c>
      <c r="V2136" s="37">
        <v>5.8</v>
      </c>
      <c r="W2136" s="38" t="s">
        <v>44</v>
      </c>
    </row>
    <row r="2137" ht="24" customHeight="1" spans="1:23" x14ac:dyDescent="0.25">
      <c r="A2137" s="31">
        <v>1691</v>
      </c>
      <c r="B2137" s="67" t="s">
        <v>2262</v>
      </c>
      <c r="C2137" s="33" t="s">
        <v>260</v>
      </c>
      <c r="D2137" s="34">
        <v>2023</v>
      </c>
      <c r="E2137" s="34" t="s">
        <v>30</v>
      </c>
      <c r="F2137" s="6">
        <v>7</v>
      </c>
      <c r="G2137" s="6"/>
      <c r="H2137" s="6"/>
      <c r="I2137" s="6"/>
      <c r="J2137" s="6">
        <v>8</v>
      </c>
      <c r="K2137" s="6"/>
      <c r="L2137" s="6">
        <v>8</v>
      </c>
      <c r="M2137" s="6"/>
      <c r="N2137" s="6"/>
      <c r="O2137" s="6"/>
      <c r="P2137" s="6"/>
      <c r="Q2137" s="6"/>
      <c r="R2137" s="6"/>
      <c r="S2137" s="35">
        <f>SUM(F2137:R2137)</f>
        <v>23</v>
      </c>
      <c r="T2137" s="35">
        <f>COUNT(F2137:R2137)</f>
        <v>3</v>
      </c>
      <c r="U2137" s="36">
        <f>IF(T2137&gt;=2,ROUND((IF(T2137=2,0.55,IF(T2137&lt;=4,0.7,IF(T2137&lt;=6,0.8,IF(T2137&lt;=9,0.9,1))))*(S2137/T2137)+(1-(IF(T2137=2,0.55,IF(T2137&lt;=4,0.7,IF(T2137&lt;=6,0.8,IF(T2137&lt;=9,0.9,1))))))*$Y$1),1),"")</f>
        <v>7.8</v>
      </c>
      <c r="V2137" s="37">
        <v>6.8</v>
      </c>
      <c r="W2137" s="38"/>
    </row>
    <row r="2138" ht="24" customHeight="1" spans="1:23" x14ac:dyDescent="0.25">
      <c r="A2138" s="40">
        <v>2222</v>
      </c>
      <c r="B2138" s="32" t="s">
        <v>2263</v>
      </c>
      <c r="C2138" s="33" t="s">
        <v>24</v>
      </c>
      <c r="D2138" s="34">
        <v>2008</v>
      </c>
      <c r="E2138" s="41"/>
      <c r="F2138" s="6"/>
      <c r="G2138" s="6">
        <v>7</v>
      </c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35">
        <f>SUM(F2138:R2138)</f>
        <v>7</v>
      </c>
      <c r="T2138" s="35">
        <f>COUNT(F2138:R2138)</f>
        <v>1</v>
      </c>
      <c r="U2138" s="36">
        <f>IF(T2138&gt;=2,ROUND((IF(T2138=2,0.55,IF(T2138&lt;=4,0.7,IF(T2138&lt;=6,0.8,IF(T2138&lt;=9,0.9,1))))*(S2138/T2138)+(1-(IF(T2138=2,0.55,IF(T2138&lt;=4,0.7,IF(T2138&lt;=6,0.8,IF(T2138&lt;=9,0.9,1))))))*$Y$1),1),"")</f>
      </c>
      <c r="V2138" s="37">
        <v>6.6</v>
      </c>
      <c r="W2138" s="38"/>
    </row>
    <row r="2139" ht="24" customHeight="1" spans="1:23" x14ac:dyDescent="0.25">
      <c r="A2139" s="31">
        <v>224</v>
      </c>
      <c r="B2139" s="32" t="s">
        <v>2264</v>
      </c>
      <c r="C2139" s="33" t="s">
        <v>24</v>
      </c>
      <c r="D2139" s="34">
        <v>1967</v>
      </c>
      <c r="E2139" s="34" t="s">
        <v>92</v>
      </c>
      <c r="F2139" s="6">
        <v>8</v>
      </c>
      <c r="G2139" s="6">
        <v>8</v>
      </c>
      <c r="H2139" s="6">
        <v>10</v>
      </c>
      <c r="I2139" s="6"/>
      <c r="J2139" s="6">
        <v>10</v>
      </c>
      <c r="K2139" s="6">
        <v>10</v>
      </c>
      <c r="L2139" s="6">
        <v>8</v>
      </c>
      <c r="M2139" s="6">
        <v>10</v>
      </c>
      <c r="N2139" s="6">
        <v>10</v>
      </c>
      <c r="O2139" s="6">
        <v>10</v>
      </c>
      <c r="P2139" s="6">
        <v>8</v>
      </c>
      <c r="Q2139" s="6">
        <v>10</v>
      </c>
      <c r="R2139" s="6"/>
      <c r="S2139" s="35">
        <f>SUM(F2139:R2139)</f>
        <v>102</v>
      </c>
      <c r="T2139" s="35">
        <f>COUNT(F2139:R2139)</f>
        <v>11</v>
      </c>
      <c r="U2139" s="36">
        <f>IF(T2139&gt;=2,ROUND((IF(T2139=2,0.55,IF(T2139&lt;=4,0.7,IF(T2139&lt;=6,0.8,IF(T2139&lt;=9,0.9,1))))*(S2139/T2139)+(1-(IF(T2139=2,0.55,IF(T2139&lt;=4,0.7,IF(T2139&lt;=6,0.8,IF(T2139&lt;=9,0.9,1))))))*$Y$1),1),"")</f>
        <v>9.3</v>
      </c>
      <c r="V2139" s="37">
        <v>7.6</v>
      </c>
      <c r="W2139" s="38"/>
    </row>
    <row r="2140" ht="24" customHeight="1" spans="1:23" x14ac:dyDescent="0.25">
      <c r="A2140" s="31">
        <v>1120</v>
      </c>
      <c r="B2140" s="32" t="s">
        <v>2265</v>
      </c>
      <c r="C2140" s="33" t="s">
        <v>24</v>
      </c>
      <c r="D2140" s="34">
        <v>2020</v>
      </c>
      <c r="E2140" s="34" t="s">
        <v>30</v>
      </c>
      <c r="F2140" s="6">
        <v>8</v>
      </c>
      <c r="G2140" s="6">
        <v>8</v>
      </c>
      <c r="H2140" s="6"/>
      <c r="I2140" s="6"/>
      <c r="J2140" s="6"/>
      <c r="K2140" s="6">
        <v>8</v>
      </c>
      <c r="L2140" s="6"/>
      <c r="M2140" s="6"/>
      <c r="N2140" s="6">
        <v>8</v>
      </c>
      <c r="O2140" s="6">
        <v>6</v>
      </c>
      <c r="P2140" s="6"/>
      <c r="Q2140" s="6">
        <v>8</v>
      </c>
      <c r="R2140" s="6"/>
      <c r="S2140" s="35">
        <f>SUM(F2140:R2140)</f>
        <v>46</v>
      </c>
      <c r="T2140" s="35">
        <f>COUNT(F2140:R2140)</f>
        <v>6</v>
      </c>
      <c r="U2140" s="36">
        <f>IF(T2140&gt;=2,ROUND((IF(T2140=2,0.55,IF(T2140&lt;=4,0.7,IF(T2140&lt;=6,0.8,IF(T2140&lt;=9,0.9,1))))*(S2140/T2140)+(1-(IF(T2140=2,0.55,IF(T2140&lt;=4,0.7,IF(T2140&lt;=6,0.8,IF(T2140&lt;=9,0.9,1))))))*$Y$1),1),"")</f>
        <v>7.8</v>
      </c>
      <c r="V2140" s="37">
        <v>7.1</v>
      </c>
      <c r="W2140" s="38"/>
    </row>
    <row r="2141" ht="24" customHeight="1" spans="1:23" x14ac:dyDescent="0.25">
      <c r="A2141" s="31">
        <v>1526</v>
      </c>
      <c r="B2141" s="32" t="s">
        <v>2266</v>
      </c>
      <c r="C2141" s="33" t="s">
        <v>24</v>
      </c>
      <c r="D2141" s="34">
        <v>2022</v>
      </c>
      <c r="E2141" s="34" t="s">
        <v>81</v>
      </c>
      <c r="F2141" s="6">
        <v>8</v>
      </c>
      <c r="G2141" s="6">
        <v>9</v>
      </c>
      <c r="H2141" s="6">
        <v>8</v>
      </c>
      <c r="I2141" s="6"/>
      <c r="J2141" s="6">
        <v>8</v>
      </c>
      <c r="K2141" s="6">
        <v>8</v>
      </c>
      <c r="L2141" s="6">
        <v>8</v>
      </c>
      <c r="M2141" s="6"/>
      <c r="N2141" s="6"/>
      <c r="O2141" s="6"/>
      <c r="P2141" s="6">
        <v>8</v>
      </c>
      <c r="Q2141" s="6">
        <v>8</v>
      </c>
      <c r="R2141" s="6"/>
      <c r="S2141" s="35">
        <f>SUM(F2141:R2141)</f>
        <v>65</v>
      </c>
      <c r="T2141" s="35">
        <f>COUNT(F2141:R2141)</f>
        <v>8</v>
      </c>
      <c r="U2141" s="36">
        <f>IF(T2141&gt;=2,ROUND((IF(T2141=2,0.55,IF(T2141&lt;=4,0.7,IF(T2141&lt;=6,0.8,IF(T2141&lt;=9,0.9,1))))*(S2141/T2141)+(1-(IF(T2141=2,0.55,IF(T2141&lt;=4,0.7,IF(T2141&lt;=6,0.8,IF(T2141&lt;=9,0.9,1))))))*$Y$1),1),"")</f>
        <v>8.1</v>
      </c>
      <c r="V2141" s="37">
        <v>7.6</v>
      </c>
      <c r="W2141" s="38"/>
    </row>
    <row r="2142" ht="24" customHeight="1" spans="1:23" x14ac:dyDescent="0.25">
      <c r="A2142" s="31">
        <v>944</v>
      </c>
      <c r="B2142" s="32" t="s">
        <v>2267</v>
      </c>
      <c r="C2142" s="33" t="s">
        <v>24</v>
      </c>
      <c r="D2142" s="34">
        <v>2018</v>
      </c>
      <c r="E2142" s="34" t="s">
        <v>30</v>
      </c>
      <c r="F2142" s="6"/>
      <c r="G2142" s="6">
        <v>7</v>
      </c>
      <c r="H2142" s="6"/>
      <c r="I2142" s="6"/>
      <c r="J2142" s="6"/>
      <c r="K2142" s="6">
        <v>8</v>
      </c>
      <c r="L2142" s="6"/>
      <c r="M2142" s="6"/>
      <c r="N2142" s="6"/>
      <c r="O2142" s="6"/>
      <c r="P2142" s="6"/>
      <c r="Q2142" s="6">
        <v>8</v>
      </c>
      <c r="R2142" s="6"/>
      <c r="S2142" s="35">
        <f>SUM(F2142:R2142)</f>
        <v>23</v>
      </c>
      <c r="T2142" s="35">
        <f>COUNT(F2142:R2142)</f>
        <v>3</v>
      </c>
      <c r="U2142" s="36">
        <f>IF(T2142&gt;=2,ROUND((IF(T2142=2,0.55,IF(T2142&lt;=4,0.7,IF(T2142&lt;=6,0.8,IF(T2142&lt;=9,0.9,1))))*(S2142/T2142)+(1-(IF(T2142=2,0.55,IF(T2142&lt;=4,0.7,IF(T2142&lt;=6,0.8,IF(T2142&lt;=9,0.9,1))))))*$Y$1),1),"")</f>
        <v>7.8</v>
      </c>
      <c r="V2142" s="37">
        <v>7.2</v>
      </c>
      <c r="W2142" s="38"/>
    </row>
    <row r="2143" ht="47.25" customHeight="1" spans="1:23" x14ac:dyDescent="0.25">
      <c r="A2143" s="40">
        <v>2267</v>
      </c>
      <c r="B2143" s="32" t="s">
        <v>2268</v>
      </c>
      <c r="C2143" s="33" t="s">
        <v>24</v>
      </c>
      <c r="D2143" s="34">
        <v>2011</v>
      </c>
      <c r="E2143" s="41"/>
      <c r="F2143" s="6"/>
      <c r="G2143" s="6">
        <v>7</v>
      </c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35">
        <f>SUM(F2143:R2143)</f>
        <v>7</v>
      </c>
      <c r="T2143" s="35">
        <f>COUNT(F2143:R2143)</f>
        <v>1</v>
      </c>
      <c r="U2143" s="36">
        <f>IF(T2143&gt;=2,ROUND((IF(T2143=2,0.55,IF(T2143&lt;=4,0.7,IF(T2143&lt;=6,0.8,IF(T2143&lt;=9,0.9,1))))*(S2143/T2143)+(1-(IF(T2143=2,0.55,IF(T2143&lt;=4,0.7,IF(T2143&lt;=6,0.8,IF(T2143&lt;=9,0.9,1))))))*$Y$1),1),"")</f>
      </c>
      <c r="V2143" s="37">
        <v>6.8</v>
      </c>
      <c r="W2143" s="38"/>
    </row>
    <row r="2144" ht="24" customHeight="1" spans="1:23" x14ac:dyDescent="0.25">
      <c r="A2144" s="31">
        <v>649</v>
      </c>
      <c r="B2144" s="32" t="s">
        <v>2269</v>
      </c>
      <c r="C2144" s="33" t="s">
        <v>24</v>
      </c>
      <c r="D2144" s="34">
        <v>2018</v>
      </c>
      <c r="E2144" s="34" t="s">
        <v>179</v>
      </c>
      <c r="F2144" s="6"/>
      <c r="G2144" s="6"/>
      <c r="H2144" s="6"/>
      <c r="I2144" s="6"/>
      <c r="J2144" s="6"/>
      <c r="K2144" s="6">
        <v>8</v>
      </c>
      <c r="L2144" s="6"/>
      <c r="M2144" s="6"/>
      <c r="N2144" s="6"/>
      <c r="O2144" s="6"/>
      <c r="P2144" s="6"/>
      <c r="Q2144" s="6">
        <v>8</v>
      </c>
      <c r="R2144" s="6"/>
      <c r="S2144" s="35">
        <f>SUM(F2144:R2144)</f>
        <v>16</v>
      </c>
      <c r="T2144" s="35">
        <f>COUNT(F2144:R2144)</f>
        <v>2</v>
      </c>
      <c r="U2144" s="36">
        <f>IF(T2144&gt;=2,ROUND((IF(T2144=2,0.55,IF(T2144&lt;=4,0.7,IF(T2144&lt;=6,0.8,IF(T2144&lt;=9,0.9,1))))*(S2144/T2144)+(1-(IF(T2144=2,0.55,IF(T2144&lt;=4,0.7,IF(T2144&lt;=6,0.8,IF(T2144&lt;=9,0.9,1))))))*$Y$1),1),"")</f>
        <v>8</v>
      </c>
      <c r="V2144" s="37">
        <v>6.3</v>
      </c>
      <c r="W2144" s="38"/>
    </row>
    <row r="2145" ht="24" customHeight="1" spans="1:23" x14ac:dyDescent="0.25">
      <c r="A2145" s="31">
        <v>2041</v>
      </c>
      <c r="B2145" s="32" t="s">
        <v>2270</v>
      </c>
      <c r="C2145" s="33" t="s">
        <v>29</v>
      </c>
      <c r="D2145" s="34">
        <v>2018</v>
      </c>
      <c r="E2145" s="41"/>
      <c r="F2145" s="6">
        <v>8</v>
      </c>
      <c r="G2145" s="6"/>
      <c r="H2145" s="6"/>
      <c r="I2145" s="6"/>
      <c r="J2145" s="6"/>
      <c r="K2145" s="6"/>
      <c r="L2145" s="6">
        <v>9</v>
      </c>
      <c r="M2145" s="6"/>
      <c r="N2145" s="6"/>
      <c r="O2145" s="6"/>
      <c r="P2145" s="6"/>
      <c r="Q2145" s="6"/>
      <c r="R2145" s="6"/>
      <c r="S2145" s="35">
        <f>SUM(F2145:R2145)</f>
        <v>17</v>
      </c>
      <c r="T2145" s="35">
        <f>COUNT(F2145:R2145)</f>
        <v>2</v>
      </c>
      <c r="U2145" s="36">
        <f>IF(T2145&gt;=2,ROUND((IF(T2145=2,0.55,IF(T2145&lt;=4,0.7,IF(T2145&lt;=6,0.8,IF(T2145&lt;=9,0.9,1))))*(S2145/T2145)+(1-(IF(T2145=2,0.55,IF(T2145&lt;=4,0.7,IF(T2145&lt;=6,0.8,IF(T2145&lt;=9,0.9,1))))))*$Y$1),1),"")</f>
        <v>8.3</v>
      </c>
      <c r="V2145" s="37">
        <v>8.6</v>
      </c>
      <c r="W2145" s="38"/>
    </row>
    <row r="2146" ht="47.25" customHeight="1" spans="1:23" x14ac:dyDescent="0.25">
      <c r="A2146" s="40">
        <v>2376</v>
      </c>
      <c r="B2146" s="32" t="s">
        <v>2271</v>
      </c>
      <c r="C2146" s="33" t="s">
        <v>29</v>
      </c>
      <c r="D2146" s="34">
        <v>2025</v>
      </c>
      <c r="E2146" s="41"/>
      <c r="F2146" s="6"/>
      <c r="G2146" s="6"/>
      <c r="H2146" s="6"/>
      <c r="I2146" s="6"/>
      <c r="J2146" s="6"/>
      <c r="K2146" s="6"/>
      <c r="L2146" s="6">
        <v>7</v>
      </c>
      <c r="M2146" s="6">
        <v>6</v>
      </c>
      <c r="N2146" s="6"/>
      <c r="O2146" s="6"/>
      <c r="P2146" s="6"/>
      <c r="Q2146" s="6"/>
      <c r="R2146" s="6"/>
      <c r="S2146" s="35">
        <f>SUM(F2146:R2146)</f>
        <v>13</v>
      </c>
      <c r="T2146" s="35">
        <f>COUNT(F2146:R2146)</f>
        <v>2</v>
      </c>
      <c r="U2146" s="36">
        <f>IF(T2146&gt;=2,ROUND((IF(T2146=2,0.55,IF(T2146&lt;=4,0.7,IF(T2146&lt;=6,0.8,IF(T2146&lt;=9,0.9,1))))*(S2146/T2146)+(1-(IF(T2146=2,0.55,IF(T2146&lt;=4,0.7,IF(T2146&lt;=6,0.8,IF(T2146&lt;=9,0.9,1))))))*$Y$1),1),"")</f>
        <v>7.2</v>
      </c>
      <c r="V2146" s="37">
        <v>7</v>
      </c>
      <c r="W2146" s="38"/>
    </row>
    <row r="2147" ht="24" customHeight="1" spans="1:23" x14ac:dyDescent="0.25">
      <c r="A2147" s="40">
        <v>2445</v>
      </c>
      <c r="B2147" s="32" t="s">
        <v>2272</v>
      </c>
      <c r="C2147" s="33" t="s">
        <v>24</v>
      </c>
      <c r="D2147" s="34">
        <v>2026</v>
      </c>
      <c r="E2147" s="41"/>
      <c r="F2147" s="6">
        <v>6</v>
      </c>
      <c r="G2147" s="6"/>
      <c r="H2147" s="6"/>
      <c r="I2147" s="6"/>
      <c r="J2147" s="6"/>
      <c r="K2147" s="6">
        <v>8</v>
      </c>
      <c r="L2147" s="6"/>
      <c r="M2147" s="6"/>
      <c r="N2147" s="6"/>
      <c r="O2147" s="6">
        <v>7</v>
      </c>
      <c r="P2147" s="6"/>
      <c r="Q2147" s="6">
        <v>8</v>
      </c>
      <c r="R2147" s="6"/>
      <c r="S2147" s="35">
        <f>SUM(F2147:R2147)</f>
        <v>29</v>
      </c>
      <c r="T2147" s="35">
        <f>COUNT(F2147:R2147)</f>
        <v>4</v>
      </c>
      <c r="U2147" s="36">
        <f>IF(T2147&gt;=2,ROUND((IF(T2147=2,0.55,IF(T2147&lt;=4,0.7,IF(T2147&lt;=6,0.8,IF(T2147&lt;=9,0.9,1))))*(S2147/T2147)+(1-(IF(T2147=2,0.55,IF(T2147&lt;=4,0.7,IF(T2147&lt;=6,0.8,IF(T2147&lt;=9,0.9,1))))))*$Y$1),1),"")</f>
        <v>7.5</v>
      </c>
      <c r="V2147" s="37">
        <v>4.5</v>
      </c>
      <c r="W2147" s="38"/>
    </row>
    <row r="2148" ht="24" customHeight="1" spans="1:23" x14ac:dyDescent="0.25">
      <c r="A2148" s="31">
        <v>1435</v>
      </c>
      <c r="B2148" s="32" t="s">
        <v>2273</v>
      </c>
      <c r="C2148" s="33" t="s">
        <v>24</v>
      </c>
      <c r="D2148" s="34">
        <v>2021</v>
      </c>
      <c r="E2148" s="34" t="s">
        <v>141</v>
      </c>
      <c r="F2148" s="6"/>
      <c r="G2148" s="6"/>
      <c r="H2148" s="6"/>
      <c r="I2148" s="6"/>
      <c r="J2148" s="6"/>
      <c r="K2148" s="6"/>
      <c r="L2148" s="6">
        <v>8</v>
      </c>
      <c r="M2148" s="6"/>
      <c r="N2148" s="6"/>
      <c r="O2148" s="6">
        <v>8</v>
      </c>
      <c r="P2148" s="6"/>
      <c r="Q2148" s="6"/>
      <c r="R2148" s="6"/>
      <c r="S2148" s="35">
        <f>SUM(F2148:R2148)</f>
        <v>16</v>
      </c>
      <c r="T2148" s="35">
        <f>COUNT(F2148:R2148)</f>
        <v>2</v>
      </c>
      <c r="U2148" s="36">
        <f>IF(T2148&gt;=2,ROUND((IF(T2148=2,0.55,IF(T2148&lt;=4,0.7,IF(T2148&lt;=6,0.8,IF(T2148&lt;=9,0.9,1))))*(S2148/T2148)+(1-(IF(T2148=2,0.55,IF(T2148&lt;=4,0.7,IF(T2148&lt;=6,0.8,IF(T2148&lt;=9,0.9,1))))))*$Y$1),1),"")</f>
        <v>8</v>
      </c>
      <c r="V2148" s="37">
        <v>7</v>
      </c>
      <c r="W2148" s="38"/>
    </row>
    <row r="2149" ht="24" customHeight="1" spans="1:23" x14ac:dyDescent="0.25">
      <c r="A2149" s="31">
        <v>941</v>
      </c>
      <c r="B2149" s="32" t="s">
        <v>2274</v>
      </c>
      <c r="C2149" s="33" t="s">
        <v>24</v>
      </c>
      <c r="D2149" s="34">
        <v>2015</v>
      </c>
      <c r="E2149" s="34" t="s">
        <v>27</v>
      </c>
      <c r="F2149" s="6"/>
      <c r="G2149" s="6"/>
      <c r="H2149" s="6"/>
      <c r="I2149" s="6"/>
      <c r="J2149" s="6"/>
      <c r="K2149" s="6">
        <v>7</v>
      </c>
      <c r="L2149" s="6"/>
      <c r="M2149" s="6"/>
      <c r="N2149" s="6"/>
      <c r="O2149" s="6"/>
      <c r="P2149" s="6"/>
      <c r="Q2149" s="6">
        <v>7</v>
      </c>
      <c r="R2149" s="6"/>
      <c r="S2149" s="35">
        <f>SUM(F2149:R2149)</f>
        <v>14</v>
      </c>
      <c r="T2149" s="35">
        <f>COUNT(F2149:R2149)</f>
        <v>2</v>
      </c>
      <c r="U2149" s="36">
        <f>IF(T2149&gt;=2,ROUND((IF(T2149=2,0.55,IF(T2149&lt;=4,0.7,IF(T2149&lt;=6,0.8,IF(T2149&lt;=9,0.9,1))))*(S2149/T2149)+(1-(IF(T2149=2,0.55,IF(T2149&lt;=4,0.7,IF(T2149&lt;=6,0.8,IF(T2149&lt;=9,0.9,1))))))*$Y$1),1),"")</f>
        <v>7.5</v>
      </c>
      <c r="V2149" s="37">
        <v>6</v>
      </c>
      <c r="W2149" s="38"/>
    </row>
    <row r="2150" ht="24" customHeight="1" spans="1:23" x14ac:dyDescent="0.25">
      <c r="A2150" s="31">
        <v>1192</v>
      </c>
      <c r="B2150" s="32" t="s">
        <v>2275</v>
      </c>
      <c r="C2150" s="33" t="s">
        <v>24</v>
      </c>
      <c r="D2150" s="34">
        <v>2020</v>
      </c>
      <c r="E2150" s="34" t="s">
        <v>30</v>
      </c>
      <c r="F2150" s="6"/>
      <c r="G2150" s="6">
        <v>8</v>
      </c>
      <c r="H2150" s="6"/>
      <c r="I2150" s="6"/>
      <c r="J2150" s="6"/>
      <c r="K2150" s="6">
        <v>7</v>
      </c>
      <c r="L2150" s="6"/>
      <c r="M2150" s="6"/>
      <c r="N2150" s="6"/>
      <c r="O2150" s="6">
        <v>6</v>
      </c>
      <c r="P2150" s="6"/>
      <c r="Q2150" s="6">
        <v>7</v>
      </c>
      <c r="R2150" s="6"/>
      <c r="S2150" s="35">
        <f>SUM(F2150:R2150)</f>
        <v>28</v>
      </c>
      <c r="T2150" s="35">
        <f>COUNT(F2150:R2150)</f>
        <v>4</v>
      </c>
      <c r="U2150" s="36">
        <f>IF(T2150&gt;=2,ROUND((IF(T2150=2,0.55,IF(T2150&lt;=4,0.7,IF(T2150&lt;=6,0.8,IF(T2150&lt;=9,0.9,1))))*(S2150/T2150)+(1-(IF(T2150=2,0.55,IF(T2150&lt;=4,0.7,IF(T2150&lt;=6,0.8,IF(T2150&lt;=9,0.9,1))))))*$Y$1),1),"")</f>
        <v>7.3</v>
      </c>
      <c r="V2150" s="37">
        <v>7.2</v>
      </c>
      <c r="W2150" s="38"/>
    </row>
    <row r="2151" ht="24" customHeight="1" spans="1:23" x14ac:dyDescent="0.25">
      <c r="A2151" s="31">
        <v>4</v>
      </c>
      <c r="B2151" s="32" t="s">
        <v>2276</v>
      </c>
      <c r="C2151" s="33" t="s">
        <v>24</v>
      </c>
      <c r="D2151" s="34">
        <v>2016</v>
      </c>
      <c r="E2151" s="34" t="s">
        <v>30</v>
      </c>
      <c r="F2151" s="6"/>
      <c r="G2151" s="6">
        <v>8</v>
      </c>
      <c r="H2151" s="6"/>
      <c r="I2151" s="6"/>
      <c r="J2151" s="6"/>
      <c r="K2151" s="6">
        <v>8</v>
      </c>
      <c r="L2151" s="6"/>
      <c r="M2151" s="6"/>
      <c r="N2151" s="6">
        <v>10</v>
      </c>
      <c r="O2151" s="6"/>
      <c r="P2151" s="6"/>
      <c r="Q2151" s="6">
        <v>8</v>
      </c>
      <c r="R2151" s="6"/>
      <c r="S2151" s="35">
        <f>SUM(F2151:R2151)</f>
        <v>34</v>
      </c>
      <c r="T2151" s="35">
        <f>COUNT(F2151:R2151)</f>
        <v>4</v>
      </c>
      <c r="U2151" s="36">
        <f>IF(T2151&gt;=2,ROUND((IF(T2151=2,0.55,IF(T2151&lt;=4,0.7,IF(T2151&lt;=6,0.8,IF(T2151&lt;=9,0.9,1))))*(S2151/T2151)+(1-(IF(T2151=2,0.55,IF(T2151&lt;=4,0.7,IF(T2151&lt;=6,0.8,IF(T2151&lt;=9,0.9,1))))))*$Y$1),1),"")</f>
        <v>8.4</v>
      </c>
      <c r="V2151" s="37">
        <v>8.2</v>
      </c>
      <c r="W2151" s="38"/>
    </row>
    <row r="2152" ht="47.25" customHeight="1" spans="1:23" x14ac:dyDescent="0.25">
      <c r="A2152" s="31">
        <v>632</v>
      </c>
      <c r="B2152" s="32" t="s">
        <v>2277</v>
      </c>
      <c r="C2152" s="33" t="s">
        <v>24</v>
      </c>
      <c r="D2152" s="34">
        <v>2014</v>
      </c>
      <c r="E2152" s="34" t="s">
        <v>30</v>
      </c>
      <c r="F2152" s="6"/>
      <c r="G2152" s="6">
        <v>8</v>
      </c>
      <c r="H2152" s="6"/>
      <c r="I2152" s="6"/>
      <c r="J2152" s="6">
        <v>8</v>
      </c>
      <c r="K2152" s="6">
        <v>8</v>
      </c>
      <c r="L2152" s="6">
        <v>8</v>
      </c>
      <c r="M2152" s="6">
        <v>6</v>
      </c>
      <c r="N2152" s="6">
        <v>6</v>
      </c>
      <c r="O2152" s="6"/>
      <c r="P2152" s="6"/>
      <c r="Q2152" s="6">
        <v>8</v>
      </c>
      <c r="R2152" s="6"/>
      <c r="S2152" s="35">
        <f>SUM(F2152:R2152)</f>
        <v>52</v>
      </c>
      <c r="T2152" s="35">
        <f>COUNT(F2152:R2152)</f>
        <v>7</v>
      </c>
      <c r="U2152" s="36">
        <f>IF(T2152&gt;=2,ROUND((IF(T2152=2,0.55,IF(T2152&lt;=4,0.7,IF(T2152&lt;=6,0.8,IF(T2152&lt;=9,0.9,1))))*(S2152/T2152)+(1-(IF(T2152=2,0.55,IF(T2152&lt;=4,0.7,IF(T2152&lt;=6,0.8,IF(T2152&lt;=9,0.9,1))))))*$Y$1),1),"")</f>
        <v>7.5</v>
      </c>
      <c r="V2152" s="37">
        <v>7.1</v>
      </c>
      <c r="W2152" s="38"/>
    </row>
    <row r="2153" ht="24" customHeight="1" spans="1:23" x14ac:dyDescent="0.25">
      <c r="A2153" s="31">
        <v>50</v>
      </c>
      <c r="B2153" s="32" t="s">
        <v>2278</v>
      </c>
      <c r="C2153" s="33" t="s">
        <v>24</v>
      </c>
      <c r="D2153" s="34">
        <v>2016</v>
      </c>
      <c r="E2153" s="34" t="s">
        <v>30</v>
      </c>
      <c r="F2153" s="6"/>
      <c r="G2153" s="6">
        <v>8</v>
      </c>
      <c r="H2153" s="6"/>
      <c r="I2153" s="6">
        <v>8</v>
      </c>
      <c r="J2153" s="6"/>
      <c r="K2153" s="6">
        <v>10</v>
      </c>
      <c r="L2153" s="6"/>
      <c r="M2153" s="6"/>
      <c r="N2153" s="6"/>
      <c r="O2153" s="6"/>
      <c r="P2153" s="6"/>
      <c r="Q2153" s="6">
        <v>10</v>
      </c>
      <c r="R2153" s="6"/>
      <c r="S2153" s="35">
        <f>SUM(F2153:R2153)</f>
        <v>36</v>
      </c>
      <c r="T2153" s="35">
        <f>COUNT(F2153:R2153)</f>
        <v>4</v>
      </c>
      <c r="U2153" s="36">
        <f>IF(T2153&gt;=2,ROUND((IF(T2153=2,0.55,IF(T2153&lt;=4,0.7,IF(T2153&lt;=6,0.8,IF(T2153&lt;=9,0.9,1))))*(S2153/T2153)+(1-(IF(T2153=2,0.55,IF(T2153&lt;=4,0.7,IF(T2153&lt;=6,0.8,IF(T2153&lt;=9,0.9,1))))))*$Y$1),1),"")</f>
        <v>8.7</v>
      </c>
      <c r="V2153" s="37">
        <v>6.1</v>
      </c>
      <c r="W2153" s="38"/>
    </row>
    <row r="2154" ht="47.25" customHeight="1" spans="1:23" x14ac:dyDescent="0.25">
      <c r="A2154" s="31">
        <v>1173</v>
      </c>
      <c r="B2154" s="32" t="s">
        <v>2279</v>
      </c>
      <c r="C2154" s="33" t="s">
        <v>24</v>
      </c>
      <c r="D2154" s="34">
        <v>2015</v>
      </c>
      <c r="E2154" s="34" t="s">
        <v>30</v>
      </c>
      <c r="F2154" s="6"/>
      <c r="G2154" s="6">
        <v>8</v>
      </c>
      <c r="H2154" s="6"/>
      <c r="I2154" s="6"/>
      <c r="J2154" s="6"/>
      <c r="K2154" s="6">
        <v>6</v>
      </c>
      <c r="L2154" s="6"/>
      <c r="M2154" s="6"/>
      <c r="N2154" s="6"/>
      <c r="O2154" s="6">
        <v>6</v>
      </c>
      <c r="P2154" s="6"/>
      <c r="Q2154" s="6">
        <v>6</v>
      </c>
      <c r="R2154" s="6"/>
      <c r="S2154" s="35">
        <f>SUM(F2154:R2154)</f>
        <v>26</v>
      </c>
      <c r="T2154" s="35">
        <f>COUNT(F2154:R2154)</f>
        <v>4</v>
      </c>
      <c r="U2154" s="36">
        <f>IF(T2154&gt;=2,ROUND((IF(T2154=2,0.55,IF(T2154&lt;=4,0.7,IF(T2154&lt;=6,0.8,IF(T2154&lt;=9,0.9,1))))*(S2154/T2154)+(1-(IF(T2154=2,0.55,IF(T2154&lt;=4,0.7,IF(T2154&lt;=6,0.8,IF(T2154&lt;=9,0.9,1))))))*$Y$1),1),"")</f>
        <v>7</v>
      </c>
      <c r="V2154" s="37">
        <v>5</v>
      </c>
      <c r="W2154" s="38"/>
    </row>
    <row r="2155" ht="24" customHeight="1" spans="1:23" x14ac:dyDescent="0.25">
      <c r="A2155" s="40">
        <v>2192</v>
      </c>
      <c r="B2155" s="32" t="s">
        <v>2280</v>
      </c>
      <c r="C2155" s="33" t="s">
        <v>24</v>
      </c>
      <c r="D2155" s="34">
        <v>2007</v>
      </c>
      <c r="E2155" s="41"/>
      <c r="F2155" s="6"/>
      <c r="G2155" s="6">
        <v>7</v>
      </c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35">
        <f>SUM(F2155:R2155)</f>
        <v>7</v>
      </c>
      <c r="T2155" s="35">
        <f>COUNT(F2155:R2155)</f>
        <v>1</v>
      </c>
      <c r="U2155" s="36">
        <f>IF(T2155&gt;=2,ROUND((IF(T2155=2,0.55,IF(T2155&lt;=4,0.7,IF(T2155&lt;=6,0.8,IF(T2155&lt;=9,0.9,1))))*(S2155/T2155)+(1-(IF(T2155=2,0.55,IF(T2155&lt;=4,0.7,IF(T2155&lt;=6,0.8,IF(T2155&lt;=9,0.9,1))))))*$Y$1),1),"")</f>
      </c>
      <c r="V2155" s="37">
        <v>5.9</v>
      </c>
      <c r="W2155" s="38"/>
    </row>
    <row r="2156" ht="24" customHeight="1" spans="1:23" x14ac:dyDescent="0.25">
      <c r="A2156" s="31">
        <v>838</v>
      </c>
      <c r="B2156" s="32" t="s">
        <v>2281</v>
      </c>
      <c r="C2156" s="33" t="s">
        <v>29</v>
      </c>
      <c r="D2156" s="34">
        <v>2020</v>
      </c>
      <c r="E2156" s="34" t="s">
        <v>30</v>
      </c>
      <c r="F2156" s="6"/>
      <c r="G2156" s="6">
        <v>8</v>
      </c>
      <c r="H2156" s="6">
        <v>8</v>
      </c>
      <c r="I2156" s="6"/>
      <c r="J2156" s="6">
        <v>8</v>
      </c>
      <c r="K2156" s="6"/>
      <c r="L2156" s="6">
        <v>8</v>
      </c>
      <c r="M2156" s="6">
        <v>8</v>
      </c>
      <c r="N2156" s="6"/>
      <c r="O2156" s="6"/>
      <c r="P2156" s="6"/>
      <c r="Q2156" s="6"/>
      <c r="R2156" s="6"/>
      <c r="S2156" s="35">
        <f>SUM(F2156:R2156)</f>
        <v>40</v>
      </c>
      <c r="T2156" s="35">
        <f>COUNT(F2156:R2156)</f>
        <v>5</v>
      </c>
      <c r="U2156" s="36">
        <f>IF(T2156&gt;=2,ROUND((IF(T2156=2,0.55,IF(T2156&lt;=4,0.7,IF(T2156&lt;=6,0.8,IF(T2156&lt;=9,0.9,1))))*(S2156/T2156)+(1-(IF(T2156=2,0.55,IF(T2156&lt;=4,0.7,IF(T2156&lt;=6,0.8,IF(T2156&lt;=9,0.9,1))))))*$Y$1),1),"")</f>
        <v>8</v>
      </c>
      <c r="V2156" s="37">
        <v>8.4</v>
      </c>
      <c r="W2156" s="38"/>
    </row>
    <row r="2157" ht="24" customHeight="1" spans="1:23" x14ac:dyDescent="0.25">
      <c r="A2157" s="31">
        <v>968</v>
      </c>
      <c r="B2157" s="32" t="s">
        <v>2282</v>
      </c>
      <c r="C2157" s="33" t="s">
        <v>24</v>
      </c>
      <c r="D2157" s="34">
        <v>2010</v>
      </c>
      <c r="E2157" s="34" t="s">
        <v>27</v>
      </c>
      <c r="F2157" s="6">
        <v>8</v>
      </c>
      <c r="G2157" s="6">
        <v>8</v>
      </c>
      <c r="H2157" s="6"/>
      <c r="I2157" s="6"/>
      <c r="J2157" s="6">
        <v>8</v>
      </c>
      <c r="K2157" s="6"/>
      <c r="L2157" s="6">
        <v>8</v>
      </c>
      <c r="M2157" s="6"/>
      <c r="N2157" s="6"/>
      <c r="O2157" s="6"/>
      <c r="P2157" s="6"/>
      <c r="Q2157" s="6"/>
      <c r="R2157" s="6"/>
      <c r="S2157" s="35">
        <f>SUM(F2157:R2157)</f>
        <v>32</v>
      </c>
      <c r="T2157" s="35">
        <f>COUNT(F2157:R2157)</f>
        <v>4</v>
      </c>
      <c r="U2157" s="36">
        <f>IF(T2157&gt;=2,ROUND((IF(T2157=2,0.55,IF(T2157&lt;=4,0.7,IF(T2157&lt;=6,0.8,IF(T2157&lt;=9,0.9,1))))*(S2157/T2157)+(1-(IF(T2157=2,0.55,IF(T2157&lt;=4,0.7,IF(T2157&lt;=6,0.8,IF(T2157&lt;=9,0.9,1))))))*$Y$1),1),"")</f>
        <v>8</v>
      </c>
      <c r="V2157" s="37">
        <v>7.3</v>
      </c>
      <c r="W2157" s="38"/>
    </row>
    <row r="2158" ht="24" customHeight="1" spans="1:23" s="39" customFormat="1" x14ac:dyDescent="0.25">
      <c r="A2158" s="31">
        <v>1165</v>
      </c>
      <c r="B2158" s="32" t="s">
        <v>2283</v>
      </c>
      <c r="C2158" s="33" t="s">
        <v>24</v>
      </c>
      <c r="D2158" s="34">
        <v>2021</v>
      </c>
      <c r="E2158" s="34" t="s">
        <v>30</v>
      </c>
      <c r="F2158" s="6"/>
      <c r="G2158" s="6">
        <v>7</v>
      </c>
      <c r="H2158" s="6"/>
      <c r="I2158" s="6"/>
      <c r="J2158" s="6"/>
      <c r="K2158" s="6">
        <v>8</v>
      </c>
      <c r="L2158" s="6"/>
      <c r="M2158" s="6"/>
      <c r="N2158" s="6"/>
      <c r="O2158" s="6"/>
      <c r="P2158" s="6"/>
      <c r="Q2158" s="6">
        <v>8</v>
      </c>
      <c r="R2158" s="6"/>
      <c r="S2158" s="35">
        <f>SUM(F2158:R2158)</f>
        <v>23</v>
      </c>
      <c r="T2158" s="35">
        <f>COUNT(F2158:R2158)</f>
        <v>3</v>
      </c>
      <c r="U2158" s="36">
        <f>IF(T2158&gt;=2,ROUND((IF(T2158=2,0.55,IF(T2158&lt;=4,0.7,IF(T2158&lt;=6,0.8,IF(T2158&lt;=9,0.9,1))))*(S2158/T2158)+(1-(IF(T2158=2,0.55,IF(T2158&lt;=4,0.7,IF(T2158&lt;=6,0.8,IF(T2158&lt;=9,0.9,1))))))*$Y$1),1),"")</f>
        <v>7.8</v>
      </c>
      <c r="V2158" s="37">
        <v>7.1</v>
      </c>
      <c r="W2158" s="38"/>
    </row>
    <row r="2159" ht="24" customHeight="1" spans="1:23" x14ac:dyDescent="0.25">
      <c r="A2159" s="31">
        <v>1463</v>
      </c>
      <c r="B2159" s="32" t="s">
        <v>2284</v>
      </c>
      <c r="C2159" s="33" t="s">
        <v>24</v>
      </c>
      <c r="D2159" s="34">
        <v>2021</v>
      </c>
      <c r="E2159" s="34" t="s">
        <v>30</v>
      </c>
      <c r="F2159" s="6"/>
      <c r="G2159" s="6"/>
      <c r="H2159" s="6"/>
      <c r="I2159" s="6"/>
      <c r="J2159" s="6"/>
      <c r="K2159" s="6"/>
      <c r="L2159" s="6"/>
      <c r="M2159" s="6">
        <v>6</v>
      </c>
      <c r="N2159" s="6"/>
      <c r="O2159" s="6">
        <v>7</v>
      </c>
      <c r="P2159" s="6"/>
      <c r="Q2159" s="6"/>
      <c r="R2159" s="6"/>
      <c r="S2159" s="35">
        <f>SUM(F2159:R2159)</f>
        <v>13</v>
      </c>
      <c r="T2159" s="35">
        <f>COUNT(F2159:R2159)</f>
        <v>2</v>
      </c>
      <c r="U2159" s="36">
        <f>IF(T2159&gt;=2,ROUND((IF(T2159=2,0.55,IF(T2159&lt;=4,0.7,IF(T2159&lt;=6,0.8,IF(T2159&lt;=9,0.9,1))))*(S2159/T2159)+(1-(IF(T2159=2,0.55,IF(T2159&lt;=4,0.7,IF(T2159&lt;=6,0.8,IF(T2159&lt;=9,0.9,1))))))*$Y$1),1),"")</f>
        <v>7.2</v>
      </c>
      <c r="V2159" s="37">
        <v>5.4</v>
      </c>
      <c r="W2159" s="38"/>
    </row>
    <row r="2160" ht="24" customHeight="1" spans="1:23" x14ac:dyDescent="0.25">
      <c r="A2160" s="40">
        <v>2257</v>
      </c>
      <c r="B2160" s="32" t="s">
        <v>2285</v>
      </c>
      <c r="C2160" s="33" t="s">
        <v>24</v>
      </c>
      <c r="D2160" s="34">
        <v>2010</v>
      </c>
      <c r="E2160" s="41"/>
      <c r="F2160" s="6"/>
      <c r="G2160" s="6">
        <v>7</v>
      </c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35">
        <f>SUM(F2160:R2160)</f>
        <v>7</v>
      </c>
      <c r="T2160" s="35">
        <f>COUNT(F2160:R2160)</f>
        <v>1</v>
      </c>
      <c r="U2160" s="36">
        <f>IF(T2160&gt;=2,ROUND((IF(T2160=2,0.55,IF(T2160&lt;=4,0.7,IF(T2160&lt;=6,0.8,IF(T2160&lt;=9,0.9,1))))*(S2160/T2160)+(1-(IF(T2160=2,0.55,IF(T2160&lt;=4,0.7,IF(T2160&lt;=6,0.8,IF(T2160&lt;=9,0.9,1))))))*$Y$1),1),"")</f>
      </c>
      <c r="V2160" s="37">
        <v>6.6</v>
      </c>
      <c r="W2160" s="38"/>
    </row>
    <row r="2161" ht="24" customHeight="1" spans="1:23" x14ac:dyDescent="0.25">
      <c r="A2161" s="31">
        <v>1640</v>
      </c>
      <c r="B2161" s="32" t="s">
        <v>2286</v>
      </c>
      <c r="C2161" s="33" t="s">
        <v>24</v>
      </c>
      <c r="D2161" s="34">
        <v>2011</v>
      </c>
      <c r="E2161" s="34" t="s">
        <v>30</v>
      </c>
      <c r="F2161" s="6">
        <v>8</v>
      </c>
      <c r="G2161" s="6"/>
      <c r="H2161" s="6"/>
      <c r="I2161" s="6"/>
      <c r="J2161" s="6">
        <v>8</v>
      </c>
      <c r="K2161" s="6">
        <v>8</v>
      </c>
      <c r="L2161" s="6">
        <v>7</v>
      </c>
      <c r="M2161" s="6"/>
      <c r="N2161" s="6"/>
      <c r="O2161" s="6"/>
      <c r="P2161" s="6"/>
      <c r="Q2161" s="6">
        <v>8</v>
      </c>
      <c r="R2161" s="6"/>
      <c r="S2161" s="35">
        <f>SUM(F2161:R2161)</f>
        <v>39</v>
      </c>
      <c r="T2161" s="35">
        <f>COUNT(F2161:R2161)</f>
        <v>5</v>
      </c>
      <c r="U2161" s="36">
        <f>IF(T2161&gt;=2,ROUND((IF(T2161=2,0.55,IF(T2161&lt;=4,0.7,IF(T2161&lt;=6,0.8,IF(T2161&lt;=9,0.9,1))))*(S2161/T2161)+(1-(IF(T2161=2,0.55,IF(T2161&lt;=4,0.7,IF(T2161&lt;=6,0.8,IF(T2161&lt;=9,0.9,1))))))*$Y$1),1),"")</f>
        <v>7.9</v>
      </c>
      <c r="V2161" s="37">
        <v>7.6</v>
      </c>
      <c r="W2161" s="38"/>
    </row>
    <row r="2162" ht="24" customHeight="1" spans="1:23" s="39" customFormat="1" x14ac:dyDescent="0.25">
      <c r="A2162" s="31">
        <v>1379</v>
      </c>
      <c r="B2162" s="32" t="s">
        <v>2287</v>
      </c>
      <c r="C2162" s="33" t="s">
        <v>24</v>
      </c>
      <c r="D2162" s="34">
        <v>2022</v>
      </c>
      <c r="E2162" s="34" t="s">
        <v>1442</v>
      </c>
      <c r="F2162" s="6"/>
      <c r="G2162" s="6"/>
      <c r="H2162" s="6"/>
      <c r="I2162" s="6"/>
      <c r="J2162" s="6"/>
      <c r="K2162" s="6"/>
      <c r="L2162" s="6"/>
      <c r="M2162" s="6"/>
      <c r="N2162" s="6"/>
      <c r="O2162" s="6">
        <v>6</v>
      </c>
      <c r="P2162" s="6"/>
      <c r="Q2162" s="6"/>
      <c r="R2162" s="6"/>
      <c r="S2162" s="35">
        <f>SUM(F2162:R2162)</f>
        <v>6</v>
      </c>
      <c r="T2162" s="35">
        <f>COUNT(F2162:R2162)</f>
        <v>1</v>
      </c>
      <c r="U2162" s="36">
        <f>IF(T2162&gt;=2,ROUND((IF(T2162=2,0.55,IF(T2162&lt;=4,0.7,IF(T2162&lt;=6,0.8,IF(T2162&lt;=9,0.9,1))))*(S2162/T2162)+(1-(IF(T2162=2,0.55,IF(T2162&lt;=4,0.7,IF(T2162&lt;=6,0.8,IF(T2162&lt;=9,0.9,1))))))*$Y$1),1),"")</f>
      </c>
      <c r="V2162" s="37">
        <v>6.9</v>
      </c>
      <c r="W2162" s="38"/>
    </row>
    <row r="2163" ht="24" customHeight="1" spans="1:23" x14ac:dyDescent="0.25">
      <c r="A2163" s="40">
        <v>2058</v>
      </c>
      <c r="B2163" s="32" t="s">
        <v>2288</v>
      </c>
      <c r="C2163" s="33" t="s">
        <v>24</v>
      </c>
      <c r="D2163" s="34">
        <v>2007</v>
      </c>
      <c r="E2163" s="41"/>
      <c r="F2163" s="6"/>
      <c r="G2163" s="6">
        <v>7</v>
      </c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35">
        <f>SUM(F2163:R2163)</f>
        <v>7</v>
      </c>
      <c r="T2163" s="35">
        <f>COUNT(F2163:R2163)</f>
        <v>1</v>
      </c>
      <c r="U2163" s="36">
        <f>IF(T2163&gt;=2,ROUND((IF(T2163=2,0.55,IF(T2163&lt;=4,0.7,IF(T2163&lt;=6,0.8,IF(T2163&lt;=9,0.9,1))))*(S2163/T2163)+(1-(IF(T2163=2,0.55,IF(T2163&lt;=4,0.7,IF(T2163&lt;=6,0.8,IF(T2163&lt;=9,0.9,1))))))*$Y$1),1),"")</f>
      </c>
      <c r="V2163" s="37">
        <v>7.9</v>
      </c>
      <c r="W2163" s="38"/>
    </row>
    <row r="2164" ht="24" customHeight="1" spans="1:23" x14ac:dyDescent="0.25">
      <c r="A2164" s="31">
        <v>829</v>
      </c>
      <c r="B2164" s="32" t="s">
        <v>2289</v>
      </c>
      <c r="C2164" s="33" t="s">
        <v>24</v>
      </c>
      <c r="D2164" s="34">
        <v>2019</v>
      </c>
      <c r="E2164" s="34" t="s">
        <v>30</v>
      </c>
      <c r="F2164" s="6"/>
      <c r="G2164" s="6">
        <v>8</v>
      </c>
      <c r="H2164" s="6"/>
      <c r="I2164" s="6"/>
      <c r="J2164" s="6"/>
      <c r="K2164" s="6">
        <v>8</v>
      </c>
      <c r="L2164" s="6"/>
      <c r="M2164" s="6"/>
      <c r="N2164" s="6"/>
      <c r="O2164" s="6"/>
      <c r="P2164" s="6"/>
      <c r="Q2164" s="6">
        <v>8</v>
      </c>
      <c r="R2164" s="6"/>
      <c r="S2164" s="35">
        <f>SUM(F2164:R2164)</f>
        <v>24</v>
      </c>
      <c r="T2164" s="35">
        <f>COUNT(F2164:R2164)</f>
        <v>3</v>
      </c>
      <c r="U2164" s="36">
        <f>IF(T2164&gt;=2,ROUND((IF(T2164=2,0.55,IF(T2164&lt;=4,0.7,IF(T2164&lt;=6,0.8,IF(T2164&lt;=9,0.9,1))))*(S2164/T2164)+(1-(IF(T2164=2,0.55,IF(T2164&lt;=4,0.7,IF(T2164&lt;=6,0.8,IF(T2164&lt;=9,0.9,1))))))*$Y$1),1),"")</f>
        <v>8</v>
      </c>
      <c r="V2164" s="37">
        <v>7.4</v>
      </c>
      <c r="W2164" s="38"/>
    </row>
    <row r="2165" ht="24" customHeight="1" spans="1:23" x14ac:dyDescent="0.25">
      <c r="A2165" s="31">
        <v>390</v>
      </c>
      <c r="B2165" s="32" t="s">
        <v>2290</v>
      </c>
      <c r="C2165" s="33" t="s">
        <v>24</v>
      </c>
      <c r="D2165" s="34">
        <v>2020</v>
      </c>
      <c r="E2165" s="34" t="s">
        <v>30</v>
      </c>
      <c r="F2165" s="6"/>
      <c r="G2165" s="6">
        <v>8</v>
      </c>
      <c r="H2165" s="6"/>
      <c r="I2165" s="6"/>
      <c r="J2165" s="6"/>
      <c r="K2165" s="6"/>
      <c r="L2165" s="6"/>
      <c r="M2165" s="6">
        <v>4</v>
      </c>
      <c r="N2165" s="6">
        <v>4</v>
      </c>
      <c r="O2165" s="6"/>
      <c r="P2165" s="6"/>
      <c r="Q2165" s="6"/>
      <c r="R2165" s="6"/>
      <c r="S2165" s="35">
        <f>SUM(F2165:R2165)</f>
        <v>16</v>
      </c>
      <c r="T2165" s="35">
        <f>COUNT(F2165:R2165)</f>
        <v>3</v>
      </c>
      <c r="U2165" s="36">
        <f>IF(T2165&gt;=2,ROUND((IF(T2165=2,0.55,IF(T2165&lt;=4,0.7,IF(T2165&lt;=6,0.8,IF(T2165&lt;=9,0.9,1))))*(S2165/T2165)+(1-(IF(T2165=2,0.55,IF(T2165&lt;=4,0.7,IF(T2165&lt;=6,0.8,IF(T2165&lt;=9,0.9,1))))))*$Y$1),1),"")</f>
        <v>6.2</v>
      </c>
      <c r="V2165" s="37">
        <v>3.3</v>
      </c>
      <c r="W2165" s="38"/>
    </row>
    <row r="2166" ht="24" customHeight="1" spans="1:23" x14ac:dyDescent="0.25">
      <c r="A2166" s="40">
        <v>2214</v>
      </c>
      <c r="B2166" s="32" t="s">
        <v>2291</v>
      </c>
      <c r="C2166" s="33" t="s">
        <v>24</v>
      </c>
      <c r="D2166" s="34">
        <v>2008</v>
      </c>
      <c r="E2166" s="41"/>
      <c r="F2166" s="6"/>
      <c r="G2166" s="6">
        <v>7</v>
      </c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35">
        <f>SUM(F2166:R2166)</f>
        <v>7</v>
      </c>
      <c r="T2166" s="35">
        <f>COUNT(F2166:R2166)</f>
        <v>1</v>
      </c>
      <c r="U2166" s="36">
        <f>IF(T2166&gt;=2,ROUND((IF(T2166=2,0.55,IF(T2166&lt;=4,0.7,IF(T2166&lt;=6,0.8,IF(T2166&lt;=9,0.9,1))))*(S2166/T2166)+(1-(IF(T2166=2,0.55,IF(T2166&lt;=4,0.7,IF(T2166&lt;=6,0.8,IF(T2166&lt;=9,0.9,1))))))*$Y$1),1),"")</f>
      </c>
      <c r="V2166" s="37">
        <v>7.3</v>
      </c>
      <c r="W2166" s="38"/>
    </row>
    <row r="2167" ht="24" customHeight="1" spans="1:23" x14ac:dyDescent="0.25">
      <c r="A2167" s="31">
        <v>444</v>
      </c>
      <c r="B2167" s="32" t="s">
        <v>2292</v>
      </c>
      <c r="C2167" s="33" t="s">
        <v>24</v>
      </c>
      <c r="D2167" s="34">
        <v>1999</v>
      </c>
      <c r="E2167" s="34" t="s">
        <v>25</v>
      </c>
      <c r="F2167" s="6"/>
      <c r="G2167" s="6">
        <v>8</v>
      </c>
      <c r="H2167" s="6"/>
      <c r="I2167" s="6"/>
      <c r="J2167" s="6"/>
      <c r="K2167" s="6"/>
      <c r="L2167" s="6"/>
      <c r="M2167" s="6"/>
      <c r="N2167" s="6"/>
      <c r="O2167" s="6"/>
      <c r="P2167" s="6">
        <v>8</v>
      </c>
      <c r="Q2167" s="6"/>
      <c r="R2167" s="6"/>
      <c r="S2167" s="35">
        <f>SUM(F2167:R2167)</f>
        <v>16</v>
      </c>
      <c r="T2167" s="35">
        <f>COUNT(F2167:R2167)</f>
        <v>2</v>
      </c>
      <c r="U2167" s="36">
        <f>IF(T2167&gt;=2,ROUND((IF(T2167=2,0.55,IF(T2167&lt;=4,0.7,IF(T2167&lt;=6,0.8,IF(T2167&lt;=9,0.9,1))))*(S2167/T2167)+(1-(IF(T2167=2,0.55,IF(T2167&lt;=4,0.7,IF(T2167&lt;=6,0.8,IF(T2167&lt;=9,0.9,1))))))*$Y$1),1),"")</f>
        <v>8</v>
      </c>
      <c r="V2167" s="37">
        <v>6</v>
      </c>
      <c r="W2167" s="38"/>
    </row>
    <row r="2168" ht="24" customHeight="1" spans="1:23" x14ac:dyDescent="0.25">
      <c r="A2168" s="31">
        <v>3</v>
      </c>
      <c r="B2168" s="32" t="s">
        <v>2293</v>
      </c>
      <c r="C2168" s="33" t="s">
        <v>24</v>
      </c>
      <c r="D2168" s="34">
        <v>2018</v>
      </c>
      <c r="E2168" s="34" t="s">
        <v>30</v>
      </c>
      <c r="F2168" s="6"/>
      <c r="G2168" s="6">
        <v>8</v>
      </c>
      <c r="H2168" s="6"/>
      <c r="I2168" s="6"/>
      <c r="J2168" s="6">
        <v>8</v>
      </c>
      <c r="K2168" s="6">
        <v>6</v>
      </c>
      <c r="L2168" s="6"/>
      <c r="M2168" s="6">
        <v>8</v>
      </c>
      <c r="N2168" s="6">
        <v>8</v>
      </c>
      <c r="O2168" s="6"/>
      <c r="P2168" s="6"/>
      <c r="Q2168" s="6">
        <v>6</v>
      </c>
      <c r="R2168" s="6">
        <v>8</v>
      </c>
      <c r="S2168" s="35">
        <f>SUM(F2168:R2168)</f>
        <v>52</v>
      </c>
      <c r="T2168" s="35">
        <f>COUNT(F2168:R2168)</f>
        <v>7</v>
      </c>
      <c r="U2168" s="36">
        <f>IF(T2168&gt;=2,ROUND((IF(T2168=2,0.55,IF(T2168&lt;=4,0.7,IF(T2168&lt;=6,0.8,IF(T2168&lt;=9,0.9,1))))*(S2168/T2168)+(1-(IF(T2168=2,0.55,IF(T2168&lt;=4,0.7,IF(T2168&lt;=6,0.8,IF(T2168&lt;=9,0.9,1))))))*$Y$1),1),"")</f>
        <v>7.5</v>
      </c>
      <c r="V2168" s="37">
        <v>6.8</v>
      </c>
      <c r="W2168" s="38"/>
    </row>
    <row r="2169" ht="24" customHeight="1" spans="1:23" x14ac:dyDescent="0.25">
      <c r="A2169" s="31">
        <v>342</v>
      </c>
      <c r="B2169" s="32" t="s">
        <v>2294</v>
      </c>
      <c r="C2169" s="33" t="s">
        <v>24</v>
      </c>
      <c r="D2169" s="34">
        <v>2003</v>
      </c>
      <c r="E2169" s="34" t="s">
        <v>25</v>
      </c>
      <c r="F2169" s="6"/>
      <c r="G2169" s="6">
        <v>8</v>
      </c>
      <c r="H2169" s="6"/>
      <c r="I2169" s="6"/>
      <c r="J2169" s="6"/>
      <c r="K2169" s="6">
        <v>6</v>
      </c>
      <c r="L2169" s="6"/>
      <c r="M2169" s="6"/>
      <c r="N2169" s="6"/>
      <c r="O2169" s="6"/>
      <c r="P2169" s="6">
        <v>8</v>
      </c>
      <c r="Q2169" s="6">
        <v>6</v>
      </c>
      <c r="R2169" s="6"/>
      <c r="S2169" s="35">
        <f>SUM(F2169:R2169)</f>
        <v>28</v>
      </c>
      <c r="T2169" s="35">
        <f>COUNT(F2169:R2169)</f>
        <v>4</v>
      </c>
      <c r="U2169" s="36">
        <f>IF(T2169&gt;=2,ROUND((IF(T2169=2,0.55,IF(T2169&lt;=4,0.7,IF(T2169&lt;=6,0.8,IF(T2169&lt;=9,0.9,1))))*(S2169/T2169)+(1-(IF(T2169=2,0.55,IF(T2169&lt;=4,0.7,IF(T2169&lt;=6,0.8,IF(T2169&lt;=9,0.9,1))))))*$Y$1),1),"")</f>
        <v>7.3</v>
      </c>
      <c r="V2169" s="37">
        <v>7.6</v>
      </c>
      <c r="W2169" s="38"/>
    </row>
    <row r="2170" ht="24" customHeight="1" spans="1:23" x14ac:dyDescent="0.25">
      <c r="A2170" s="40">
        <v>2151</v>
      </c>
      <c r="B2170" s="32" t="s">
        <v>2295</v>
      </c>
      <c r="C2170" s="33" t="s">
        <v>24</v>
      </c>
      <c r="D2170" s="34">
        <v>2004</v>
      </c>
      <c r="E2170" s="41"/>
      <c r="F2170" s="6"/>
      <c r="G2170" s="6">
        <v>7</v>
      </c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35">
        <f>SUM(F2170:R2170)</f>
        <v>7</v>
      </c>
      <c r="T2170" s="35">
        <f>COUNT(F2170:R2170)</f>
        <v>1</v>
      </c>
      <c r="U2170" s="36">
        <f>IF(T2170&gt;=2,ROUND((IF(T2170=2,0.55,IF(T2170&lt;=4,0.7,IF(T2170&lt;=6,0.8,IF(T2170&lt;=9,0.9,1))))*(S2170/T2170)+(1-(IF(T2170=2,0.55,IF(T2170&lt;=4,0.7,IF(T2170&lt;=6,0.8,IF(T2170&lt;=9,0.9,1))))))*$Y$1),1),"")</f>
      </c>
      <c r="V2170" s="37">
        <v>7.4</v>
      </c>
      <c r="W2170" s="38"/>
    </row>
    <row r="2171" ht="24" customHeight="1" spans="1:23" x14ac:dyDescent="0.25">
      <c r="A2171" s="31">
        <v>561</v>
      </c>
      <c r="B2171" s="32" t="s">
        <v>2296</v>
      </c>
      <c r="C2171" s="33" t="s">
        <v>24</v>
      </c>
      <c r="D2171" s="34">
        <v>1968</v>
      </c>
      <c r="E2171" s="34" t="s">
        <v>52</v>
      </c>
      <c r="F2171" s="6"/>
      <c r="G2171" s="6">
        <v>8</v>
      </c>
      <c r="H2171" s="6"/>
      <c r="I2171" s="6"/>
      <c r="J2171" s="6">
        <v>10</v>
      </c>
      <c r="K2171" s="6"/>
      <c r="L2171" s="6"/>
      <c r="M2171" s="6"/>
      <c r="N2171" s="6">
        <v>8</v>
      </c>
      <c r="O2171" s="6"/>
      <c r="P2171" s="6">
        <v>8</v>
      </c>
      <c r="Q2171" s="6"/>
      <c r="R2171" s="6"/>
      <c r="S2171" s="35">
        <f>SUM(F2171:R2171)</f>
        <v>34</v>
      </c>
      <c r="T2171" s="35">
        <f>COUNT(F2171:R2171)</f>
        <v>4</v>
      </c>
      <c r="U2171" s="36">
        <f>IF(T2171&gt;=2,ROUND((IF(T2171=2,0.55,IF(T2171&lt;=4,0.7,IF(T2171&lt;=6,0.8,IF(T2171&lt;=9,0.9,1))))*(S2171/T2171)+(1-(IF(T2171=2,0.55,IF(T2171&lt;=4,0.7,IF(T2171&lt;=6,0.8,IF(T2171&lt;=9,0.9,1))))))*$Y$1),1),"")</f>
        <v>8.4</v>
      </c>
      <c r="V2171" s="37">
        <v>8.3</v>
      </c>
      <c r="W2171" s="38"/>
    </row>
    <row r="2172" ht="24" customHeight="1" spans="1:23" x14ac:dyDescent="0.25">
      <c r="A2172" s="31">
        <v>1769</v>
      </c>
      <c r="B2172" s="32" t="s">
        <v>2297</v>
      </c>
      <c r="C2172" s="33" t="s">
        <v>158</v>
      </c>
      <c r="D2172" s="34">
        <v>2023</v>
      </c>
      <c r="E2172" s="34" t="s">
        <v>25</v>
      </c>
      <c r="F2172" s="6"/>
      <c r="G2172" s="6">
        <v>10</v>
      </c>
      <c r="H2172" s="6"/>
      <c r="I2172" s="6"/>
      <c r="J2172" s="6"/>
      <c r="K2172" s="6"/>
      <c r="L2172" s="6"/>
      <c r="M2172" s="6"/>
      <c r="N2172" s="6">
        <v>10</v>
      </c>
      <c r="O2172" s="6"/>
      <c r="P2172" s="6"/>
      <c r="Q2172" s="6"/>
      <c r="R2172" s="6"/>
      <c r="S2172" s="35">
        <f>SUM(F2172:R2172)</f>
        <v>20</v>
      </c>
      <c r="T2172" s="35">
        <f>COUNT(F2172:R2172)</f>
        <v>2</v>
      </c>
      <c r="U2172" s="36">
        <f>IF(T2172&gt;=2,ROUND((IF(T2172=2,0.55,IF(T2172&lt;=4,0.7,IF(T2172&lt;=6,0.8,IF(T2172&lt;=9,0.9,1))))*(S2172/T2172)+(1-(IF(T2172=2,0.55,IF(T2172&lt;=4,0.7,IF(T2172&lt;=6,0.8,IF(T2172&lt;=9,0.9,1))))))*$Y$1),1),"")</f>
        <v>9.1</v>
      </c>
      <c r="V2172" s="37">
        <v>8.6</v>
      </c>
      <c r="W2172" s="38"/>
    </row>
    <row r="2173" ht="24" customHeight="1" spans="1:23" x14ac:dyDescent="0.25">
      <c r="A2173" s="40">
        <v>2158</v>
      </c>
      <c r="B2173" s="32" t="s">
        <v>2298</v>
      </c>
      <c r="C2173" s="33" t="s">
        <v>24</v>
      </c>
      <c r="D2173" s="34">
        <v>2005</v>
      </c>
      <c r="E2173" s="41"/>
      <c r="F2173" s="6"/>
      <c r="G2173" s="6">
        <v>7</v>
      </c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35">
        <f>SUM(F2173:R2173)</f>
        <v>7</v>
      </c>
      <c r="T2173" s="35">
        <f>COUNT(F2173:R2173)</f>
        <v>1</v>
      </c>
      <c r="U2173" s="36">
        <f>IF(T2173&gt;=2,ROUND((IF(T2173=2,0.55,IF(T2173&lt;=4,0.7,IF(T2173&lt;=6,0.8,IF(T2173&lt;=9,0.9,1))))*(S2173/T2173)+(1-(IF(T2173=2,0.55,IF(T2173&lt;=4,0.7,IF(T2173&lt;=6,0.8,IF(T2173&lt;=9,0.9,1))))))*$Y$1),1),"")</f>
      </c>
      <c r="V2173" s="37">
        <v>6.9</v>
      </c>
      <c r="W2173" s="38"/>
    </row>
    <row r="2174" ht="24" customHeight="1" spans="1:23" x14ac:dyDescent="0.25">
      <c r="A2174" s="31">
        <v>1591</v>
      </c>
      <c r="B2174" s="32" t="s">
        <v>2299</v>
      </c>
      <c r="C2174" s="33" t="s">
        <v>24</v>
      </c>
      <c r="D2174" s="34">
        <v>2020</v>
      </c>
      <c r="E2174" s="34" t="s">
        <v>30</v>
      </c>
      <c r="F2174" s="6"/>
      <c r="G2174" s="6"/>
      <c r="H2174" s="6">
        <v>8</v>
      </c>
      <c r="I2174" s="6"/>
      <c r="J2174" s="6">
        <v>8</v>
      </c>
      <c r="K2174" s="6">
        <v>7</v>
      </c>
      <c r="L2174" s="6">
        <v>7</v>
      </c>
      <c r="M2174" s="6">
        <v>8</v>
      </c>
      <c r="N2174" s="6"/>
      <c r="O2174" s="6">
        <v>8</v>
      </c>
      <c r="P2174" s="6"/>
      <c r="Q2174" s="6">
        <v>7</v>
      </c>
      <c r="R2174" s="6"/>
      <c r="S2174" s="35">
        <f>SUM(F2174:R2174)</f>
        <v>53</v>
      </c>
      <c r="T2174" s="35">
        <f>COUNT(F2174:R2174)</f>
        <v>7</v>
      </c>
      <c r="U2174" s="36">
        <f>IF(T2174&gt;=2,ROUND((IF(T2174=2,0.55,IF(T2174&lt;=4,0.7,IF(T2174&lt;=6,0.8,IF(T2174&lt;=9,0.9,1))))*(S2174/T2174)+(1-(IF(T2174=2,0.55,IF(T2174&lt;=4,0.7,IF(T2174&lt;=6,0.8,IF(T2174&lt;=9,0.9,1))))))*$Y$1),1),"")</f>
        <v>7.6</v>
      </c>
      <c r="V2174" s="37">
        <v>6.3</v>
      </c>
      <c r="W2174" s="38"/>
    </row>
    <row r="2175" ht="24" customHeight="1" spans="1:23" x14ac:dyDescent="0.25">
      <c r="A2175" s="31">
        <v>1548</v>
      </c>
      <c r="B2175" s="32" t="s">
        <v>2300</v>
      </c>
      <c r="C2175" s="33" t="s">
        <v>24</v>
      </c>
      <c r="D2175" s="34">
        <v>2022</v>
      </c>
      <c r="E2175" s="34" t="s">
        <v>30</v>
      </c>
      <c r="F2175" s="6"/>
      <c r="G2175" s="6"/>
      <c r="H2175" s="6"/>
      <c r="I2175" s="6"/>
      <c r="J2175" s="6"/>
      <c r="K2175" s="6"/>
      <c r="L2175" s="6"/>
      <c r="M2175" s="6"/>
      <c r="N2175" s="6"/>
      <c r="O2175" s="6">
        <v>8</v>
      </c>
      <c r="P2175" s="6"/>
      <c r="Q2175" s="6"/>
      <c r="R2175" s="6"/>
      <c r="S2175" s="35">
        <f>SUM(F2175:R2175)</f>
        <v>8</v>
      </c>
      <c r="T2175" s="35">
        <f>COUNT(F2175:R2175)</f>
        <v>1</v>
      </c>
      <c r="U2175" s="36">
        <f>IF(T2175&gt;=2,ROUND((IF(T2175=2,0.55,IF(T2175&lt;=4,0.7,IF(T2175&lt;=6,0.8,IF(T2175&lt;=9,0.9,1))))*(S2175/T2175)+(1-(IF(T2175=2,0.55,IF(T2175&lt;=4,0.7,IF(T2175&lt;=6,0.8,IF(T2175&lt;=9,0.9,1))))))*$Y$1),1),"")</f>
      </c>
      <c r="V2175" s="37">
        <v>6.7</v>
      </c>
      <c r="W2175" s="38"/>
    </row>
    <row r="2176" ht="24" customHeight="1" spans="1:23" x14ac:dyDescent="0.25">
      <c r="A2176" s="31">
        <v>2030</v>
      </c>
      <c r="B2176" s="32" t="s">
        <v>2301</v>
      </c>
      <c r="C2176" s="33" t="s">
        <v>29</v>
      </c>
      <c r="D2176" s="34">
        <v>2022</v>
      </c>
      <c r="E2176" s="41"/>
      <c r="F2176" s="6"/>
      <c r="G2176" s="6"/>
      <c r="H2176" s="6">
        <v>10</v>
      </c>
      <c r="I2176" s="6"/>
      <c r="J2176" s="6">
        <v>10</v>
      </c>
      <c r="K2176" s="6"/>
      <c r="L2176" s="6">
        <v>10</v>
      </c>
      <c r="M2176" s="6"/>
      <c r="N2176" s="6"/>
      <c r="O2176" s="6"/>
      <c r="P2176" s="6"/>
      <c r="Q2176" s="6"/>
      <c r="R2176" s="6"/>
      <c r="S2176" s="35">
        <f>SUM(F2176:R2176)</f>
        <v>30</v>
      </c>
      <c r="T2176" s="35">
        <f>COUNT(F2176:R2176)</f>
        <v>3</v>
      </c>
      <c r="U2176" s="36">
        <f>IF(T2176&gt;=2,ROUND((IF(T2176=2,0.55,IF(T2176&lt;=4,0.7,IF(T2176&lt;=6,0.8,IF(T2176&lt;=9,0.9,1))))*(S2176/T2176)+(1-(IF(T2176=2,0.55,IF(T2176&lt;=4,0.7,IF(T2176&lt;=6,0.8,IF(T2176&lt;=9,0.9,1))))))*$Y$1),1),"")</f>
        <v>9.4</v>
      </c>
      <c r="V2176" s="37">
        <v>8.3</v>
      </c>
      <c r="W2176" s="38"/>
    </row>
    <row r="2177" ht="24" customHeight="1" spans="1:23" x14ac:dyDescent="0.25">
      <c r="A2177" s="31">
        <v>1</v>
      </c>
      <c r="B2177" s="32" t="s">
        <v>2302</v>
      </c>
      <c r="C2177" s="33" t="s">
        <v>24</v>
      </c>
      <c r="D2177" s="34">
        <v>2019</v>
      </c>
      <c r="E2177" s="34" t="s">
        <v>100</v>
      </c>
      <c r="F2177" s="6"/>
      <c r="G2177" s="6">
        <v>8</v>
      </c>
      <c r="H2177" s="6"/>
      <c r="I2177" s="6">
        <v>8</v>
      </c>
      <c r="J2177" s="6">
        <v>9</v>
      </c>
      <c r="K2177" s="6">
        <v>8</v>
      </c>
      <c r="L2177" s="6">
        <v>10</v>
      </c>
      <c r="M2177" s="6"/>
      <c r="N2177" s="6">
        <v>8</v>
      </c>
      <c r="O2177" s="6"/>
      <c r="P2177" s="6">
        <v>8</v>
      </c>
      <c r="Q2177" s="6">
        <v>8</v>
      </c>
      <c r="R2177" s="6"/>
      <c r="S2177" s="35">
        <f>SUM(F2177:R2177)</f>
        <v>67</v>
      </c>
      <c r="T2177" s="35">
        <f>COUNT(F2177:R2177)</f>
        <v>8</v>
      </c>
      <c r="U2177" s="36">
        <f>IF(T2177&gt;=2,ROUND((IF(T2177=2,0.55,IF(T2177&lt;=4,0.7,IF(T2177&lt;=6,0.8,IF(T2177&lt;=9,0.9,1))))*(S2177/T2177)+(1-(IF(T2177=2,0.55,IF(T2177&lt;=4,0.7,IF(T2177&lt;=6,0.8,IF(T2177&lt;=9,0.9,1))))))*$Y$1),1),"")</f>
        <v>8.3</v>
      </c>
      <c r="V2177" s="37">
        <v>8.2</v>
      </c>
      <c r="W2177" s="38"/>
    </row>
    <row r="2178" ht="24" customHeight="1" spans="1:23" x14ac:dyDescent="0.25">
      <c r="A2178" s="31">
        <v>2003</v>
      </c>
      <c r="B2178" s="32" t="s">
        <v>2303</v>
      </c>
      <c r="C2178" s="33" t="s">
        <v>29</v>
      </c>
      <c r="D2178" s="34">
        <v>2021</v>
      </c>
      <c r="E2178" s="34" t="s">
        <v>30</v>
      </c>
      <c r="F2178" s="6"/>
      <c r="G2178" s="6"/>
      <c r="H2178" s="6">
        <v>9</v>
      </c>
      <c r="I2178" s="6"/>
      <c r="J2178" s="6">
        <v>8</v>
      </c>
      <c r="K2178" s="6"/>
      <c r="L2178" s="6">
        <v>9</v>
      </c>
      <c r="M2178" s="6"/>
      <c r="N2178" s="6"/>
      <c r="O2178" s="6"/>
      <c r="P2178" s="6"/>
      <c r="Q2178" s="6"/>
      <c r="R2178" s="6"/>
      <c r="S2178" s="35">
        <f>SUM(F2178:R2178)</f>
        <v>26</v>
      </c>
      <c r="T2178" s="35">
        <f>COUNT(F2178:R2178)</f>
        <v>3</v>
      </c>
      <c r="U2178" s="36">
        <f>IF(T2178&gt;=2,ROUND((IF(T2178=2,0.55,IF(T2178&lt;=4,0.7,IF(T2178&lt;=6,0.8,IF(T2178&lt;=9,0.9,1))))*(S2178/T2178)+(1-(IF(T2178=2,0.55,IF(T2178&lt;=4,0.7,IF(T2178&lt;=6,0.8,IF(T2178&lt;=9,0.9,1))))))*$Y$1),1),"")</f>
        <v>8.5</v>
      </c>
      <c r="V2178" s="37">
        <v>8.6</v>
      </c>
      <c r="W2178" s="38"/>
    </row>
    <row r="2179" ht="24" customHeight="1" spans="1:23" x14ac:dyDescent="0.25">
      <c r="A2179" s="31">
        <v>170</v>
      </c>
      <c r="B2179" s="32" t="s">
        <v>2304</v>
      </c>
      <c r="C2179" s="33" t="s">
        <v>24</v>
      </c>
      <c r="D2179" s="34">
        <v>2020</v>
      </c>
      <c r="E2179" s="34" t="s">
        <v>30</v>
      </c>
      <c r="F2179" s="6">
        <v>8</v>
      </c>
      <c r="G2179" s="6">
        <v>8</v>
      </c>
      <c r="H2179" s="6">
        <v>8</v>
      </c>
      <c r="I2179" s="6">
        <v>8</v>
      </c>
      <c r="J2179" s="6">
        <v>8</v>
      </c>
      <c r="K2179" s="6">
        <v>10</v>
      </c>
      <c r="L2179" s="6">
        <v>8</v>
      </c>
      <c r="M2179" s="6">
        <v>8</v>
      </c>
      <c r="N2179" s="6">
        <v>8</v>
      </c>
      <c r="O2179" s="6"/>
      <c r="P2179" s="6"/>
      <c r="Q2179" s="6">
        <v>10</v>
      </c>
      <c r="R2179" s="6">
        <v>8</v>
      </c>
      <c r="S2179" s="35">
        <f>SUM(F2179:R2179)</f>
        <v>92</v>
      </c>
      <c r="T2179" s="35">
        <f>COUNT(F2179:R2179)</f>
        <v>11</v>
      </c>
      <c r="U2179" s="36">
        <f>IF(T2179&gt;=2,ROUND((IF(T2179=2,0.55,IF(T2179&lt;=4,0.7,IF(T2179&lt;=6,0.8,IF(T2179&lt;=9,0.9,1))))*(S2179/T2179)+(1-(IF(T2179=2,0.55,IF(T2179&lt;=4,0.7,IF(T2179&lt;=6,0.8,IF(T2179&lt;=9,0.9,1))))))*$Y$1),1),"")</f>
        <v>8.4</v>
      </c>
      <c r="V2179" s="37">
        <v>6.9</v>
      </c>
      <c r="W2179" s="38"/>
    </row>
    <row r="2180" ht="24" customHeight="1" spans="1:23" x14ac:dyDescent="0.25">
      <c r="A2180" s="40">
        <v>2256</v>
      </c>
      <c r="B2180" s="32" t="s">
        <v>2305</v>
      </c>
      <c r="C2180" s="33" t="s">
        <v>24</v>
      </c>
      <c r="D2180" s="34">
        <v>2010</v>
      </c>
      <c r="E2180" s="41"/>
      <c r="F2180" s="6"/>
      <c r="G2180" s="6">
        <v>7</v>
      </c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35">
        <f>SUM(F2180:R2180)</f>
        <v>7</v>
      </c>
      <c r="T2180" s="35">
        <f>COUNT(F2180:R2180)</f>
        <v>1</v>
      </c>
      <c r="U2180" s="36">
        <f>IF(T2180&gt;=2,ROUND((IF(T2180=2,0.55,IF(T2180&lt;=4,0.7,IF(T2180&lt;=6,0.8,IF(T2180&lt;=9,0.9,1))))*(S2180/T2180)+(1-(IF(T2180=2,0.55,IF(T2180&lt;=4,0.7,IF(T2180&lt;=6,0.8,IF(T2180&lt;=9,0.9,1))))))*$Y$1),1),"")</f>
      </c>
      <c r="V2180" s="37">
        <v>7.5</v>
      </c>
      <c r="W2180" s="38"/>
    </row>
    <row r="2181" ht="24" customHeight="1" spans="1:23" x14ac:dyDescent="0.25">
      <c r="A2181" s="31">
        <v>757</v>
      </c>
      <c r="B2181" s="32" t="s">
        <v>2306</v>
      </c>
      <c r="C2181" s="33" t="s">
        <v>24</v>
      </c>
      <c r="D2181" s="34">
        <v>2012</v>
      </c>
      <c r="E2181" s="34" t="s">
        <v>27</v>
      </c>
      <c r="F2181" s="6"/>
      <c r="G2181" s="6">
        <v>8</v>
      </c>
      <c r="H2181" s="6"/>
      <c r="I2181" s="6"/>
      <c r="J2181" s="6"/>
      <c r="K2181" s="6">
        <v>6</v>
      </c>
      <c r="L2181" s="6"/>
      <c r="M2181" s="6"/>
      <c r="N2181" s="6"/>
      <c r="O2181" s="6"/>
      <c r="P2181" s="6"/>
      <c r="Q2181" s="6">
        <v>6</v>
      </c>
      <c r="R2181" s="6"/>
      <c r="S2181" s="35">
        <f>SUM(F2181:R2181)</f>
        <v>20</v>
      </c>
      <c r="T2181" s="35">
        <f>COUNT(F2181:R2181)</f>
        <v>3</v>
      </c>
      <c r="U2181" s="36">
        <f>IF(T2181&gt;=2,ROUND((IF(T2181=2,0.55,IF(T2181&lt;=4,0.7,IF(T2181&lt;=6,0.8,IF(T2181&lt;=9,0.9,1))))*(S2181/T2181)+(1-(IF(T2181=2,0.55,IF(T2181&lt;=4,0.7,IF(T2181&lt;=6,0.8,IF(T2181&lt;=9,0.9,1))))))*$Y$1),1),"")</f>
        <v>7.1</v>
      </c>
      <c r="V2181" s="37">
        <v>5.9</v>
      </c>
      <c r="W2181" s="38"/>
    </row>
    <row r="2182" ht="24" customHeight="1" spans="1:23" x14ac:dyDescent="0.25">
      <c r="A2182" s="31">
        <v>2</v>
      </c>
      <c r="B2182" s="32" t="s">
        <v>2307</v>
      </c>
      <c r="C2182" s="33" t="s">
        <v>24</v>
      </c>
      <c r="D2182" s="34">
        <v>1997</v>
      </c>
      <c r="E2182" s="34" t="s">
        <v>25</v>
      </c>
      <c r="F2182" s="6">
        <v>8</v>
      </c>
      <c r="G2182" s="6">
        <v>10</v>
      </c>
      <c r="H2182" s="6"/>
      <c r="I2182" s="6"/>
      <c r="J2182" s="6">
        <v>10</v>
      </c>
      <c r="K2182" s="6"/>
      <c r="L2182" s="6">
        <v>10</v>
      </c>
      <c r="M2182" s="6">
        <v>10</v>
      </c>
      <c r="N2182" s="6">
        <v>10</v>
      </c>
      <c r="O2182" s="6"/>
      <c r="P2182" s="6">
        <v>8</v>
      </c>
      <c r="Q2182" s="6"/>
      <c r="R2182" s="6"/>
      <c r="S2182" s="35">
        <f>SUM(F2182:R2182)</f>
        <v>66</v>
      </c>
      <c r="T2182" s="35">
        <f>COUNT(F2182:R2182)</f>
        <v>7</v>
      </c>
      <c r="U2182" s="36">
        <f>IF(T2182&gt;=2,ROUND((IF(T2182=2,0.55,IF(T2182&lt;=4,0.7,IF(T2182&lt;=6,0.8,IF(T2182&lt;=9,0.9,1))))*(S2182/T2182)+(1-(IF(T2182=2,0.55,IF(T2182&lt;=4,0.7,IF(T2182&lt;=6,0.8,IF(T2182&lt;=9,0.9,1))))))*$Y$1),1),"")</f>
        <v>9.3</v>
      </c>
      <c r="V2182" s="37">
        <v>7.8</v>
      </c>
      <c r="W2182" s="38"/>
    </row>
    <row r="2183" ht="24" customHeight="1" spans="1:23" x14ac:dyDescent="0.25">
      <c r="A2183" s="31">
        <v>1624</v>
      </c>
      <c r="B2183" s="32" t="s">
        <v>2308</v>
      </c>
      <c r="C2183" s="33" t="s">
        <v>24</v>
      </c>
      <c r="D2183" s="34">
        <v>2018</v>
      </c>
      <c r="E2183" s="34" t="s">
        <v>27</v>
      </c>
      <c r="F2183" s="6"/>
      <c r="G2183" s="6"/>
      <c r="H2183" s="6"/>
      <c r="I2183" s="6"/>
      <c r="J2183" s="6"/>
      <c r="K2183" s="6"/>
      <c r="L2183" s="6"/>
      <c r="M2183" s="6"/>
      <c r="N2183" s="6">
        <v>7</v>
      </c>
      <c r="O2183" s="6"/>
      <c r="P2183" s="6"/>
      <c r="Q2183" s="6"/>
      <c r="R2183" s="6"/>
      <c r="S2183" s="35">
        <f>SUM(F2183:R2183)</f>
        <v>7</v>
      </c>
      <c r="T2183" s="35">
        <f>COUNT(F2183:R2183)</f>
        <v>1</v>
      </c>
      <c r="U2183" s="36">
        <f>IF(T2183&gt;=2,ROUND((IF(T2183=2,0.55,IF(T2183&lt;=4,0.7,IF(T2183&lt;=6,0.8,IF(T2183&lt;=9,0.9,1))))*(S2183/T2183)+(1-(IF(T2183=2,0.55,IF(T2183&lt;=4,0.7,IF(T2183&lt;=6,0.8,IF(T2183&lt;=9,0.9,1))))))*$Y$1),1),"")</f>
      </c>
      <c r="V2183" s="37">
        <v>6.6</v>
      </c>
      <c r="W2183" s="38"/>
    </row>
    <row r="2184" ht="24" customHeight="1" spans="1:23" x14ac:dyDescent="0.25">
      <c r="A2184" s="31">
        <v>238</v>
      </c>
      <c r="B2184" s="32" t="s">
        <v>2309</v>
      </c>
      <c r="C2184" s="33" t="s">
        <v>24</v>
      </c>
      <c r="D2184" s="34">
        <v>2013</v>
      </c>
      <c r="E2184" s="34" t="s">
        <v>30</v>
      </c>
      <c r="F2184" s="6">
        <v>10</v>
      </c>
      <c r="G2184" s="6">
        <v>8</v>
      </c>
      <c r="H2184" s="6">
        <v>10</v>
      </c>
      <c r="I2184" s="6">
        <v>10</v>
      </c>
      <c r="J2184" s="6">
        <v>10</v>
      </c>
      <c r="K2184" s="6">
        <v>10</v>
      </c>
      <c r="L2184" s="6">
        <v>10</v>
      </c>
      <c r="M2184" s="6">
        <v>10</v>
      </c>
      <c r="N2184" s="6">
        <v>10</v>
      </c>
      <c r="O2184" s="6"/>
      <c r="P2184" s="6">
        <v>10</v>
      </c>
      <c r="Q2184" s="6">
        <v>10</v>
      </c>
      <c r="R2184" s="6">
        <v>10</v>
      </c>
      <c r="S2184" s="35">
        <f>SUM(F2184:R2184)</f>
        <v>118</v>
      </c>
      <c r="T2184" s="35">
        <f>COUNT(F2184:R2184)</f>
        <v>12</v>
      </c>
      <c r="U2184" s="36">
        <f>IF(T2184&gt;=2,ROUND((IF(T2184=2,0.55,IF(T2184&lt;=4,0.7,IF(T2184&lt;=6,0.8,IF(T2184&lt;=9,0.9,1))))*(S2184/T2184)+(1-(IF(T2184=2,0.55,IF(T2184&lt;=4,0.7,IF(T2184&lt;=6,0.8,IF(T2184&lt;=9,0.9,1))))))*$Y$1),1),"")</f>
        <v>9.8</v>
      </c>
      <c r="V2184" s="37">
        <v>8.1</v>
      </c>
      <c r="W2184" s="38"/>
    </row>
    <row r="2185" ht="24" customHeight="1" spans="1:23" x14ac:dyDescent="0.25">
      <c r="A2185" s="31">
        <v>34</v>
      </c>
      <c r="B2185" s="32" t="s">
        <v>2310</v>
      </c>
      <c r="C2185" s="33" t="s">
        <v>24</v>
      </c>
      <c r="D2185" s="34">
        <v>2016</v>
      </c>
      <c r="E2185" s="34" t="s">
        <v>30</v>
      </c>
      <c r="F2185" s="6"/>
      <c r="G2185" s="6"/>
      <c r="H2185" s="6">
        <v>8</v>
      </c>
      <c r="I2185" s="6">
        <v>10</v>
      </c>
      <c r="J2185" s="6">
        <v>8</v>
      </c>
      <c r="K2185" s="6">
        <v>8</v>
      </c>
      <c r="L2185" s="6">
        <v>8</v>
      </c>
      <c r="M2185" s="6"/>
      <c r="N2185" s="6"/>
      <c r="O2185" s="6">
        <v>8</v>
      </c>
      <c r="P2185" s="6"/>
      <c r="Q2185" s="6">
        <v>8</v>
      </c>
      <c r="R2185" s="6">
        <v>10</v>
      </c>
      <c r="S2185" s="35">
        <f>SUM(F2185:R2185)</f>
        <v>68</v>
      </c>
      <c r="T2185" s="35">
        <f>COUNT(F2185:R2185)</f>
        <v>8</v>
      </c>
      <c r="U2185" s="36">
        <f>IF(T2185&gt;=2,ROUND((IF(T2185=2,0.55,IF(T2185&lt;=4,0.7,IF(T2185&lt;=6,0.8,IF(T2185&lt;=9,0.9,1))))*(S2185/T2185)+(1-(IF(T2185=2,0.55,IF(T2185&lt;=4,0.7,IF(T2185&lt;=6,0.8,IF(T2185&lt;=9,0.9,1))))))*$Y$1),1),"")</f>
        <v>8.5</v>
      </c>
      <c r="V2185" s="37">
        <v>7.5</v>
      </c>
      <c r="W2185" s="38"/>
    </row>
    <row r="2186" ht="24" customHeight="1" spans="1:23" x14ac:dyDescent="0.25">
      <c r="A2186" s="31">
        <v>339</v>
      </c>
      <c r="B2186" s="32" t="s">
        <v>2311</v>
      </c>
      <c r="C2186" s="33" t="s">
        <v>24</v>
      </c>
      <c r="D2186" s="34">
        <v>2006</v>
      </c>
      <c r="E2186" s="34" t="s">
        <v>1063</v>
      </c>
      <c r="F2186" s="73"/>
      <c r="G2186" s="73">
        <v>8</v>
      </c>
      <c r="H2186" s="73"/>
      <c r="I2186" s="73"/>
      <c r="J2186" s="73"/>
      <c r="K2186" s="73">
        <v>8</v>
      </c>
      <c r="L2186" s="73"/>
      <c r="M2186" s="73"/>
      <c r="N2186" s="73"/>
      <c r="O2186" s="73"/>
      <c r="P2186" s="73"/>
      <c r="Q2186" s="73">
        <v>8</v>
      </c>
      <c r="R2186" s="73"/>
      <c r="S2186" s="35">
        <f>SUM(F2186:R2186)</f>
        <v>24</v>
      </c>
      <c r="T2186" s="35">
        <f>COUNT(F2186:R2186)</f>
        <v>3</v>
      </c>
      <c r="U2186" s="74">
        <f>IF(T2186&gt;=2,ROUND((IF(T2186=2,0.55,IF(T2186&lt;=4,0.7,IF(T2186&lt;=6,0.8,IF(T2186&lt;=9,0.9,1))))*(S2186/T2186)+(1-(IF(T2186=2,0.55,IF(T2186&lt;=4,0.7,IF(T2186&lt;=6,0.8,IF(T2186&lt;=9,0.9,1))))))*$Y$1),1),"")</f>
        <v>8</v>
      </c>
      <c r="V2186" s="37">
        <v>8</v>
      </c>
      <c r="W2186" s="38"/>
    </row>
    <row r="2187" ht="24" customHeight="1" spans="1:23" x14ac:dyDescent="0.25">
      <c r="A2187" s="31">
        <v>191</v>
      </c>
      <c r="B2187" s="32" t="s">
        <v>2312</v>
      </c>
      <c r="C2187" s="33" t="s">
        <v>24</v>
      </c>
      <c r="D2187" s="34">
        <v>1939</v>
      </c>
      <c r="E2187" s="34" t="s">
        <v>92</v>
      </c>
      <c r="F2187" s="73">
        <v>10</v>
      </c>
      <c r="G2187" s="73">
        <v>8.5</v>
      </c>
      <c r="H2187" s="73">
        <v>10</v>
      </c>
      <c r="I2187" s="73"/>
      <c r="J2187" s="73">
        <v>10</v>
      </c>
      <c r="K2187" s="73">
        <v>8</v>
      </c>
      <c r="L2187" s="73">
        <v>10</v>
      </c>
      <c r="M2187" s="73">
        <v>10</v>
      </c>
      <c r="N2187" s="73">
        <v>10</v>
      </c>
      <c r="O2187" s="73">
        <v>8</v>
      </c>
      <c r="P2187" s="73">
        <v>8</v>
      </c>
      <c r="Q2187" s="73">
        <v>8</v>
      </c>
      <c r="R2187" s="73"/>
      <c r="S2187" s="35">
        <f>SUM(F2187:R2187)</f>
        <v>100.5</v>
      </c>
      <c r="T2187" s="35">
        <f>COUNT(F2187:R2187)</f>
        <v>11</v>
      </c>
      <c r="U2187" s="74">
        <f>IF(T2187&gt;=2,ROUND((IF(T2187=2,0.55,IF(T2187&lt;=4,0.7,IF(T2187&lt;=6,0.8,IF(T2187&lt;=9,0.9,1))))*(S2187/T2187)+(1-(IF(T2187=2,0.55,IF(T2187&lt;=4,0.7,IF(T2187&lt;=6,0.8,IF(T2187&lt;=9,0.9,1))))))*$Y$1),1),"")</f>
        <v>9.1</v>
      </c>
      <c r="V2187" s="37">
        <v>8.2</v>
      </c>
      <c r="W2187" s="38"/>
    </row>
    <row r="2188" ht="24" customHeight="1" spans="1:23" x14ac:dyDescent="0.25">
      <c r="A2188" s="31">
        <v>443</v>
      </c>
      <c r="B2188" s="32" t="s">
        <v>2313</v>
      </c>
      <c r="C2188" s="33" t="s">
        <v>24</v>
      </c>
      <c r="D2188" s="34">
        <v>2009</v>
      </c>
      <c r="E2188" s="34" t="s">
        <v>237</v>
      </c>
      <c r="F2188" s="73"/>
      <c r="G2188" s="73">
        <v>8</v>
      </c>
      <c r="H2188" s="73"/>
      <c r="I2188" s="73"/>
      <c r="J2188" s="73"/>
      <c r="K2188" s="73"/>
      <c r="L2188" s="73"/>
      <c r="M2188" s="73"/>
      <c r="N2188" s="73"/>
      <c r="O2188" s="73"/>
      <c r="P2188" s="73">
        <v>8</v>
      </c>
      <c r="Q2188" s="73"/>
      <c r="R2188" s="73">
        <v>7</v>
      </c>
      <c r="S2188" s="35">
        <f>SUM(F2188:R2188)</f>
        <v>23</v>
      </c>
      <c r="T2188" s="35">
        <f>COUNT(F2188:R2188)</f>
        <v>3</v>
      </c>
      <c r="U2188" s="74">
        <f>IF(T2188&gt;=2,ROUND((IF(T2188=2,0.55,IF(T2188&lt;=4,0.7,IF(T2188&lt;=6,0.8,IF(T2188&lt;=9,0.9,1))))*(S2188/T2188)+(1-(IF(T2188=2,0.55,IF(T2188&lt;=4,0.7,IF(T2188&lt;=6,0.8,IF(T2188&lt;=9,0.9,1))))))*$Y$1),1),"")</f>
        <v>7.8</v>
      </c>
      <c r="V2188" s="37">
        <v>7.6</v>
      </c>
      <c r="W2188" s="38"/>
    </row>
    <row r="2189" ht="24" customHeight="1" spans="1:23" x14ac:dyDescent="0.25">
      <c r="A2189" s="31"/>
      <c r="B2189" s="32"/>
      <c r="C2189" s="33"/>
      <c r="D2189" s="34"/>
      <c r="E2189" s="34"/>
      <c r="F2189" s="75"/>
      <c r="G2189" s="76"/>
      <c r="H2189" s="77"/>
      <c r="I2189" s="78"/>
      <c r="J2189" s="79"/>
      <c r="K2189" s="80"/>
      <c r="L2189" s="81"/>
      <c r="M2189" s="82"/>
      <c r="N2189" s="83"/>
      <c r="O2189" s="84"/>
      <c r="P2189" s="85"/>
      <c r="Q2189" s="86"/>
      <c r="R2189" s="87"/>
      <c r="S2189" s="35"/>
      <c r="T2189" s="35"/>
      <c r="U2189" s="88"/>
      <c r="V2189" s="37"/>
      <c r="W2189" s="38"/>
    </row>
    <row r="2190" ht="24" customHeight="1" spans="1:23" x14ac:dyDescent="0.25">
      <c r="A2190" s="31"/>
      <c r="B2190" s="32"/>
      <c r="C2190" s="33"/>
      <c r="D2190" s="34"/>
      <c r="E2190" s="34"/>
      <c r="F2190" s="75"/>
      <c r="G2190" s="76"/>
      <c r="H2190" s="77"/>
      <c r="I2190" s="78"/>
      <c r="J2190" s="79"/>
      <c r="K2190" s="80"/>
      <c r="L2190" s="81"/>
      <c r="M2190" s="82"/>
      <c r="N2190" s="83"/>
      <c r="O2190" s="84"/>
      <c r="P2190" s="85"/>
      <c r="Q2190" s="86"/>
      <c r="R2190" s="87"/>
      <c r="S2190" s="35"/>
      <c r="T2190" s="35"/>
      <c r="U2190" s="88"/>
      <c r="V2190" s="37"/>
      <c r="W2190" s="38"/>
    </row>
    <row r="2191" ht="24" customHeight="1" spans="1:23" x14ac:dyDescent="0.25">
      <c r="A2191" s="31"/>
      <c r="B2191" s="32"/>
      <c r="C2191" s="33"/>
      <c r="D2191" s="34"/>
      <c r="E2191" s="34"/>
      <c r="F2191" s="75"/>
      <c r="G2191" s="76"/>
      <c r="H2191" s="77"/>
      <c r="I2191" s="78"/>
      <c r="J2191" s="79"/>
      <c r="K2191" s="80"/>
      <c r="L2191" s="81"/>
      <c r="M2191" s="82"/>
      <c r="N2191" s="83"/>
      <c r="O2191" s="84"/>
      <c r="P2191" s="85"/>
      <c r="Q2191" s="86"/>
      <c r="R2191" s="87"/>
      <c r="S2191" s="35"/>
      <c r="T2191" s="35"/>
      <c r="U2191" s="88"/>
      <c r="V2191" s="37"/>
      <c r="W2191" s="38"/>
    </row>
    <row r="2192" ht="24" customHeight="1" spans="1:23" x14ac:dyDescent="0.25">
      <c r="A2192" s="31"/>
      <c r="B2192" s="32"/>
      <c r="C2192" s="33"/>
      <c r="D2192" s="34"/>
      <c r="E2192" s="34"/>
      <c r="F2192" s="75"/>
      <c r="G2192" s="76"/>
      <c r="H2192" s="77"/>
      <c r="I2192" s="78"/>
      <c r="J2192" s="79"/>
      <c r="K2192" s="80"/>
      <c r="L2192" s="81"/>
      <c r="M2192" s="82"/>
      <c r="N2192" s="83"/>
      <c r="O2192" s="84"/>
      <c r="P2192" s="85"/>
      <c r="Q2192" s="86"/>
      <c r="R2192" s="87"/>
      <c r="S2192" s="35"/>
      <c r="T2192" s="35"/>
      <c r="U2192" s="88"/>
      <c r="V2192" s="37"/>
      <c r="W2192" s="38"/>
    </row>
    <row r="2193" ht="24" customHeight="1" spans="1:23" x14ac:dyDescent="0.25">
      <c r="A2193" s="31"/>
      <c r="B2193" s="32"/>
      <c r="C2193" s="33"/>
      <c r="D2193" s="34"/>
      <c r="E2193" s="34"/>
      <c r="F2193" s="75"/>
      <c r="G2193" s="76"/>
      <c r="H2193" s="77"/>
      <c r="I2193" s="78"/>
      <c r="J2193" s="79"/>
      <c r="K2193" s="80"/>
      <c r="L2193" s="81"/>
      <c r="M2193" s="82"/>
      <c r="N2193" s="83"/>
      <c r="O2193" s="84"/>
      <c r="P2193" s="85"/>
      <c r="Q2193" s="86"/>
      <c r="R2193" s="87"/>
      <c r="S2193" s="35"/>
      <c r="T2193" s="35"/>
      <c r="U2193" s="88"/>
      <c r="V2193" s="37"/>
      <c r="W2193" s="38"/>
    </row>
    <row r="2194" ht="24" customHeight="1" spans="1:23" x14ac:dyDescent="0.25">
      <c r="A2194" s="31"/>
      <c r="B2194" s="32"/>
      <c r="C2194" s="33"/>
      <c r="D2194" s="34"/>
      <c r="E2194" s="34"/>
      <c r="F2194" s="75"/>
      <c r="G2194" s="76"/>
      <c r="H2194" s="77"/>
      <c r="I2194" s="78"/>
      <c r="J2194" s="79"/>
      <c r="K2194" s="80"/>
      <c r="L2194" s="81"/>
      <c r="M2194" s="82"/>
      <c r="N2194" s="83"/>
      <c r="O2194" s="84"/>
      <c r="P2194" s="85"/>
      <c r="Q2194" s="86"/>
      <c r="R2194" s="87"/>
      <c r="S2194" s="35"/>
      <c r="T2194" s="35"/>
      <c r="U2194" s="88"/>
      <c r="V2194" s="37"/>
      <c r="W2194" s="38"/>
    </row>
    <row r="2195" ht="24" customHeight="1" spans="1:23" x14ac:dyDescent="0.25">
      <c r="A2195" s="31"/>
      <c r="B2195" s="32"/>
      <c r="C2195" s="33"/>
      <c r="D2195" s="34"/>
      <c r="E2195" s="34"/>
      <c r="F2195" s="75"/>
      <c r="G2195" s="76"/>
      <c r="H2195" s="77"/>
      <c r="I2195" s="78"/>
      <c r="J2195" s="79"/>
      <c r="K2195" s="80"/>
      <c r="L2195" s="81"/>
      <c r="M2195" s="82"/>
      <c r="N2195" s="83"/>
      <c r="O2195" s="84"/>
      <c r="P2195" s="85"/>
      <c r="Q2195" s="86"/>
      <c r="R2195" s="87"/>
      <c r="S2195" s="35"/>
      <c r="T2195" s="35"/>
      <c r="U2195" s="88"/>
      <c r="V2195" s="37"/>
      <c r="W2195" s="38"/>
    </row>
    <row r="2196" ht="24" customHeight="1" spans="1:23" x14ac:dyDescent="0.25">
      <c r="A2196" s="31"/>
      <c r="B2196" s="32"/>
      <c r="C2196" s="33"/>
      <c r="D2196" s="34"/>
      <c r="E2196" s="34"/>
      <c r="F2196" s="75"/>
      <c r="G2196" s="76"/>
      <c r="H2196" s="77"/>
      <c r="I2196" s="78"/>
      <c r="J2196" s="79"/>
      <c r="K2196" s="80"/>
      <c r="L2196" s="81"/>
      <c r="M2196" s="82"/>
      <c r="N2196" s="83"/>
      <c r="O2196" s="84"/>
      <c r="P2196" s="85"/>
      <c r="Q2196" s="86"/>
      <c r="R2196" s="87"/>
      <c r="S2196" s="35"/>
      <c r="T2196" s="35"/>
      <c r="U2196" s="88"/>
      <c r="V2196" s="37"/>
      <c r="W2196" s="38"/>
    </row>
    <row r="2197" ht="24" customHeight="1" spans="1:23" x14ac:dyDescent="0.25">
      <c r="A2197" s="31"/>
      <c r="B2197" s="32"/>
      <c r="C2197" s="33"/>
      <c r="D2197" s="34"/>
      <c r="E2197" s="34"/>
      <c r="F2197" s="75"/>
      <c r="G2197" s="76"/>
      <c r="H2197" s="77"/>
      <c r="I2197" s="78"/>
      <c r="J2197" s="79"/>
      <c r="K2197" s="80"/>
      <c r="L2197" s="81"/>
      <c r="M2197" s="82"/>
      <c r="N2197" s="83"/>
      <c r="O2197" s="84"/>
      <c r="P2197" s="85"/>
      <c r="Q2197" s="86"/>
      <c r="R2197" s="87"/>
      <c r="S2197" s="35"/>
      <c r="T2197" s="35"/>
      <c r="U2197" s="88"/>
      <c r="V2197" s="37"/>
      <c r="W2197" s="38"/>
    </row>
    <row r="2198" ht="24" customHeight="1" spans="1:23" x14ac:dyDescent="0.25">
      <c r="A2198" s="31"/>
      <c r="B2198" s="32"/>
      <c r="C2198" s="33"/>
      <c r="D2198" s="34"/>
      <c r="E2198" s="34"/>
      <c r="F2198" s="75"/>
      <c r="G2198" s="76"/>
      <c r="H2198" s="77"/>
      <c r="I2198" s="78"/>
      <c r="J2198" s="79"/>
      <c r="K2198" s="80"/>
      <c r="L2198" s="81"/>
      <c r="M2198" s="82"/>
      <c r="N2198" s="83"/>
      <c r="O2198" s="84"/>
      <c r="P2198" s="85"/>
      <c r="Q2198" s="86"/>
      <c r="R2198" s="87"/>
      <c r="S2198" s="35"/>
      <c r="T2198" s="35"/>
      <c r="U2198" s="88"/>
      <c r="V2198" s="37"/>
      <c r="W2198" s="38"/>
    </row>
    <row r="2199" ht="24" customHeight="1" spans="1:23" x14ac:dyDescent="0.25">
      <c r="A2199" s="31"/>
      <c r="B2199" s="32"/>
      <c r="C2199" s="33"/>
      <c r="D2199" s="34"/>
      <c r="E2199" s="34"/>
      <c r="F2199" s="75"/>
      <c r="G2199" s="76"/>
      <c r="H2199" s="77"/>
      <c r="I2199" s="78"/>
      <c r="J2199" s="79"/>
      <c r="K2199" s="80"/>
      <c r="L2199" s="81"/>
      <c r="M2199" s="82"/>
      <c r="N2199" s="83"/>
      <c r="O2199" s="84"/>
      <c r="P2199" s="85"/>
      <c r="Q2199" s="86"/>
      <c r="R2199" s="87"/>
      <c r="S2199" s="35"/>
      <c r="T2199" s="35"/>
      <c r="U2199" s="88"/>
      <c r="V2199" s="37"/>
      <c r="W2199" s="38"/>
    </row>
    <row r="2200" ht="24" customHeight="1" spans="1:23" x14ac:dyDescent="0.25">
      <c r="A2200" s="31"/>
      <c r="B2200" s="32"/>
      <c r="C2200" s="33"/>
      <c r="D2200" s="34"/>
      <c r="E2200" s="34"/>
      <c r="F2200" s="75"/>
      <c r="G2200" s="76"/>
      <c r="H2200" s="77"/>
      <c r="I2200" s="78"/>
      <c r="J2200" s="79"/>
      <c r="K2200" s="80"/>
      <c r="L2200" s="81"/>
      <c r="M2200" s="82"/>
      <c r="N2200" s="83"/>
      <c r="O2200" s="84"/>
      <c r="P2200" s="85"/>
      <c r="Q2200" s="86"/>
      <c r="R2200" s="87"/>
      <c r="S2200" s="35"/>
      <c r="T2200" s="35"/>
      <c r="U2200" s="88"/>
      <c r="V2200" s="37"/>
      <c r="W2200" s="38"/>
    </row>
    <row r="2201" ht="24" customHeight="1" spans="1:23" x14ac:dyDescent="0.25">
      <c r="A2201" s="31"/>
      <c r="B2201" s="32"/>
      <c r="C2201" s="33"/>
      <c r="D2201" s="34"/>
      <c r="E2201" s="34"/>
      <c r="F2201" s="75"/>
      <c r="G2201" s="76"/>
      <c r="H2201" s="77"/>
      <c r="I2201" s="78"/>
      <c r="J2201" s="79"/>
      <c r="K2201" s="80"/>
      <c r="L2201" s="81"/>
      <c r="M2201" s="82"/>
      <c r="N2201" s="83"/>
      <c r="O2201" s="84"/>
      <c r="P2201" s="85"/>
      <c r="Q2201" s="86"/>
      <c r="R2201" s="87"/>
      <c r="S2201" s="35"/>
      <c r="T2201" s="35"/>
      <c r="U2201" s="88"/>
      <c r="V2201" s="37"/>
      <c r="W2201" s="38"/>
    </row>
    <row r="2202" ht="24" customHeight="1" spans="1:23" x14ac:dyDescent="0.25">
      <c r="A2202" s="31"/>
      <c r="B2202" s="32"/>
      <c r="C2202" s="33"/>
      <c r="D2202" s="34"/>
      <c r="E2202" s="34"/>
      <c r="F2202" s="75"/>
      <c r="G2202" s="76"/>
      <c r="H2202" s="77"/>
      <c r="I2202" s="78"/>
      <c r="J2202" s="79"/>
      <c r="K2202" s="80"/>
      <c r="L2202" s="81"/>
      <c r="M2202" s="82"/>
      <c r="N2202" s="83"/>
      <c r="O2202" s="84"/>
      <c r="P2202" s="85"/>
      <c r="Q2202" s="86"/>
      <c r="R2202" s="87"/>
      <c r="S2202" s="35"/>
      <c r="T2202" s="35"/>
      <c r="U2202" s="88"/>
      <c r="V2202" s="37"/>
      <c r="W2202" s="38"/>
    </row>
    <row r="2203" ht="24" customHeight="1" spans="1:23" x14ac:dyDescent="0.25">
      <c r="A2203" s="31"/>
      <c r="B2203" s="32"/>
      <c r="C2203" s="33"/>
      <c r="D2203" s="34"/>
      <c r="E2203" s="34"/>
      <c r="F2203" s="75"/>
      <c r="G2203" s="76"/>
      <c r="H2203" s="77"/>
      <c r="I2203" s="78"/>
      <c r="J2203" s="79"/>
      <c r="K2203" s="80"/>
      <c r="L2203" s="81"/>
      <c r="M2203" s="82"/>
      <c r="N2203" s="83"/>
      <c r="O2203" s="84"/>
      <c r="P2203" s="85"/>
      <c r="Q2203" s="86"/>
      <c r="R2203" s="87"/>
      <c r="S2203" s="35"/>
      <c r="T2203" s="35"/>
      <c r="U2203" s="88"/>
      <c r="V2203" s="37"/>
      <c r="W2203" s="38"/>
    </row>
    <row r="2204" ht="24" customHeight="1" spans="1:23" x14ac:dyDescent="0.25">
      <c r="A2204" s="31"/>
      <c r="B2204" s="32"/>
      <c r="C2204" s="33"/>
      <c r="D2204" s="34"/>
      <c r="E2204" s="34"/>
      <c r="F2204" s="75"/>
      <c r="G2204" s="76"/>
      <c r="H2204" s="77"/>
      <c r="I2204" s="78"/>
      <c r="J2204" s="79"/>
      <c r="K2204" s="80"/>
      <c r="L2204" s="81"/>
      <c r="M2204" s="82"/>
      <c r="N2204" s="83"/>
      <c r="O2204" s="84"/>
      <c r="P2204" s="85"/>
      <c r="Q2204" s="86"/>
      <c r="R2204" s="87"/>
      <c r="S2204" s="35"/>
      <c r="T2204" s="35"/>
      <c r="U2204" s="88"/>
      <c r="V2204" s="37"/>
      <c r="W2204" s="38"/>
    </row>
    <row r="2205" ht="24" customHeight="1" spans="1:23" x14ac:dyDescent="0.25">
      <c r="A2205" s="31"/>
      <c r="B2205" s="32"/>
      <c r="C2205" s="33"/>
      <c r="D2205" s="34"/>
      <c r="E2205" s="34"/>
      <c r="F2205" s="75"/>
      <c r="G2205" s="76"/>
      <c r="H2205" s="77"/>
      <c r="I2205" s="78"/>
      <c r="J2205" s="79"/>
      <c r="K2205" s="80"/>
      <c r="L2205" s="81"/>
      <c r="M2205" s="82"/>
      <c r="N2205" s="83"/>
      <c r="O2205" s="84"/>
      <c r="P2205" s="85"/>
      <c r="Q2205" s="86"/>
      <c r="R2205" s="87"/>
      <c r="S2205" s="35"/>
      <c r="T2205" s="35"/>
      <c r="U2205" s="88"/>
      <c r="V2205" s="37"/>
      <c r="W2205" s="38"/>
    </row>
    <row r="2206" ht="24" customHeight="1" spans="1:23" x14ac:dyDescent="0.25">
      <c r="A2206" s="31"/>
      <c r="B2206" s="32"/>
      <c r="C2206" s="33"/>
      <c r="D2206" s="34"/>
      <c r="E2206" s="34"/>
      <c r="F2206" s="75"/>
      <c r="G2206" s="76"/>
      <c r="H2206" s="77"/>
      <c r="I2206" s="78"/>
      <c r="J2206" s="79"/>
      <c r="K2206" s="80"/>
      <c r="L2206" s="81"/>
      <c r="M2206" s="82"/>
      <c r="N2206" s="83"/>
      <c r="O2206" s="84"/>
      <c r="P2206" s="85"/>
      <c r="Q2206" s="86"/>
      <c r="R2206" s="87"/>
      <c r="S2206" s="35"/>
      <c r="T2206" s="35"/>
      <c r="U2206" s="88"/>
      <c r="V2206" s="37"/>
      <c r="W2206" s="38"/>
    </row>
    <row r="2207" ht="24" customHeight="1" spans="1:23" x14ac:dyDescent="0.25">
      <c r="A2207" s="31"/>
      <c r="B2207" s="32"/>
      <c r="C2207" s="33"/>
      <c r="D2207" s="34"/>
      <c r="E2207" s="34"/>
      <c r="F2207" s="75"/>
      <c r="G2207" s="76"/>
      <c r="H2207" s="77"/>
      <c r="I2207" s="78"/>
      <c r="J2207" s="79"/>
      <c r="K2207" s="80"/>
      <c r="L2207" s="81"/>
      <c r="M2207" s="82"/>
      <c r="N2207" s="83"/>
      <c r="O2207" s="84"/>
      <c r="P2207" s="85"/>
      <c r="Q2207" s="86"/>
      <c r="R2207" s="87"/>
      <c r="S2207" s="35"/>
      <c r="T2207" s="35"/>
      <c r="U2207" s="88"/>
      <c r="V2207" s="37"/>
      <c r="W2207" s="38"/>
    </row>
    <row r="2208" ht="24" customHeight="1" spans="1:23" x14ac:dyDescent="0.25">
      <c r="A2208" s="31"/>
      <c r="B2208" s="32"/>
      <c r="C2208" s="33"/>
      <c r="D2208" s="34"/>
      <c r="E2208" s="34"/>
      <c r="F2208" s="75"/>
      <c r="G2208" s="76"/>
      <c r="H2208" s="77"/>
      <c r="I2208" s="78"/>
      <c r="J2208" s="79"/>
      <c r="K2208" s="80"/>
      <c r="L2208" s="81"/>
      <c r="M2208" s="82"/>
      <c r="N2208" s="83"/>
      <c r="O2208" s="84"/>
      <c r="P2208" s="85"/>
      <c r="Q2208" s="86"/>
      <c r="R2208" s="87"/>
      <c r="S2208" s="35"/>
      <c r="T2208" s="35"/>
      <c r="U2208" s="88"/>
      <c r="V2208" s="37"/>
      <c r="W2208" s="38"/>
    </row>
    <row r="2209" ht="24" customHeight="1" spans="1:23" x14ac:dyDescent="0.25">
      <c r="A2209" s="31"/>
      <c r="B2209" s="32"/>
      <c r="C2209" s="33"/>
      <c r="D2209" s="34"/>
      <c r="E2209" s="34"/>
      <c r="F2209" s="75"/>
      <c r="G2209" s="76"/>
      <c r="H2209" s="77"/>
      <c r="I2209" s="78"/>
      <c r="J2209" s="79"/>
      <c r="K2209" s="80"/>
      <c r="L2209" s="81"/>
      <c r="M2209" s="82"/>
      <c r="N2209" s="83"/>
      <c r="O2209" s="84"/>
      <c r="P2209" s="85"/>
      <c r="Q2209" s="86"/>
      <c r="R2209" s="87"/>
      <c r="S2209" s="35"/>
      <c r="T2209" s="35"/>
      <c r="U2209" s="88"/>
      <c r="V2209" s="37"/>
      <c r="W2209" s="38"/>
    </row>
    <row r="2210" ht="24" customHeight="1" spans="1:23" x14ac:dyDescent="0.25">
      <c r="A2210" s="31"/>
      <c r="B2210" s="32"/>
      <c r="C2210" s="33"/>
      <c r="D2210" s="34"/>
      <c r="E2210" s="34"/>
      <c r="F2210" s="75"/>
      <c r="G2210" s="76"/>
      <c r="H2210" s="77"/>
      <c r="I2210" s="78"/>
      <c r="J2210" s="79"/>
      <c r="K2210" s="80"/>
      <c r="L2210" s="81"/>
      <c r="M2210" s="82"/>
      <c r="N2210" s="83"/>
      <c r="O2210" s="84"/>
      <c r="P2210" s="85"/>
      <c r="Q2210" s="86"/>
      <c r="R2210" s="87"/>
      <c r="S2210" s="35"/>
      <c r="T2210" s="35"/>
      <c r="U2210" s="88"/>
      <c r="V2210" s="37"/>
      <c r="W2210" s="38"/>
    </row>
    <row r="2211" ht="24" customHeight="1" spans="1:23" x14ac:dyDescent="0.25">
      <c r="A2211" s="31"/>
      <c r="B2211" s="32"/>
      <c r="C2211" s="33"/>
      <c r="D2211" s="34"/>
      <c r="E2211" s="34"/>
      <c r="F2211" s="75"/>
      <c r="G2211" s="76"/>
      <c r="H2211" s="77"/>
      <c r="I2211" s="78"/>
      <c r="J2211" s="79"/>
      <c r="K2211" s="80"/>
      <c r="L2211" s="81"/>
      <c r="M2211" s="82"/>
      <c r="N2211" s="83"/>
      <c r="O2211" s="84"/>
      <c r="P2211" s="85"/>
      <c r="Q2211" s="86"/>
      <c r="R2211" s="87"/>
      <c r="S2211" s="35"/>
      <c r="T2211" s="35"/>
      <c r="U2211" s="88"/>
      <c r="V2211" s="37"/>
      <c r="W2211" s="38"/>
    </row>
    <row r="2212" ht="24" customHeight="1" spans="1:23" x14ac:dyDescent="0.25">
      <c r="A2212" s="31"/>
      <c r="B2212" s="32"/>
      <c r="C2212" s="33"/>
      <c r="D2212" s="34"/>
      <c r="E2212" s="34"/>
      <c r="F2212" s="75"/>
      <c r="G2212" s="76"/>
      <c r="H2212" s="77"/>
      <c r="I2212" s="78"/>
      <c r="J2212" s="79"/>
      <c r="K2212" s="80"/>
      <c r="L2212" s="81"/>
      <c r="M2212" s="82"/>
      <c r="N2212" s="83"/>
      <c r="O2212" s="84"/>
      <c r="P2212" s="85"/>
      <c r="Q2212" s="86"/>
      <c r="R2212" s="87"/>
      <c r="S2212" s="35"/>
      <c r="T2212" s="35"/>
      <c r="U2212" s="88"/>
      <c r="V2212" s="37"/>
      <c r="W2212" s="38"/>
    </row>
    <row r="2213" ht="24" customHeight="1" spans="1:23" x14ac:dyDescent="0.25">
      <c r="A2213" s="31"/>
      <c r="B2213" s="32"/>
      <c r="C2213" s="33"/>
      <c r="D2213" s="34"/>
      <c r="E2213" s="34"/>
      <c r="F2213" s="75"/>
      <c r="G2213" s="76"/>
      <c r="H2213" s="77"/>
      <c r="I2213" s="78"/>
      <c r="J2213" s="79"/>
      <c r="K2213" s="80"/>
      <c r="L2213" s="81"/>
      <c r="M2213" s="82"/>
      <c r="N2213" s="83"/>
      <c r="O2213" s="84"/>
      <c r="P2213" s="85"/>
      <c r="Q2213" s="86"/>
      <c r="R2213" s="87"/>
      <c r="S2213" s="35"/>
      <c r="T2213" s="35"/>
      <c r="U2213" s="88"/>
      <c r="V2213" s="37"/>
      <c r="W2213" s="38"/>
    </row>
    <row r="2214" ht="24" customHeight="1" spans="1:23" x14ac:dyDescent="0.25">
      <c r="A2214" s="31"/>
      <c r="B2214" s="32"/>
      <c r="C2214" s="33"/>
      <c r="D2214" s="34"/>
      <c r="E2214" s="34"/>
      <c r="F2214" s="75"/>
      <c r="G2214" s="76"/>
      <c r="H2214" s="77"/>
      <c r="I2214" s="78"/>
      <c r="J2214" s="79"/>
      <c r="K2214" s="80"/>
      <c r="L2214" s="81"/>
      <c r="M2214" s="82"/>
      <c r="N2214" s="83"/>
      <c r="O2214" s="84"/>
      <c r="P2214" s="85"/>
      <c r="Q2214" s="86"/>
      <c r="R2214" s="87"/>
      <c r="S2214" s="35"/>
      <c r="T2214" s="35"/>
      <c r="U2214" s="88"/>
      <c r="V2214" s="37"/>
      <c r="W2214" s="38"/>
    </row>
    <row r="2215" ht="24" customHeight="1" spans="1:23" x14ac:dyDescent="0.25">
      <c r="A2215" s="31"/>
      <c r="B2215" s="32"/>
      <c r="C2215" s="33"/>
      <c r="D2215" s="34"/>
      <c r="E2215" s="34"/>
      <c r="F2215" s="75"/>
      <c r="G2215" s="76"/>
      <c r="H2215" s="77"/>
      <c r="I2215" s="78"/>
      <c r="J2215" s="79"/>
      <c r="K2215" s="80"/>
      <c r="L2215" s="81"/>
      <c r="M2215" s="82"/>
      <c r="N2215" s="83"/>
      <c r="O2215" s="84"/>
      <c r="P2215" s="85"/>
      <c r="Q2215" s="86"/>
      <c r="R2215" s="87"/>
      <c r="S2215" s="35"/>
      <c r="T2215" s="35"/>
      <c r="U2215" s="88"/>
      <c r="V2215" s="37"/>
      <c r="W2215" s="38"/>
    </row>
    <row r="2216" ht="24" customHeight="1" spans="1:23" x14ac:dyDescent="0.25">
      <c r="A2216" s="31"/>
      <c r="B2216" s="32"/>
      <c r="C2216" s="33"/>
      <c r="D2216" s="34"/>
      <c r="E2216" s="34"/>
      <c r="F2216" s="75"/>
      <c r="G2216" s="76"/>
      <c r="H2216" s="77"/>
      <c r="I2216" s="78"/>
      <c r="J2216" s="79"/>
      <c r="K2216" s="80"/>
      <c r="L2216" s="81"/>
      <c r="M2216" s="82"/>
      <c r="N2216" s="83"/>
      <c r="O2216" s="84"/>
      <c r="P2216" s="85"/>
      <c r="Q2216" s="86"/>
      <c r="R2216" s="87"/>
      <c r="S2216" s="35"/>
      <c r="T2216" s="35"/>
      <c r="U2216" s="88"/>
      <c r="V2216" s="37"/>
      <c r="W2216" s="38"/>
    </row>
    <row r="2217" ht="24" customHeight="1" spans="1:23" x14ac:dyDescent="0.25">
      <c r="A2217" s="31"/>
      <c r="B2217" s="32"/>
      <c r="C2217" s="33"/>
      <c r="D2217" s="34"/>
      <c r="E2217" s="34"/>
      <c r="F2217" s="75"/>
      <c r="G2217" s="76"/>
      <c r="H2217" s="77"/>
      <c r="I2217" s="78"/>
      <c r="J2217" s="79"/>
      <c r="K2217" s="80"/>
      <c r="L2217" s="81"/>
      <c r="M2217" s="82"/>
      <c r="N2217" s="83"/>
      <c r="O2217" s="84"/>
      <c r="P2217" s="85"/>
      <c r="Q2217" s="86"/>
      <c r="R2217" s="87"/>
      <c r="S2217" s="35"/>
      <c r="T2217" s="35"/>
      <c r="U2217" s="88"/>
      <c r="V2217" s="37"/>
      <c r="W2217" s="38"/>
    </row>
    <row r="2218" ht="24" customHeight="1" spans="1:23" x14ac:dyDescent="0.25">
      <c r="A2218" s="31"/>
      <c r="B2218" s="32"/>
      <c r="C2218" s="33"/>
      <c r="D2218" s="34"/>
      <c r="E2218" s="34"/>
      <c r="F2218" s="75"/>
      <c r="G2218" s="76"/>
      <c r="H2218" s="77"/>
      <c r="I2218" s="78"/>
      <c r="J2218" s="79"/>
      <c r="K2218" s="80"/>
      <c r="L2218" s="81"/>
      <c r="M2218" s="82"/>
      <c r="N2218" s="83"/>
      <c r="O2218" s="84"/>
      <c r="P2218" s="85"/>
      <c r="Q2218" s="86"/>
      <c r="R2218" s="87"/>
      <c r="S2218" s="35"/>
      <c r="T2218" s="35"/>
      <c r="U2218" s="88"/>
      <c r="V2218" s="37"/>
      <c r="W2218" s="38"/>
    </row>
    <row r="2219" ht="24" customHeight="1" spans="1:23" x14ac:dyDescent="0.25">
      <c r="A2219" s="31"/>
      <c r="B2219" s="32"/>
      <c r="C2219" s="33"/>
      <c r="D2219" s="34"/>
      <c r="E2219" s="34"/>
      <c r="F2219" s="75"/>
      <c r="G2219" s="76"/>
      <c r="H2219" s="77"/>
      <c r="I2219" s="78"/>
      <c r="J2219" s="79"/>
      <c r="K2219" s="80"/>
      <c r="L2219" s="81"/>
      <c r="M2219" s="82"/>
      <c r="N2219" s="83"/>
      <c r="O2219" s="84"/>
      <c r="P2219" s="85"/>
      <c r="Q2219" s="86"/>
      <c r="R2219" s="87"/>
      <c r="S2219" s="35"/>
      <c r="T2219" s="35"/>
      <c r="U2219" s="88"/>
      <c r="V2219" s="37"/>
      <c r="W2219" s="38"/>
    </row>
    <row r="2220" ht="24" customHeight="1" spans="1:23" x14ac:dyDescent="0.25">
      <c r="A2220" s="31"/>
      <c r="B2220" s="32"/>
      <c r="C2220" s="33"/>
      <c r="D2220" s="34"/>
      <c r="E2220" s="34"/>
      <c r="F2220" s="75"/>
      <c r="G2220" s="76"/>
      <c r="H2220" s="77"/>
      <c r="I2220" s="78"/>
      <c r="J2220" s="79"/>
      <c r="K2220" s="80"/>
      <c r="L2220" s="81"/>
      <c r="M2220" s="82"/>
      <c r="N2220" s="83"/>
      <c r="O2220" s="84"/>
      <c r="P2220" s="85"/>
      <c r="Q2220" s="86"/>
      <c r="R2220" s="87"/>
      <c r="S2220" s="35"/>
      <c r="T2220" s="35"/>
      <c r="U2220" s="88"/>
      <c r="V2220" s="37"/>
      <c r="W2220" s="38"/>
    </row>
    <row r="2221" ht="24" customHeight="1" spans="1:23" x14ac:dyDescent="0.25">
      <c r="A2221" s="31"/>
      <c r="B2221" s="32"/>
      <c r="C2221" s="33"/>
      <c r="D2221" s="34"/>
      <c r="E2221" s="34"/>
      <c r="F2221" s="75"/>
      <c r="G2221" s="76"/>
      <c r="H2221" s="77"/>
      <c r="I2221" s="78"/>
      <c r="J2221" s="79"/>
      <c r="K2221" s="80"/>
      <c r="L2221" s="81"/>
      <c r="M2221" s="82"/>
      <c r="N2221" s="83"/>
      <c r="O2221" s="84"/>
      <c r="P2221" s="85"/>
      <c r="Q2221" s="86"/>
      <c r="R2221" s="87"/>
      <c r="S2221" s="35"/>
      <c r="T2221" s="35"/>
      <c r="U2221" s="88"/>
      <c r="V2221" s="37"/>
      <c r="W2221" s="38"/>
    </row>
    <row r="2222" ht="24" customHeight="1" spans="1:23" x14ac:dyDescent="0.25">
      <c r="A2222" s="31"/>
      <c r="B2222" s="32"/>
      <c r="C2222" s="33"/>
      <c r="D2222" s="34"/>
      <c r="E2222" s="34"/>
      <c r="F2222" s="75"/>
      <c r="G2222" s="76"/>
      <c r="H2222" s="77"/>
      <c r="I2222" s="78"/>
      <c r="J2222" s="79"/>
      <c r="K2222" s="80"/>
      <c r="L2222" s="81"/>
      <c r="M2222" s="82"/>
      <c r="N2222" s="83"/>
      <c r="O2222" s="84"/>
      <c r="P2222" s="85"/>
      <c r="Q2222" s="86"/>
      <c r="R2222" s="87"/>
      <c r="S2222" s="35"/>
      <c r="T2222" s="35"/>
      <c r="U2222" s="88"/>
      <c r="V2222" s="37"/>
      <c r="W2222" s="38"/>
    </row>
    <row r="2223" ht="24" customHeight="1" spans="1:23" x14ac:dyDescent="0.25">
      <c r="A2223" s="31"/>
      <c r="B2223" s="32"/>
      <c r="C2223" s="33"/>
      <c r="D2223" s="34"/>
      <c r="E2223" s="34"/>
      <c r="F2223" s="75"/>
      <c r="G2223" s="76"/>
      <c r="H2223" s="77"/>
      <c r="I2223" s="78"/>
      <c r="J2223" s="79"/>
      <c r="K2223" s="80"/>
      <c r="L2223" s="81"/>
      <c r="M2223" s="82"/>
      <c r="N2223" s="83"/>
      <c r="O2223" s="84"/>
      <c r="P2223" s="85"/>
      <c r="Q2223" s="86"/>
      <c r="R2223" s="87"/>
      <c r="S2223" s="35"/>
      <c r="T2223" s="35"/>
      <c r="U2223" s="88"/>
      <c r="V2223" s="37"/>
      <c r="W2223" s="38"/>
    </row>
    <row r="2224" ht="24" customHeight="1" spans="1:23" x14ac:dyDescent="0.25">
      <c r="A2224" s="31"/>
      <c r="B2224" s="32"/>
      <c r="C2224" s="33"/>
      <c r="D2224" s="34"/>
      <c r="E2224" s="34"/>
      <c r="F2224" s="75"/>
      <c r="G2224" s="76"/>
      <c r="H2224" s="77"/>
      <c r="I2224" s="78"/>
      <c r="J2224" s="79"/>
      <c r="K2224" s="80"/>
      <c r="L2224" s="81"/>
      <c r="M2224" s="82"/>
      <c r="N2224" s="83"/>
      <c r="O2224" s="84"/>
      <c r="P2224" s="85"/>
      <c r="Q2224" s="86"/>
      <c r="R2224" s="87"/>
      <c r="S2224" s="35"/>
      <c r="T2224" s="35"/>
      <c r="U2224" s="88"/>
      <c r="V2224" s="37"/>
      <c r="W2224" s="38"/>
    </row>
    <row r="2225" ht="24" customHeight="1" spans="1:23" x14ac:dyDescent="0.25">
      <c r="A2225" s="31"/>
      <c r="B2225" s="32"/>
      <c r="C2225" s="33"/>
      <c r="D2225" s="34"/>
      <c r="E2225" s="34"/>
      <c r="F2225" s="75"/>
      <c r="G2225" s="76"/>
      <c r="H2225" s="77"/>
      <c r="I2225" s="78"/>
      <c r="J2225" s="79"/>
      <c r="K2225" s="80"/>
      <c r="L2225" s="81"/>
      <c r="M2225" s="82"/>
      <c r="N2225" s="83"/>
      <c r="O2225" s="84"/>
      <c r="P2225" s="85"/>
      <c r="Q2225" s="86"/>
      <c r="R2225" s="87"/>
      <c r="S2225" s="35"/>
      <c r="T2225" s="35"/>
      <c r="U2225" s="88"/>
      <c r="V2225" s="37"/>
      <c r="W2225" s="38"/>
    </row>
    <row r="2226" ht="24" customHeight="1" spans="1:23" x14ac:dyDescent="0.25">
      <c r="A2226" s="31"/>
      <c r="B2226" s="32"/>
      <c r="C2226" s="33"/>
      <c r="D2226" s="34"/>
      <c r="E2226" s="34"/>
      <c r="F2226" s="75"/>
      <c r="G2226" s="76"/>
      <c r="H2226" s="77"/>
      <c r="I2226" s="78"/>
      <c r="J2226" s="79"/>
      <c r="K2226" s="80"/>
      <c r="L2226" s="81"/>
      <c r="M2226" s="82"/>
      <c r="N2226" s="83"/>
      <c r="O2226" s="84"/>
      <c r="P2226" s="85"/>
      <c r="Q2226" s="86"/>
      <c r="R2226" s="87"/>
      <c r="S2226" s="35"/>
      <c r="T2226" s="35"/>
      <c r="U2226" s="88"/>
      <c r="V2226" s="37"/>
      <c r="W2226" s="38"/>
    </row>
    <row r="2227" ht="24" customHeight="1" spans="1:23" x14ac:dyDescent="0.25">
      <c r="A2227" s="31"/>
      <c r="B2227" s="32"/>
      <c r="C2227" s="33"/>
      <c r="D2227" s="34"/>
      <c r="E2227" s="34"/>
      <c r="F2227" s="75"/>
      <c r="G2227" s="76"/>
      <c r="H2227" s="77"/>
      <c r="I2227" s="78"/>
      <c r="J2227" s="79"/>
      <c r="K2227" s="80"/>
      <c r="L2227" s="81"/>
      <c r="M2227" s="82"/>
      <c r="N2227" s="83"/>
      <c r="O2227" s="84"/>
      <c r="P2227" s="85"/>
      <c r="Q2227" s="86"/>
      <c r="R2227" s="87"/>
      <c r="S2227" s="35"/>
      <c r="T2227" s="35"/>
      <c r="U2227" s="88"/>
      <c r="V2227" s="37"/>
      <c r="W2227" s="38"/>
    </row>
    <row r="2228" ht="24" customHeight="1" spans="1:23" x14ac:dyDescent="0.25">
      <c r="A2228" s="31"/>
      <c r="B2228" s="32"/>
      <c r="C2228" s="33"/>
      <c r="D2228" s="34"/>
      <c r="E2228" s="34"/>
      <c r="F2228" s="75"/>
      <c r="G2228" s="76"/>
      <c r="H2228" s="77"/>
      <c r="I2228" s="78"/>
      <c r="J2228" s="79"/>
      <c r="K2228" s="80"/>
      <c r="L2228" s="81"/>
      <c r="M2228" s="82"/>
      <c r="N2228" s="83"/>
      <c r="O2228" s="84"/>
      <c r="P2228" s="85"/>
      <c r="Q2228" s="86"/>
      <c r="R2228" s="87"/>
      <c r="S2228" s="35"/>
      <c r="T2228" s="35"/>
      <c r="U2228" s="88"/>
      <c r="V2228" s="37"/>
      <c r="W2228" s="38"/>
    </row>
    <row r="2229" ht="24" customHeight="1" spans="1:23" x14ac:dyDescent="0.25">
      <c r="A2229" s="31"/>
      <c r="B2229" s="32"/>
      <c r="C2229" s="33"/>
      <c r="D2229" s="34"/>
      <c r="E2229" s="34"/>
      <c r="F2229" s="75"/>
      <c r="G2229" s="76"/>
      <c r="H2229" s="77"/>
      <c r="I2229" s="78"/>
      <c r="J2229" s="79"/>
      <c r="K2229" s="80"/>
      <c r="L2229" s="81"/>
      <c r="M2229" s="82"/>
      <c r="N2229" s="83"/>
      <c r="O2229" s="84"/>
      <c r="P2229" s="85"/>
      <c r="Q2229" s="86"/>
      <c r="R2229" s="87"/>
      <c r="S2229" s="35"/>
      <c r="T2229" s="35"/>
      <c r="U2229" s="88"/>
      <c r="V2229" s="37"/>
      <c r="W2229" s="38"/>
    </row>
    <row r="2230" ht="24" customHeight="1" spans="1:23" x14ac:dyDescent="0.25">
      <c r="A2230" s="31"/>
      <c r="B2230" s="32"/>
      <c r="C2230" s="33"/>
      <c r="D2230" s="34"/>
      <c r="E2230" s="34"/>
      <c r="F2230" s="75"/>
      <c r="G2230" s="76"/>
      <c r="H2230" s="77"/>
      <c r="I2230" s="78"/>
      <c r="J2230" s="79"/>
      <c r="K2230" s="80"/>
      <c r="L2230" s="81"/>
      <c r="M2230" s="82"/>
      <c r="N2230" s="83"/>
      <c r="O2230" s="84"/>
      <c r="P2230" s="85"/>
      <c r="Q2230" s="86"/>
      <c r="R2230" s="87"/>
      <c r="S2230" s="35"/>
      <c r="T2230" s="35"/>
      <c r="U2230" s="88"/>
      <c r="V2230" s="37"/>
      <c r="W2230" s="38"/>
    </row>
    <row r="2231" ht="24" customHeight="1" spans="1:23" x14ac:dyDescent="0.25">
      <c r="A2231" s="31"/>
      <c r="B2231" s="32"/>
      <c r="C2231" s="33"/>
      <c r="D2231" s="34"/>
      <c r="E2231" s="34"/>
      <c r="F2231" s="75"/>
      <c r="G2231" s="76"/>
      <c r="H2231" s="77"/>
      <c r="I2231" s="78"/>
      <c r="J2231" s="79"/>
      <c r="K2231" s="80"/>
      <c r="L2231" s="81"/>
      <c r="M2231" s="82"/>
      <c r="N2231" s="83"/>
      <c r="O2231" s="84"/>
      <c r="P2231" s="85"/>
      <c r="Q2231" s="86"/>
      <c r="R2231" s="87"/>
      <c r="S2231" s="35"/>
      <c r="T2231" s="35"/>
      <c r="U2231" s="88"/>
      <c r="V2231" s="37"/>
      <c r="W2231" s="38"/>
    </row>
    <row r="2232" ht="24" customHeight="1" spans="1:23" x14ac:dyDescent="0.25">
      <c r="A2232" s="31"/>
      <c r="B2232" s="32"/>
      <c r="C2232" s="33"/>
      <c r="D2232" s="34"/>
      <c r="E2232" s="34"/>
      <c r="F2232" s="75"/>
      <c r="G2232" s="76"/>
      <c r="H2232" s="77"/>
      <c r="I2232" s="78"/>
      <c r="J2232" s="79"/>
      <c r="K2232" s="80"/>
      <c r="L2232" s="81"/>
      <c r="M2232" s="82"/>
      <c r="N2232" s="83"/>
      <c r="O2232" s="84"/>
      <c r="P2232" s="85"/>
      <c r="Q2232" s="86"/>
      <c r="R2232" s="87"/>
      <c r="S2232" s="35"/>
      <c r="T2232" s="35"/>
      <c r="U2232" s="88"/>
      <c r="V2232" s="37"/>
      <c r="W2232" s="38"/>
    </row>
    <row r="2233" ht="24" customHeight="1" spans="1:23" x14ac:dyDescent="0.25">
      <c r="A2233" s="31"/>
      <c r="B2233" s="32"/>
      <c r="C2233" s="33"/>
      <c r="D2233" s="34"/>
      <c r="E2233" s="34"/>
      <c r="F2233" s="75"/>
      <c r="G2233" s="76"/>
      <c r="H2233" s="77"/>
      <c r="I2233" s="78"/>
      <c r="J2233" s="79"/>
      <c r="K2233" s="80"/>
      <c r="L2233" s="81"/>
      <c r="M2233" s="82"/>
      <c r="N2233" s="83"/>
      <c r="O2233" s="84"/>
      <c r="P2233" s="85"/>
      <c r="Q2233" s="86"/>
      <c r="R2233" s="87"/>
      <c r="S2233" s="35"/>
      <c r="T2233" s="35"/>
      <c r="U2233" s="88"/>
      <c r="V2233" s="37"/>
      <c r="W2233" s="38"/>
    </row>
    <row r="2234" ht="24" customHeight="1" spans="1:23" x14ac:dyDescent="0.25">
      <c r="A2234" s="31"/>
      <c r="B2234" s="32"/>
      <c r="C2234" s="33"/>
      <c r="D2234" s="34"/>
      <c r="E2234" s="34"/>
      <c r="F2234" s="75"/>
      <c r="G2234" s="76"/>
      <c r="H2234" s="77"/>
      <c r="I2234" s="78"/>
      <c r="J2234" s="79"/>
      <c r="K2234" s="80"/>
      <c r="L2234" s="81"/>
      <c r="M2234" s="82"/>
      <c r="N2234" s="83"/>
      <c r="O2234" s="84"/>
      <c r="P2234" s="85"/>
      <c r="Q2234" s="86"/>
      <c r="R2234" s="87"/>
      <c r="S2234" s="35"/>
      <c r="T2234" s="35"/>
      <c r="U2234" s="88"/>
      <c r="V2234" s="37"/>
      <c r="W2234" s="38"/>
    </row>
    <row r="2235" ht="24" customHeight="1" spans="1:23" x14ac:dyDescent="0.25">
      <c r="A2235" s="31"/>
      <c r="B2235" s="32"/>
      <c r="C2235" s="33"/>
      <c r="D2235" s="34"/>
      <c r="E2235" s="34"/>
      <c r="F2235" s="75"/>
      <c r="G2235" s="76"/>
      <c r="H2235" s="77"/>
      <c r="I2235" s="78"/>
      <c r="J2235" s="79"/>
      <c r="K2235" s="80"/>
      <c r="L2235" s="81"/>
      <c r="M2235" s="82"/>
      <c r="N2235" s="83"/>
      <c r="O2235" s="84"/>
      <c r="P2235" s="85"/>
      <c r="Q2235" s="86"/>
      <c r="R2235" s="87"/>
      <c r="S2235" s="35"/>
      <c r="T2235" s="35"/>
      <c r="U2235" s="88"/>
      <c r="V2235" s="37"/>
      <c r="W2235" s="38"/>
    </row>
    <row r="2236" ht="24" customHeight="1" spans="1:23" x14ac:dyDescent="0.25">
      <c r="A2236" s="31"/>
      <c r="B2236" s="32"/>
      <c r="C2236" s="33"/>
      <c r="D2236" s="34"/>
      <c r="E2236" s="34"/>
      <c r="F2236" s="75"/>
      <c r="G2236" s="76"/>
      <c r="H2236" s="77"/>
      <c r="I2236" s="78"/>
      <c r="J2236" s="79"/>
      <c r="K2236" s="80"/>
      <c r="L2236" s="81"/>
      <c r="M2236" s="82"/>
      <c r="N2236" s="83"/>
      <c r="O2236" s="84"/>
      <c r="P2236" s="85"/>
      <c r="Q2236" s="86"/>
      <c r="R2236" s="87"/>
      <c r="S2236" s="35"/>
      <c r="T2236" s="35"/>
      <c r="U2236" s="88"/>
      <c r="V2236" s="37"/>
      <c r="W2236" s="38"/>
    </row>
    <row r="2237" ht="24" customHeight="1" spans="1:23" x14ac:dyDescent="0.25">
      <c r="A2237" s="31"/>
      <c r="B2237" s="32"/>
      <c r="C2237" s="33"/>
      <c r="D2237" s="34"/>
      <c r="E2237" s="34"/>
      <c r="F2237" s="75"/>
      <c r="G2237" s="76"/>
      <c r="H2237" s="77"/>
      <c r="I2237" s="78"/>
      <c r="J2237" s="79"/>
      <c r="K2237" s="80"/>
      <c r="L2237" s="81"/>
      <c r="M2237" s="82"/>
      <c r="N2237" s="83"/>
      <c r="O2237" s="84"/>
      <c r="P2237" s="85"/>
      <c r="Q2237" s="86"/>
      <c r="R2237" s="87"/>
      <c r="S2237" s="35"/>
      <c r="T2237" s="35"/>
      <c r="U2237" s="88"/>
      <c r="V2237" s="37"/>
      <c r="W2237" s="38"/>
    </row>
    <row r="2238" ht="24" customHeight="1" spans="1:23" x14ac:dyDescent="0.25">
      <c r="A2238" s="31"/>
      <c r="B2238" s="32"/>
      <c r="C2238" s="33"/>
      <c r="D2238" s="34"/>
      <c r="E2238" s="34"/>
      <c r="F2238" s="75"/>
      <c r="G2238" s="76"/>
      <c r="H2238" s="77"/>
      <c r="I2238" s="78"/>
      <c r="J2238" s="79"/>
      <c r="K2238" s="80"/>
      <c r="L2238" s="81"/>
      <c r="M2238" s="82"/>
      <c r="N2238" s="83"/>
      <c r="O2238" s="84"/>
      <c r="P2238" s="85"/>
      <c r="Q2238" s="86"/>
      <c r="R2238" s="87"/>
      <c r="S2238" s="35"/>
      <c r="T2238" s="35"/>
      <c r="U2238" s="88"/>
      <c r="V2238" s="37"/>
      <c r="W2238" s="38"/>
    </row>
    <row r="2239" ht="24" customHeight="1" spans="1:23" x14ac:dyDescent="0.25">
      <c r="A2239" s="31"/>
      <c r="B2239" s="32"/>
      <c r="C2239" s="33"/>
      <c r="D2239" s="34"/>
      <c r="E2239" s="34"/>
      <c r="F2239" s="75"/>
      <c r="G2239" s="76"/>
      <c r="H2239" s="77"/>
      <c r="I2239" s="78"/>
      <c r="J2239" s="79"/>
      <c r="K2239" s="80"/>
      <c r="L2239" s="81"/>
      <c r="M2239" s="82"/>
      <c r="N2239" s="83"/>
      <c r="O2239" s="84"/>
      <c r="P2239" s="85"/>
      <c r="Q2239" s="86"/>
      <c r="R2239" s="87"/>
      <c r="S2239" s="35"/>
      <c r="T2239" s="35"/>
      <c r="U2239" s="88"/>
      <c r="V2239" s="37"/>
      <c r="W2239" s="38"/>
    </row>
    <row r="2240" ht="24" customHeight="1" spans="1:23" x14ac:dyDescent="0.25">
      <c r="A2240" s="31"/>
      <c r="B2240" s="32"/>
      <c r="C2240" s="33"/>
      <c r="D2240" s="34"/>
      <c r="E2240" s="34"/>
      <c r="F2240" s="75"/>
      <c r="G2240" s="76"/>
      <c r="H2240" s="77"/>
      <c r="I2240" s="78"/>
      <c r="J2240" s="79"/>
      <c r="K2240" s="80"/>
      <c r="L2240" s="81"/>
      <c r="M2240" s="82"/>
      <c r="N2240" s="83"/>
      <c r="O2240" s="84"/>
      <c r="P2240" s="85"/>
      <c r="Q2240" s="86"/>
      <c r="R2240" s="87"/>
      <c r="S2240" s="35"/>
      <c r="T2240" s="35"/>
      <c r="U2240" s="88"/>
      <c r="V2240" s="37"/>
      <c r="W2240" s="38"/>
    </row>
    <row r="2241" ht="24" customHeight="1" spans="1:23" x14ac:dyDescent="0.25">
      <c r="A2241" s="31"/>
      <c r="B2241" s="32"/>
      <c r="C2241" s="33"/>
      <c r="D2241" s="34"/>
      <c r="E2241" s="34"/>
      <c r="F2241" s="75"/>
      <c r="G2241" s="76"/>
      <c r="H2241" s="77"/>
      <c r="I2241" s="78"/>
      <c r="J2241" s="79"/>
      <c r="K2241" s="80"/>
      <c r="L2241" s="81"/>
      <c r="M2241" s="82"/>
      <c r="N2241" s="83"/>
      <c r="O2241" s="84"/>
      <c r="P2241" s="85"/>
      <c r="Q2241" s="86"/>
      <c r="R2241" s="87"/>
      <c r="S2241" s="35"/>
      <c r="T2241" s="35"/>
      <c r="U2241" s="88"/>
      <c r="V2241" s="37"/>
      <c r="W2241" s="38"/>
    </row>
    <row r="2242" ht="24" customHeight="1" spans="1:23" x14ac:dyDescent="0.25">
      <c r="A2242" s="31"/>
      <c r="B2242" s="32"/>
      <c r="C2242" s="33"/>
      <c r="D2242" s="34"/>
      <c r="E2242" s="34"/>
      <c r="F2242" s="75"/>
      <c r="G2242" s="76"/>
      <c r="H2242" s="77"/>
      <c r="I2242" s="78"/>
      <c r="J2242" s="79"/>
      <c r="K2242" s="80"/>
      <c r="L2242" s="81"/>
      <c r="M2242" s="82"/>
      <c r="N2242" s="83"/>
      <c r="O2242" s="84"/>
      <c r="P2242" s="85"/>
      <c r="Q2242" s="86"/>
      <c r="R2242" s="87"/>
      <c r="S2242" s="35"/>
      <c r="T2242" s="35"/>
      <c r="U2242" s="88"/>
      <c r="V2242" s="37"/>
      <c r="W2242" s="38"/>
    </row>
    <row r="2243" ht="24" customHeight="1" spans="1:23" x14ac:dyDescent="0.25">
      <c r="A2243" s="31"/>
      <c r="B2243" s="32"/>
      <c r="C2243" s="33"/>
      <c r="D2243" s="34"/>
      <c r="E2243" s="34"/>
      <c r="F2243" s="75"/>
      <c r="G2243" s="76"/>
      <c r="H2243" s="77"/>
      <c r="I2243" s="78"/>
      <c r="J2243" s="79"/>
      <c r="K2243" s="80"/>
      <c r="L2243" s="81"/>
      <c r="M2243" s="82"/>
      <c r="N2243" s="83"/>
      <c r="O2243" s="84"/>
      <c r="P2243" s="85"/>
      <c r="Q2243" s="86"/>
      <c r="R2243" s="87"/>
      <c r="S2243" s="35"/>
      <c r="T2243" s="35"/>
      <c r="U2243" s="88"/>
      <c r="V2243" s="37"/>
      <c r="W2243" s="38"/>
    </row>
    <row r="2244" ht="24" customHeight="1" spans="1:23" x14ac:dyDescent="0.25">
      <c r="A2244" s="31"/>
      <c r="B2244" s="32"/>
      <c r="C2244" s="33"/>
      <c r="D2244" s="34"/>
      <c r="E2244" s="34"/>
      <c r="F2244" s="75"/>
      <c r="G2244" s="76"/>
      <c r="H2244" s="77"/>
      <c r="I2244" s="78"/>
      <c r="J2244" s="79"/>
      <c r="K2244" s="80"/>
      <c r="L2244" s="81"/>
      <c r="M2244" s="82"/>
      <c r="N2244" s="83"/>
      <c r="O2244" s="84"/>
      <c r="P2244" s="85"/>
      <c r="Q2244" s="86"/>
      <c r="R2244" s="87"/>
      <c r="S2244" s="35"/>
      <c r="T2244" s="35"/>
      <c r="U2244" s="88"/>
      <c r="V2244" s="37"/>
      <c r="W2244" s="38"/>
    </row>
    <row r="2245" ht="24" customHeight="1" spans="1:23" x14ac:dyDescent="0.25">
      <c r="A2245" s="31"/>
      <c r="B2245" s="32"/>
      <c r="C2245" s="33"/>
      <c r="D2245" s="34"/>
      <c r="E2245" s="34"/>
      <c r="F2245" s="75"/>
      <c r="G2245" s="76"/>
      <c r="H2245" s="77"/>
      <c r="I2245" s="78"/>
      <c r="J2245" s="79"/>
      <c r="K2245" s="80"/>
      <c r="L2245" s="81"/>
      <c r="M2245" s="82"/>
      <c r="N2245" s="83"/>
      <c r="O2245" s="84"/>
      <c r="P2245" s="85"/>
      <c r="Q2245" s="86"/>
      <c r="R2245" s="87"/>
      <c r="S2245" s="35"/>
      <c r="T2245" s="35"/>
      <c r="U2245" s="88"/>
      <c r="V2245" s="37"/>
      <c r="W2245" s="38"/>
    </row>
    <row r="2246" ht="24" customHeight="1" spans="1:23" x14ac:dyDescent="0.25">
      <c r="A2246" s="31"/>
      <c r="B2246" s="32"/>
      <c r="C2246" s="33"/>
      <c r="D2246" s="34"/>
      <c r="E2246" s="34"/>
      <c r="F2246" s="75"/>
      <c r="G2246" s="76"/>
      <c r="H2246" s="77"/>
      <c r="I2246" s="78"/>
      <c r="J2246" s="79"/>
      <c r="K2246" s="80"/>
      <c r="L2246" s="81"/>
      <c r="M2246" s="82"/>
      <c r="N2246" s="83"/>
      <c r="O2246" s="84"/>
      <c r="P2246" s="85"/>
      <c r="Q2246" s="86"/>
      <c r="R2246" s="87"/>
      <c r="S2246" s="35"/>
      <c r="T2246" s="35"/>
      <c r="U2246" s="88"/>
      <c r="V2246" s="37"/>
      <c r="W2246" s="38"/>
    </row>
    <row r="2247" ht="24" customHeight="1" spans="1:23" x14ac:dyDescent="0.25">
      <c r="A2247" s="31"/>
      <c r="B2247" s="32"/>
      <c r="C2247" s="33"/>
      <c r="D2247" s="34"/>
      <c r="E2247" s="34"/>
      <c r="F2247" s="75"/>
      <c r="G2247" s="76"/>
      <c r="H2247" s="77"/>
      <c r="I2247" s="78"/>
      <c r="J2247" s="79"/>
      <c r="K2247" s="80"/>
      <c r="L2247" s="81"/>
      <c r="M2247" s="82"/>
      <c r="N2247" s="83"/>
      <c r="O2247" s="84"/>
      <c r="P2247" s="85"/>
      <c r="Q2247" s="86"/>
      <c r="R2247" s="87"/>
      <c r="S2247" s="35"/>
      <c r="T2247" s="35"/>
      <c r="U2247" s="88"/>
      <c r="V2247" s="37"/>
      <c r="W2247" s="38"/>
    </row>
    <row r="2248" ht="24" customHeight="1" spans="1:23" x14ac:dyDescent="0.25">
      <c r="A2248" s="31"/>
      <c r="B2248" s="32"/>
      <c r="C2248" s="33"/>
      <c r="D2248" s="34"/>
      <c r="E2248" s="34"/>
      <c r="F2248" s="75"/>
      <c r="G2248" s="76"/>
      <c r="H2248" s="77"/>
      <c r="I2248" s="78"/>
      <c r="J2248" s="79"/>
      <c r="K2248" s="80"/>
      <c r="L2248" s="81"/>
      <c r="M2248" s="82"/>
      <c r="N2248" s="83"/>
      <c r="O2248" s="84"/>
      <c r="P2248" s="85"/>
      <c r="Q2248" s="86"/>
      <c r="R2248" s="87"/>
      <c r="S2248" s="35"/>
      <c r="T2248" s="35"/>
      <c r="U2248" s="88"/>
      <c r="V2248" s="37"/>
      <c r="W2248" s="38"/>
    </row>
    <row r="2249" ht="24" customHeight="1" spans="1:23" x14ac:dyDescent="0.25">
      <c r="A2249" s="31"/>
      <c r="B2249" s="32"/>
      <c r="C2249" s="33"/>
      <c r="D2249" s="34"/>
      <c r="E2249" s="34"/>
      <c r="F2249" s="75"/>
      <c r="G2249" s="76"/>
      <c r="H2249" s="77"/>
      <c r="I2249" s="78"/>
      <c r="J2249" s="79"/>
      <c r="K2249" s="80"/>
      <c r="L2249" s="81"/>
      <c r="M2249" s="82"/>
      <c r="N2249" s="83"/>
      <c r="O2249" s="84"/>
      <c r="P2249" s="85"/>
      <c r="Q2249" s="86"/>
      <c r="R2249" s="87"/>
      <c r="S2249" s="35"/>
      <c r="T2249" s="35"/>
      <c r="U2249" s="88"/>
      <c r="V2249" s="37"/>
      <c r="W2249" s="38"/>
    </row>
    <row r="2250" ht="24" customHeight="1" spans="1:23" x14ac:dyDescent="0.25">
      <c r="A2250" s="31"/>
      <c r="B2250" s="32"/>
      <c r="C2250" s="33"/>
      <c r="D2250" s="34"/>
      <c r="E2250" s="34"/>
      <c r="F2250" s="75"/>
      <c r="G2250" s="76"/>
      <c r="H2250" s="77"/>
      <c r="I2250" s="78"/>
      <c r="J2250" s="79"/>
      <c r="K2250" s="80"/>
      <c r="L2250" s="81"/>
      <c r="M2250" s="82"/>
      <c r="N2250" s="83"/>
      <c r="O2250" s="84"/>
      <c r="P2250" s="85"/>
      <c r="Q2250" s="86"/>
      <c r="R2250" s="87"/>
      <c r="S2250" s="35"/>
      <c r="T2250" s="35"/>
      <c r="U2250" s="88"/>
      <c r="V2250" s="37"/>
      <c r="W2250" s="38"/>
    </row>
    <row r="2251" ht="24" customHeight="1" spans="1:23" x14ac:dyDescent="0.25">
      <c r="A2251" s="31"/>
      <c r="B2251" s="32"/>
      <c r="C2251" s="33"/>
      <c r="D2251" s="34"/>
      <c r="E2251" s="34"/>
      <c r="F2251" s="75"/>
      <c r="G2251" s="76"/>
      <c r="H2251" s="77"/>
      <c r="I2251" s="78"/>
      <c r="J2251" s="79"/>
      <c r="K2251" s="80"/>
      <c r="L2251" s="81"/>
      <c r="M2251" s="82"/>
      <c r="N2251" s="83"/>
      <c r="O2251" s="84"/>
      <c r="P2251" s="85"/>
      <c r="Q2251" s="86"/>
      <c r="R2251" s="87"/>
      <c r="S2251" s="35"/>
      <c r="T2251" s="35"/>
      <c r="U2251" s="88"/>
      <c r="V2251" s="37"/>
      <c r="W2251" s="38"/>
    </row>
    <row r="2252" ht="24" customHeight="1" spans="1:23" x14ac:dyDescent="0.25">
      <c r="A2252" s="31"/>
      <c r="B2252" s="32"/>
      <c r="C2252" s="33"/>
      <c r="D2252" s="34"/>
      <c r="E2252" s="34"/>
      <c r="F2252" s="75"/>
      <c r="G2252" s="76"/>
      <c r="H2252" s="77"/>
      <c r="I2252" s="78"/>
      <c r="J2252" s="79"/>
      <c r="K2252" s="80"/>
      <c r="L2252" s="81"/>
      <c r="M2252" s="82"/>
      <c r="N2252" s="83"/>
      <c r="O2252" s="84"/>
      <c r="P2252" s="85"/>
      <c r="Q2252" s="86"/>
      <c r="R2252" s="87"/>
      <c r="S2252" s="35"/>
      <c r="T2252" s="35"/>
      <c r="U2252" s="88"/>
      <c r="V2252" s="37"/>
      <c r="W2252" s="38"/>
    </row>
    <row r="2253" ht="24" customHeight="1" spans="1:23" x14ac:dyDescent="0.25">
      <c r="A2253" s="31"/>
      <c r="B2253" s="32"/>
      <c r="C2253" s="33"/>
      <c r="D2253" s="34"/>
      <c r="E2253" s="34"/>
      <c r="F2253" s="75"/>
      <c r="G2253" s="76"/>
      <c r="H2253" s="77"/>
      <c r="I2253" s="78"/>
      <c r="J2253" s="79"/>
      <c r="K2253" s="80"/>
      <c r="L2253" s="81"/>
      <c r="M2253" s="82"/>
      <c r="N2253" s="83"/>
      <c r="O2253" s="84"/>
      <c r="P2253" s="85"/>
      <c r="Q2253" s="86"/>
      <c r="R2253" s="87"/>
      <c r="S2253" s="35"/>
      <c r="T2253" s="35"/>
      <c r="U2253" s="88"/>
      <c r="V2253" s="37"/>
      <c r="W2253" s="38"/>
    </row>
    <row r="2254" ht="24" customHeight="1" spans="1:23" x14ac:dyDescent="0.25">
      <c r="A2254" s="31"/>
      <c r="B2254" s="32"/>
      <c r="C2254" s="33"/>
      <c r="D2254" s="34"/>
      <c r="E2254" s="34"/>
      <c r="F2254" s="75"/>
      <c r="G2254" s="76"/>
      <c r="H2254" s="77"/>
      <c r="I2254" s="78"/>
      <c r="J2254" s="79"/>
      <c r="K2254" s="80"/>
      <c r="L2254" s="81"/>
      <c r="M2254" s="82"/>
      <c r="N2254" s="83"/>
      <c r="O2254" s="84"/>
      <c r="P2254" s="85"/>
      <c r="Q2254" s="86"/>
      <c r="R2254" s="87"/>
      <c r="S2254" s="35"/>
      <c r="T2254" s="35"/>
      <c r="U2254" s="88"/>
      <c r="V2254" s="37"/>
      <c r="W2254" s="38"/>
    </row>
    <row r="2255" ht="24" customHeight="1" spans="1:23" x14ac:dyDescent="0.25">
      <c r="A2255" s="31"/>
      <c r="B2255" s="32"/>
      <c r="C2255" s="33"/>
      <c r="D2255" s="34"/>
      <c r="E2255" s="34"/>
      <c r="F2255" s="75"/>
      <c r="G2255" s="76"/>
      <c r="H2255" s="77"/>
      <c r="I2255" s="78"/>
      <c r="J2255" s="79"/>
      <c r="K2255" s="80"/>
      <c r="L2255" s="81"/>
      <c r="M2255" s="82"/>
      <c r="N2255" s="83"/>
      <c r="O2255" s="84"/>
      <c r="P2255" s="85"/>
      <c r="Q2255" s="86"/>
      <c r="R2255" s="87"/>
      <c r="S2255" s="35"/>
      <c r="T2255" s="35"/>
      <c r="U2255" s="88"/>
      <c r="V2255" s="37"/>
      <c r="W2255" s="38"/>
    </row>
    <row r="2256" ht="24" customHeight="1" spans="1:23" x14ac:dyDescent="0.25">
      <c r="A2256" s="31"/>
      <c r="B2256" s="32"/>
      <c r="C2256" s="33"/>
      <c r="D2256" s="34"/>
      <c r="E2256" s="34"/>
      <c r="F2256" s="75"/>
      <c r="G2256" s="76"/>
      <c r="H2256" s="77"/>
      <c r="I2256" s="78"/>
      <c r="J2256" s="79"/>
      <c r="K2256" s="80"/>
      <c r="L2256" s="81"/>
      <c r="M2256" s="82"/>
      <c r="N2256" s="83"/>
      <c r="O2256" s="84"/>
      <c r="P2256" s="85"/>
      <c r="Q2256" s="86"/>
      <c r="R2256" s="87"/>
      <c r="S2256" s="35"/>
      <c r="T2256" s="35"/>
      <c r="U2256" s="88"/>
      <c r="V2256" s="37"/>
      <c r="W2256" s="38"/>
    </row>
    <row r="2257" ht="24" customHeight="1" spans="1:23" x14ac:dyDescent="0.25">
      <c r="A2257" s="31"/>
      <c r="B2257" s="32"/>
      <c r="C2257" s="33"/>
      <c r="D2257" s="34"/>
      <c r="E2257" s="34"/>
      <c r="F2257" s="75"/>
      <c r="G2257" s="76"/>
      <c r="H2257" s="77"/>
      <c r="I2257" s="78"/>
      <c r="J2257" s="79"/>
      <c r="K2257" s="80"/>
      <c r="L2257" s="81"/>
      <c r="M2257" s="82"/>
      <c r="N2257" s="83"/>
      <c r="O2257" s="84"/>
      <c r="P2257" s="85"/>
      <c r="Q2257" s="86"/>
      <c r="R2257" s="87"/>
      <c r="S2257" s="35"/>
      <c r="T2257" s="35"/>
      <c r="U2257" s="88"/>
      <c r="V2257" s="37"/>
      <c r="W2257" s="38"/>
    </row>
    <row r="2258" ht="24" customHeight="1" spans="1:23" x14ac:dyDescent="0.25">
      <c r="A2258" s="31"/>
      <c r="B2258" s="32"/>
      <c r="C2258" s="33"/>
      <c r="D2258" s="34"/>
      <c r="E2258" s="34"/>
      <c r="F2258" s="75"/>
      <c r="G2258" s="76"/>
      <c r="H2258" s="77"/>
      <c r="I2258" s="78"/>
      <c r="J2258" s="79"/>
      <c r="K2258" s="80"/>
      <c r="L2258" s="81"/>
      <c r="M2258" s="82"/>
      <c r="N2258" s="83"/>
      <c r="O2258" s="84"/>
      <c r="P2258" s="85"/>
      <c r="Q2258" s="86"/>
      <c r="R2258" s="87"/>
      <c r="S2258" s="35"/>
      <c r="T2258" s="35"/>
      <c r="U2258" s="88"/>
      <c r="V2258" s="37"/>
      <c r="W2258" s="38"/>
    </row>
    <row r="2259" ht="24" customHeight="1" spans="1:23" x14ac:dyDescent="0.25">
      <c r="A2259" s="31"/>
      <c r="B2259" s="32"/>
      <c r="C2259" s="33"/>
      <c r="D2259" s="34"/>
      <c r="E2259" s="34"/>
      <c r="F2259" s="75"/>
      <c r="G2259" s="76"/>
      <c r="H2259" s="77"/>
      <c r="I2259" s="78"/>
      <c r="J2259" s="79"/>
      <c r="K2259" s="80"/>
      <c r="L2259" s="81"/>
      <c r="M2259" s="82"/>
      <c r="N2259" s="83"/>
      <c r="O2259" s="84"/>
      <c r="P2259" s="85"/>
      <c r="Q2259" s="86"/>
      <c r="R2259" s="87"/>
      <c r="S2259" s="35"/>
      <c r="T2259" s="35"/>
      <c r="U2259" s="88"/>
      <c r="V2259" s="37"/>
      <c r="W2259" s="38"/>
    </row>
    <row r="2260" ht="24" customHeight="1" spans="1:23" x14ac:dyDescent="0.25">
      <c r="A2260" s="31"/>
      <c r="B2260" s="32"/>
      <c r="C2260" s="33"/>
      <c r="D2260" s="34"/>
      <c r="E2260" s="34"/>
      <c r="F2260" s="75"/>
      <c r="G2260" s="76"/>
      <c r="H2260" s="77"/>
      <c r="I2260" s="78"/>
      <c r="J2260" s="79"/>
      <c r="K2260" s="80"/>
      <c r="L2260" s="81"/>
      <c r="M2260" s="82"/>
      <c r="N2260" s="83"/>
      <c r="O2260" s="84"/>
      <c r="P2260" s="85"/>
      <c r="Q2260" s="86"/>
      <c r="R2260" s="87"/>
      <c r="S2260" s="35"/>
      <c r="T2260" s="35"/>
      <c r="U2260" s="88"/>
      <c r="V2260" s="37"/>
      <c r="W2260" s="38"/>
    </row>
    <row r="2261" ht="24" customHeight="1" spans="1:23" x14ac:dyDescent="0.25">
      <c r="A2261" s="31"/>
      <c r="B2261" s="32"/>
      <c r="C2261" s="33"/>
      <c r="D2261" s="34"/>
      <c r="E2261" s="34"/>
      <c r="F2261" s="75"/>
      <c r="G2261" s="76"/>
      <c r="H2261" s="77"/>
      <c r="I2261" s="78"/>
      <c r="J2261" s="79"/>
      <c r="K2261" s="80"/>
      <c r="L2261" s="81"/>
      <c r="M2261" s="82"/>
      <c r="N2261" s="83"/>
      <c r="O2261" s="84"/>
      <c r="P2261" s="85"/>
      <c r="Q2261" s="86"/>
      <c r="R2261" s="87"/>
      <c r="S2261" s="35"/>
      <c r="T2261" s="35"/>
      <c r="U2261" s="88"/>
      <c r="V2261" s="37"/>
      <c r="W2261" s="38"/>
    </row>
    <row r="2262" ht="24" customHeight="1" spans="1:23" x14ac:dyDescent="0.25">
      <c r="A2262" s="31"/>
      <c r="B2262" s="32"/>
      <c r="C2262" s="33"/>
      <c r="D2262" s="34"/>
      <c r="E2262" s="34"/>
      <c r="F2262" s="75"/>
      <c r="G2262" s="76"/>
      <c r="H2262" s="77"/>
      <c r="I2262" s="78"/>
      <c r="J2262" s="79"/>
      <c r="K2262" s="80"/>
      <c r="L2262" s="81"/>
      <c r="M2262" s="82"/>
      <c r="N2262" s="83"/>
      <c r="O2262" s="84"/>
      <c r="P2262" s="85"/>
      <c r="Q2262" s="86"/>
      <c r="R2262" s="87"/>
      <c r="S2262" s="35"/>
      <c r="T2262" s="35"/>
      <c r="U2262" s="88"/>
      <c r="V2262" s="37"/>
      <c r="W2262" s="38"/>
    </row>
    <row r="2263" ht="24" customHeight="1" spans="1:23" x14ac:dyDescent="0.25">
      <c r="A2263" s="31"/>
      <c r="B2263" s="32"/>
      <c r="C2263" s="33"/>
      <c r="D2263" s="34"/>
      <c r="E2263" s="34"/>
      <c r="F2263" s="75"/>
      <c r="G2263" s="76"/>
      <c r="H2263" s="77"/>
      <c r="I2263" s="78"/>
      <c r="J2263" s="79"/>
      <c r="K2263" s="80"/>
      <c r="L2263" s="81"/>
      <c r="M2263" s="82"/>
      <c r="N2263" s="83"/>
      <c r="O2263" s="84"/>
      <c r="P2263" s="85"/>
      <c r="Q2263" s="86"/>
      <c r="R2263" s="87"/>
      <c r="S2263" s="35"/>
      <c r="T2263" s="35"/>
      <c r="U2263" s="88"/>
      <c r="V2263" s="37"/>
      <c r="W2263" s="38"/>
    </row>
    <row r="2264" ht="24" customHeight="1" spans="1:23" x14ac:dyDescent="0.25">
      <c r="A2264" s="31"/>
      <c r="B2264" s="32"/>
      <c r="C2264" s="33"/>
      <c r="D2264" s="34"/>
      <c r="E2264" s="34"/>
      <c r="F2264" s="75"/>
      <c r="G2264" s="76"/>
      <c r="H2264" s="77"/>
      <c r="I2264" s="78"/>
      <c r="J2264" s="79"/>
      <c r="K2264" s="80"/>
      <c r="L2264" s="81"/>
      <c r="M2264" s="82"/>
      <c r="N2264" s="83"/>
      <c r="O2264" s="84"/>
      <c r="P2264" s="85"/>
      <c r="Q2264" s="86"/>
      <c r="R2264" s="87"/>
      <c r="S2264" s="35"/>
      <c r="T2264" s="35"/>
      <c r="U2264" s="88"/>
      <c r="V2264" s="37"/>
      <c r="W2264" s="38"/>
    </row>
    <row r="2265" ht="24" customHeight="1" spans="1:23" x14ac:dyDescent="0.25">
      <c r="A2265" s="31"/>
      <c r="B2265" s="32"/>
      <c r="C2265" s="33"/>
      <c r="D2265" s="34"/>
      <c r="E2265" s="34"/>
      <c r="F2265" s="75"/>
      <c r="G2265" s="76"/>
      <c r="H2265" s="77"/>
      <c r="I2265" s="78"/>
      <c r="J2265" s="79"/>
      <c r="K2265" s="80"/>
      <c r="L2265" s="81"/>
      <c r="M2265" s="82"/>
      <c r="N2265" s="83"/>
      <c r="O2265" s="84"/>
      <c r="P2265" s="85"/>
      <c r="Q2265" s="86"/>
      <c r="R2265" s="87"/>
      <c r="S2265" s="35"/>
      <c r="T2265" s="35"/>
      <c r="U2265" s="88"/>
      <c r="V2265" s="37"/>
      <c r="W2265" s="38"/>
    </row>
    <row r="2266" ht="24" customHeight="1" spans="1:23" x14ac:dyDescent="0.25">
      <c r="A2266" s="31"/>
      <c r="B2266" s="32"/>
      <c r="C2266" s="33"/>
      <c r="D2266" s="34"/>
      <c r="E2266" s="34"/>
      <c r="F2266" s="75"/>
      <c r="G2266" s="76"/>
      <c r="H2266" s="77"/>
      <c r="I2266" s="78"/>
      <c r="J2266" s="79"/>
      <c r="K2266" s="80"/>
      <c r="L2266" s="81"/>
      <c r="M2266" s="82"/>
      <c r="N2266" s="83"/>
      <c r="O2266" s="84"/>
      <c r="P2266" s="85"/>
      <c r="Q2266" s="86"/>
      <c r="R2266" s="87"/>
      <c r="S2266" s="35"/>
      <c r="T2266" s="35"/>
      <c r="U2266" s="88"/>
      <c r="V2266" s="37"/>
      <c r="W2266" s="38"/>
    </row>
    <row r="2267" ht="24" customHeight="1" spans="1:23" x14ac:dyDescent="0.25">
      <c r="A2267" s="31"/>
      <c r="B2267" s="32"/>
      <c r="C2267" s="33"/>
      <c r="D2267" s="34"/>
      <c r="E2267" s="34"/>
      <c r="F2267" s="75"/>
      <c r="G2267" s="76"/>
      <c r="H2267" s="77"/>
      <c r="I2267" s="78"/>
      <c r="J2267" s="79"/>
      <c r="K2267" s="80"/>
      <c r="L2267" s="81"/>
      <c r="M2267" s="82"/>
      <c r="N2267" s="83"/>
      <c r="O2267" s="84"/>
      <c r="P2267" s="85"/>
      <c r="Q2267" s="86"/>
      <c r="R2267" s="87"/>
      <c r="S2267" s="35"/>
      <c r="T2267" s="35"/>
      <c r="U2267" s="88"/>
      <c r="V2267" s="37"/>
      <c r="W2267" s="38"/>
    </row>
    <row r="2268" ht="24" customHeight="1" spans="1:23" x14ac:dyDescent="0.25">
      <c r="A2268" s="31"/>
      <c r="B2268" s="32"/>
      <c r="C2268" s="33"/>
      <c r="D2268" s="34"/>
      <c r="E2268" s="34"/>
      <c r="F2268" s="75"/>
      <c r="G2268" s="76"/>
      <c r="H2268" s="77"/>
      <c r="I2268" s="78"/>
      <c r="J2268" s="79"/>
      <c r="K2268" s="80"/>
      <c r="L2268" s="81"/>
      <c r="M2268" s="82"/>
      <c r="N2268" s="83"/>
      <c r="O2268" s="84"/>
      <c r="P2268" s="85"/>
      <c r="Q2268" s="86"/>
      <c r="R2268" s="87"/>
      <c r="S2268" s="35"/>
      <c r="T2268" s="35"/>
      <c r="U2268" s="88"/>
      <c r="V2268" s="37"/>
      <c r="W2268" s="38"/>
    </row>
    <row r="2269" ht="24" customHeight="1" spans="1:23" x14ac:dyDescent="0.25">
      <c r="A2269" s="31"/>
      <c r="B2269" s="32"/>
      <c r="C2269" s="33"/>
      <c r="D2269" s="34"/>
      <c r="E2269" s="34"/>
      <c r="F2269" s="75"/>
      <c r="G2269" s="76"/>
      <c r="H2269" s="77"/>
      <c r="I2269" s="78"/>
      <c r="J2269" s="79"/>
      <c r="K2269" s="80"/>
      <c r="L2269" s="81"/>
      <c r="M2269" s="82"/>
      <c r="N2269" s="83"/>
      <c r="O2269" s="84"/>
      <c r="P2269" s="85"/>
      <c r="Q2269" s="86"/>
      <c r="R2269" s="87"/>
      <c r="S2269" s="35"/>
      <c r="T2269" s="35"/>
      <c r="U2269" s="88"/>
      <c r="V2269" s="37"/>
      <c r="W2269" s="38"/>
    </row>
    <row r="2270" ht="24" customHeight="1" spans="1:23" x14ac:dyDescent="0.25">
      <c r="A2270" s="31"/>
      <c r="B2270" s="32"/>
      <c r="C2270" s="33"/>
      <c r="D2270" s="34"/>
      <c r="E2270" s="34"/>
      <c r="F2270" s="75"/>
      <c r="G2270" s="76"/>
      <c r="H2270" s="77"/>
      <c r="I2270" s="78"/>
      <c r="J2270" s="79"/>
      <c r="K2270" s="80"/>
      <c r="L2270" s="81"/>
      <c r="M2270" s="82"/>
      <c r="N2270" s="83"/>
      <c r="O2270" s="84"/>
      <c r="P2270" s="85"/>
      <c r="Q2270" s="86"/>
      <c r="R2270" s="87"/>
      <c r="S2270" s="35"/>
      <c r="T2270" s="35"/>
      <c r="U2270" s="88"/>
      <c r="V2270" s="37"/>
      <c r="W2270" s="38"/>
    </row>
    <row r="2271" ht="24" customHeight="1" spans="1:23" x14ac:dyDescent="0.25">
      <c r="A2271" s="31"/>
      <c r="B2271" s="32"/>
      <c r="C2271" s="33"/>
      <c r="D2271" s="34"/>
      <c r="E2271" s="34"/>
      <c r="F2271" s="75"/>
      <c r="G2271" s="76"/>
      <c r="H2271" s="77"/>
      <c r="I2271" s="78"/>
      <c r="J2271" s="79"/>
      <c r="K2271" s="80"/>
      <c r="L2271" s="81"/>
      <c r="M2271" s="82"/>
      <c r="N2271" s="83"/>
      <c r="O2271" s="84"/>
      <c r="P2271" s="85"/>
      <c r="Q2271" s="86"/>
      <c r="R2271" s="87"/>
      <c r="S2271" s="35"/>
      <c r="T2271" s="35"/>
      <c r="U2271" s="88"/>
      <c r="V2271" s="37"/>
      <c r="W2271" s="38"/>
    </row>
    <row r="2272" ht="24" customHeight="1" spans="1:23" x14ac:dyDescent="0.25">
      <c r="A2272" s="31"/>
      <c r="B2272" s="32"/>
      <c r="C2272" s="33"/>
      <c r="D2272" s="34"/>
      <c r="E2272" s="34"/>
      <c r="F2272" s="75"/>
      <c r="G2272" s="76"/>
      <c r="H2272" s="77"/>
      <c r="I2272" s="78"/>
      <c r="J2272" s="79"/>
      <c r="K2272" s="80"/>
      <c r="L2272" s="81"/>
      <c r="M2272" s="82"/>
      <c r="N2272" s="83"/>
      <c r="O2272" s="84"/>
      <c r="P2272" s="85"/>
      <c r="Q2272" s="86"/>
      <c r="R2272" s="87"/>
      <c r="S2272" s="35"/>
      <c r="T2272" s="35"/>
      <c r="U2272" s="88"/>
      <c r="V2272" s="37"/>
      <c r="W2272" s="38"/>
    </row>
    <row r="2273" ht="24" customHeight="1" spans="1:23" x14ac:dyDescent="0.25">
      <c r="A2273" s="31"/>
      <c r="B2273" s="32"/>
      <c r="C2273" s="33"/>
      <c r="D2273" s="34"/>
      <c r="E2273" s="34"/>
      <c r="F2273" s="75"/>
      <c r="G2273" s="76"/>
      <c r="H2273" s="77"/>
      <c r="I2273" s="78"/>
      <c r="J2273" s="79"/>
      <c r="K2273" s="80"/>
      <c r="L2273" s="81"/>
      <c r="M2273" s="82"/>
      <c r="N2273" s="83"/>
      <c r="O2273" s="84"/>
      <c r="P2273" s="85"/>
      <c r="Q2273" s="86"/>
      <c r="R2273" s="87"/>
      <c r="S2273" s="35"/>
      <c r="T2273" s="35"/>
      <c r="U2273" s="88"/>
      <c r="V2273" s="37"/>
      <c r="W2273" s="38"/>
    </row>
    <row r="2274" ht="24" customHeight="1" spans="1:23" x14ac:dyDescent="0.25">
      <c r="A2274" s="31"/>
      <c r="B2274" s="32"/>
      <c r="C2274" s="33"/>
      <c r="D2274" s="34"/>
      <c r="E2274" s="34"/>
      <c r="F2274" s="75"/>
      <c r="G2274" s="76"/>
      <c r="H2274" s="77"/>
      <c r="I2274" s="78"/>
      <c r="J2274" s="79"/>
      <c r="K2274" s="80"/>
      <c r="L2274" s="81"/>
      <c r="M2274" s="82"/>
      <c r="N2274" s="83"/>
      <c r="O2274" s="84"/>
      <c r="P2274" s="85"/>
      <c r="Q2274" s="86"/>
      <c r="R2274" s="87"/>
      <c r="S2274" s="35"/>
      <c r="T2274" s="35"/>
      <c r="U2274" s="88"/>
      <c r="V2274" s="37"/>
      <c r="W2274" s="38"/>
    </row>
    <row r="2275" ht="24" customHeight="1" spans="1:23" x14ac:dyDescent="0.25">
      <c r="A2275" s="31"/>
      <c r="B2275" s="32"/>
      <c r="C2275" s="33"/>
      <c r="D2275" s="34"/>
      <c r="E2275" s="34"/>
      <c r="F2275" s="75"/>
      <c r="G2275" s="76"/>
      <c r="H2275" s="77"/>
      <c r="I2275" s="78"/>
      <c r="J2275" s="79"/>
      <c r="K2275" s="80"/>
      <c r="L2275" s="81"/>
      <c r="M2275" s="82"/>
      <c r="N2275" s="83"/>
      <c r="O2275" s="84"/>
      <c r="P2275" s="85"/>
      <c r="Q2275" s="86"/>
      <c r="R2275" s="87"/>
      <c r="S2275" s="35"/>
      <c r="T2275" s="35"/>
      <c r="U2275" s="88"/>
      <c r="V2275" s="37"/>
      <c r="W2275" s="38"/>
    </row>
    <row r="2276" ht="24" customHeight="1" spans="1:23" x14ac:dyDescent="0.25">
      <c r="A2276" s="31"/>
      <c r="B2276" s="32"/>
      <c r="C2276" s="33"/>
      <c r="D2276" s="34"/>
      <c r="E2276" s="34"/>
      <c r="F2276" s="75"/>
      <c r="G2276" s="76"/>
      <c r="H2276" s="77"/>
      <c r="I2276" s="78"/>
      <c r="J2276" s="79"/>
      <c r="K2276" s="80"/>
      <c r="L2276" s="81"/>
      <c r="M2276" s="82"/>
      <c r="N2276" s="83"/>
      <c r="O2276" s="84"/>
      <c r="P2276" s="85"/>
      <c r="Q2276" s="86"/>
      <c r="R2276" s="87"/>
      <c r="S2276" s="35"/>
      <c r="T2276" s="35"/>
      <c r="U2276" s="88"/>
      <c r="V2276" s="37"/>
      <c r="W2276" s="38"/>
    </row>
    <row r="2277" ht="24" customHeight="1" spans="1:23" x14ac:dyDescent="0.25">
      <c r="A2277" s="31"/>
      <c r="B2277" s="32"/>
      <c r="C2277" s="33"/>
      <c r="D2277" s="34"/>
      <c r="E2277" s="34"/>
      <c r="F2277" s="75"/>
      <c r="G2277" s="76"/>
      <c r="H2277" s="77"/>
      <c r="I2277" s="78"/>
      <c r="J2277" s="79"/>
      <c r="K2277" s="80"/>
      <c r="L2277" s="81"/>
      <c r="M2277" s="82"/>
      <c r="N2277" s="83"/>
      <c r="O2277" s="84"/>
      <c r="P2277" s="85"/>
      <c r="Q2277" s="86"/>
      <c r="R2277" s="87"/>
      <c r="S2277" s="35"/>
      <c r="T2277" s="35"/>
      <c r="U2277" s="88"/>
      <c r="V2277" s="37"/>
      <c r="W2277" s="38"/>
    </row>
    <row r="2278" ht="24" customHeight="1" spans="1:23" x14ac:dyDescent="0.25">
      <c r="A2278" s="31"/>
      <c r="B2278" s="32"/>
      <c r="C2278" s="33"/>
      <c r="D2278" s="34"/>
      <c r="E2278" s="34"/>
      <c r="F2278" s="75"/>
      <c r="G2278" s="76"/>
      <c r="H2278" s="77"/>
      <c r="I2278" s="78"/>
      <c r="J2278" s="79"/>
      <c r="K2278" s="80"/>
      <c r="L2278" s="81"/>
      <c r="M2278" s="82"/>
      <c r="N2278" s="83"/>
      <c r="O2278" s="84"/>
      <c r="P2278" s="85"/>
      <c r="Q2278" s="86"/>
      <c r="R2278" s="87"/>
      <c r="S2278" s="35"/>
      <c r="T2278" s="35"/>
      <c r="U2278" s="88"/>
      <c r="V2278" s="37"/>
      <c r="W2278" s="38"/>
    </row>
    <row r="2279" ht="24" customHeight="1" spans="1:23" x14ac:dyDescent="0.25">
      <c r="A2279" s="31"/>
      <c r="B2279" s="32"/>
      <c r="C2279" s="33"/>
      <c r="D2279" s="34"/>
      <c r="E2279" s="34"/>
      <c r="F2279" s="75"/>
      <c r="G2279" s="76"/>
      <c r="H2279" s="77"/>
      <c r="I2279" s="78"/>
      <c r="J2279" s="79"/>
      <c r="K2279" s="80"/>
      <c r="L2279" s="81"/>
      <c r="M2279" s="82"/>
      <c r="N2279" s="83"/>
      <c r="O2279" s="84"/>
      <c r="P2279" s="85"/>
      <c r="Q2279" s="86"/>
      <c r="R2279" s="87"/>
      <c r="S2279" s="35"/>
      <c r="T2279" s="35"/>
      <c r="U2279" s="88"/>
      <c r="V2279" s="37"/>
      <c r="W2279" s="38"/>
    </row>
    <row r="2280" ht="24" customHeight="1" spans="1:23" x14ac:dyDescent="0.25">
      <c r="A2280" s="31"/>
      <c r="B2280" s="32"/>
      <c r="C2280" s="33"/>
      <c r="D2280" s="34"/>
      <c r="E2280" s="34"/>
      <c r="F2280" s="75"/>
      <c r="G2280" s="76"/>
      <c r="H2280" s="77"/>
      <c r="I2280" s="78"/>
      <c r="J2280" s="79"/>
      <c r="K2280" s="80"/>
      <c r="L2280" s="81"/>
      <c r="M2280" s="82"/>
      <c r="N2280" s="83"/>
      <c r="O2280" s="84"/>
      <c r="P2280" s="85"/>
      <c r="Q2280" s="86"/>
      <c r="R2280" s="87"/>
      <c r="S2280" s="35"/>
      <c r="T2280" s="35"/>
      <c r="U2280" s="88"/>
      <c r="V2280" s="37"/>
      <c r="W2280" s="38"/>
    </row>
    <row r="2281" ht="24" customHeight="1" spans="1:23" x14ac:dyDescent="0.25">
      <c r="A2281" s="31"/>
      <c r="B2281" s="32"/>
      <c r="C2281" s="33"/>
      <c r="D2281" s="34"/>
      <c r="E2281" s="34"/>
      <c r="F2281" s="75"/>
      <c r="G2281" s="76"/>
      <c r="H2281" s="77"/>
      <c r="I2281" s="78"/>
      <c r="J2281" s="79"/>
      <c r="K2281" s="80"/>
      <c r="L2281" s="81"/>
      <c r="M2281" s="82"/>
      <c r="N2281" s="83"/>
      <c r="O2281" s="84"/>
      <c r="P2281" s="85"/>
      <c r="Q2281" s="86"/>
      <c r="R2281" s="87"/>
      <c r="S2281" s="35"/>
      <c r="T2281" s="35"/>
      <c r="U2281" s="88"/>
      <c r="V2281" s="37"/>
      <c r="W2281" s="38"/>
    </row>
    <row r="2282" ht="24" customHeight="1" spans="1:23" x14ac:dyDescent="0.25">
      <c r="A2282" s="31"/>
      <c r="B2282" s="32"/>
      <c r="C2282" s="33"/>
      <c r="D2282" s="34"/>
      <c r="E2282" s="34"/>
      <c r="F2282" s="75"/>
      <c r="G2282" s="76"/>
      <c r="H2282" s="77"/>
      <c r="I2282" s="78"/>
      <c r="J2282" s="79"/>
      <c r="K2282" s="80"/>
      <c r="L2282" s="81"/>
      <c r="M2282" s="82"/>
      <c r="N2282" s="83"/>
      <c r="O2282" s="84"/>
      <c r="P2282" s="85"/>
      <c r="Q2282" s="86"/>
      <c r="R2282" s="87"/>
      <c r="S2282" s="35"/>
      <c r="T2282" s="35"/>
      <c r="U2282" s="88"/>
      <c r="V2282" s="37"/>
      <c r="W2282" s="38"/>
    </row>
    <row r="2283" ht="24" customHeight="1" spans="1:23" x14ac:dyDescent="0.25">
      <c r="A2283" s="31"/>
      <c r="B2283" s="32"/>
      <c r="C2283" s="33"/>
      <c r="D2283" s="34"/>
      <c r="E2283" s="34"/>
      <c r="F2283" s="75"/>
      <c r="G2283" s="76"/>
      <c r="H2283" s="77"/>
      <c r="I2283" s="78"/>
      <c r="J2283" s="79"/>
      <c r="K2283" s="80"/>
      <c r="L2283" s="81"/>
      <c r="M2283" s="82"/>
      <c r="N2283" s="83"/>
      <c r="O2283" s="84"/>
      <c r="P2283" s="85"/>
      <c r="Q2283" s="86"/>
      <c r="R2283" s="87"/>
      <c r="S2283" s="35"/>
      <c r="T2283" s="35"/>
      <c r="U2283" s="88"/>
      <c r="V2283" s="37"/>
      <c r="W2283" s="38"/>
    </row>
    <row r="2284" ht="24" customHeight="1" spans="1:23" x14ac:dyDescent="0.25">
      <c r="A2284" s="31"/>
      <c r="B2284" s="32"/>
      <c r="C2284" s="33"/>
      <c r="D2284" s="34"/>
      <c r="E2284" s="34"/>
      <c r="F2284" s="75"/>
      <c r="G2284" s="76"/>
      <c r="H2284" s="77"/>
      <c r="I2284" s="78"/>
      <c r="J2284" s="79"/>
      <c r="K2284" s="80"/>
      <c r="L2284" s="81"/>
      <c r="M2284" s="82"/>
      <c r="N2284" s="83"/>
      <c r="O2284" s="84"/>
      <c r="P2284" s="85"/>
      <c r="Q2284" s="86"/>
      <c r="R2284" s="87"/>
      <c r="S2284" s="35"/>
      <c r="T2284" s="35"/>
      <c r="U2284" s="88"/>
      <c r="V2284" s="37"/>
      <c r="W2284" s="38"/>
    </row>
    <row r="2285" ht="24" customHeight="1" spans="1:23" x14ac:dyDescent="0.25">
      <c r="A2285" s="31"/>
      <c r="B2285" s="32"/>
      <c r="C2285" s="33"/>
      <c r="D2285" s="34"/>
      <c r="E2285" s="34"/>
      <c r="F2285" s="75"/>
      <c r="G2285" s="76"/>
      <c r="H2285" s="77"/>
      <c r="I2285" s="78"/>
      <c r="J2285" s="79"/>
      <c r="K2285" s="80"/>
      <c r="L2285" s="81"/>
      <c r="M2285" s="82"/>
      <c r="N2285" s="83"/>
      <c r="O2285" s="84"/>
      <c r="P2285" s="85"/>
      <c r="Q2285" s="86"/>
      <c r="R2285" s="87"/>
      <c r="S2285" s="35"/>
      <c r="T2285" s="35"/>
      <c r="U2285" s="88"/>
      <c r="V2285" s="37"/>
      <c r="W2285" s="38"/>
    </row>
    <row r="2286" ht="24" customHeight="1" spans="1:23" x14ac:dyDescent="0.25">
      <c r="A2286" s="31"/>
      <c r="B2286" s="32"/>
      <c r="C2286" s="33"/>
      <c r="D2286" s="34"/>
      <c r="E2286" s="34"/>
      <c r="F2286" s="75"/>
      <c r="G2286" s="76"/>
      <c r="H2286" s="77"/>
      <c r="I2286" s="78"/>
      <c r="J2286" s="79"/>
      <c r="K2286" s="80"/>
      <c r="L2286" s="81"/>
      <c r="M2286" s="82"/>
      <c r="N2286" s="83"/>
      <c r="O2286" s="84"/>
      <c r="P2286" s="85"/>
      <c r="Q2286" s="86"/>
      <c r="R2286" s="87"/>
      <c r="S2286" s="35"/>
      <c r="T2286" s="35"/>
      <c r="U2286" s="88"/>
      <c r="V2286" s="37"/>
      <c r="W2286" s="38"/>
    </row>
    <row r="2287" ht="24" customHeight="1" spans="1:23" x14ac:dyDescent="0.25">
      <c r="A2287" s="31"/>
      <c r="B2287" s="32"/>
      <c r="C2287" s="33"/>
      <c r="D2287" s="34"/>
      <c r="E2287" s="34"/>
      <c r="F2287" s="75"/>
      <c r="G2287" s="76"/>
      <c r="H2287" s="77"/>
      <c r="I2287" s="78"/>
      <c r="J2287" s="79"/>
      <c r="K2287" s="80"/>
      <c r="L2287" s="81"/>
      <c r="M2287" s="82"/>
      <c r="N2287" s="83"/>
      <c r="O2287" s="84"/>
      <c r="P2287" s="85"/>
      <c r="Q2287" s="86"/>
      <c r="R2287" s="87"/>
      <c r="S2287" s="35"/>
      <c r="T2287" s="35"/>
      <c r="U2287" s="88"/>
      <c r="V2287" s="37"/>
      <c r="W2287" s="38"/>
    </row>
    <row r="2288" ht="24" customHeight="1" spans="1:23" x14ac:dyDescent="0.25">
      <c r="A2288" s="31"/>
      <c r="B2288" s="32"/>
      <c r="C2288" s="33"/>
      <c r="D2288" s="34"/>
      <c r="E2288" s="34"/>
      <c r="F2288" s="75"/>
      <c r="G2288" s="76"/>
      <c r="H2288" s="77"/>
      <c r="I2288" s="78"/>
      <c r="J2288" s="79"/>
      <c r="K2288" s="80"/>
      <c r="L2288" s="81"/>
      <c r="M2288" s="82"/>
      <c r="N2288" s="83"/>
      <c r="O2288" s="84"/>
      <c r="P2288" s="85"/>
      <c r="Q2288" s="86"/>
      <c r="R2288" s="87"/>
      <c r="S2288" s="35"/>
      <c r="T2288" s="35"/>
      <c r="U2288" s="88"/>
      <c r="V2288" s="37"/>
      <c r="W2288" s="38"/>
    </row>
    <row r="2289" ht="24" customHeight="1" spans="1:23" x14ac:dyDescent="0.25">
      <c r="A2289" s="31"/>
      <c r="B2289" s="32"/>
      <c r="C2289" s="33"/>
      <c r="D2289" s="34"/>
      <c r="E2289" s="34"/>
      <c r="F2289" s="75"/>
      <c r="G2289" s="76"/>
      <c r="H2289" s="77"/>
      <c r="I2289" s="78"/>
      <c r="J2289" s="79"/>
      <c r="K2289" s="80"/>
      <c r="L2289" s="81"/>
      <c r="M2289" s="82"/>
      <c r="N2289" s="83"/>
      <c r="O2289" s="84"/>
      <c r="P2289" s="85"/>
      <c r="Q2289" s="86"/>
      <c r="R2289" s="87"/>
      <c r="S2289" s="35"/>
      <c r="T2289" s="35"/>
      <c r="U2289" s="88"/>
      <c r="V2289" s="37"/>
      <c r="W2289" s="38"/>
    </row>
    <row r="2290" ht="24" customHeight="1" spans="1:23" x14ac:dyDescent="0.25">
      <c r="A2290" s="31"/>
      <c r="B2290" s="32"/>
      <c r="C2290" s="33"/>
      <c r="D2290" s="34"/>
      <c r="E2290" s="34"/>
      <c r="F2290" s="75"/>
      <c r="G2290" s="76"/>
      <c r="H2290" s="77"/>
      <c r="I2290" s="78"/>
      <c r="J2290" s="79"/>
      <c r="K2290" s="80"/>
      <c r="L2290" s="81"/>
      <c r="M2290" s="82"/>
      <c r="N2290" s="83"/>
      <c r="O2290" s="84"/>
      <c r="P2290" s="85"/>
      <c r="Q2290" s="86"/>
      <c r="R2290" s="87"/>
      <c r="S2290" s="35"/>
      <c r="T2290" s="35"/>
      <c r="U2290" s="88"/>
      <c r="V2290" s="37"/>
      <c r="W2290" s="38"/>
    </row>
    <row r="2291" ht="24" customHeight="1" spans="1:23" x14ac:dyDescent="0.25">
      <c r="A2291" s="31"/>
      <c r="B2291" s="32"/>
      <c r="C2291" s="33"/>
      <c r="D2291" s="34"/>
      <c r="E2291" s="34"/>
      <c r="F2291" s="75"/>
      <c r="G2291" s="76"/>
      <c r="H2291" s="77"/>
      <c r="I2291" s="78"/>
      <c r="J2291" s="79"/>
      <c r="K2291" s="80"/>
      <c r="L2291" s="81"/>
      <c r="M2291" s="82"/>
      <c r="N2291" s="83"/>
      <c r="O2291" s="84"/>
      <c r="P2291" s="85"/>
      <c r="Q2291" s="86"/>
      <c r="R2291" s="87"/>
      <c r="S2291" s="35"/>
      <c r="T2291" s="35"/>
      <c r="U2291" s="88"/>
      <c r="V2291" s="37"/>
      <c r="W2291" s="38"/>
    </row>
    <row r="2292" ht="24" customHeight="1" spans="1:23" x14ac:dyDescent="0.25">
      <c r="A2292" s="31"/>
      <c r="B2292" s="32"/>
      <c r="C2292" s="33"/>
      <c r="D2292" s="34"/>
      <c r="E2292" s="34"/>
      <c r="F2292" s="75"/>
      <c r="G2292" s="76"/>
      <c r="H2292" s="77"/>
      <c r="I2292" s="78"/>
      <c r="J2292" s="79"/>
      <c r="K2292" s="80"/>
      <c r="L2292" s="81"/>
      <c r="M2292" s="82"/>
      <c r="N2292" s="83"/>
      <c r="O2292" s="84"/>
      <c r="P2292" s="85"/>
      <c r="Q2292" s="86"/>
      <c r="R2292" s="87"/>
      <c r="S2292" s="35"/>
      <c r="T2292" s="35"/>
      <c r="U2292" s="88"/>
      <c r="V2292" s="37"/>
      <c r="W2292" s="38"/>
    </row>
    <row r="2293" ht="24" customHeight="1" spans="1:23" x14ac:dyDescent="0.25">
      <c r="A2293" s="31"/>
      <c r="B2293" s="32"/>
      <c r="C2293" s="33"/>
      <c r="D2293" s="34"/>
      <c r="E2293" s="34"/>
      <c r="F2293" s="75"/>
      <c r="G2293" s="76"/>
      <c r="H2293" s="77"/>
      <c r="I2293" s="78"/>
      <c r="J2293" s="79"/>
      <c r="K2293" s="80"/>
      <c r="L2293" s="81"/>
      <c r="M2293" s="82"/>
      <c r="N2293" s="83"/>
      <c r="O2293" s="84"/>
      <c r="P2293" s="85"/>
      <c r="Q2293" s="86"/>
      <c r="R2293" s="87"/>
      <c r="S2293" s="35"/>
      <c r="T2293" s="35"/>
      <c r="U2293" s="88"/>
      <c r="V2293" s="37"/>
      <c r="W2293" s="38"/>
    </row>
    <row r="2294" ht="24" customHeight="1" spans="1:23" x14ac:dyDescent="0.25">
      <c r="A2294" s="31"/>
      <c r="B2294" s="32"/>
      <c r="C2294" s="33"/>
      <c r="D2294" s="34"/>
      <c r="E2294" s="34"/>
      <c r="F2294" s="75"/>
      <c r="G2294" s="76"/>
      <c r="H2294" s="77"/>
      <c r="I2294" s="78"/>
      <c r="J2294" s="79"/>
      <c r="K2294" s="80"/>
      <c r="L2294" s="81"/>
      <c r="M2294" s="82"/>
      <c r="N2294" s="83"/>
      <c r="O2294" s="84"/>
      <c r="P2294" s="85"/>
      <c r="Q2294" s="86"/>
      <c r="R2294" s="87"/>
      <c r="S2294" s="35"/>
      <c r="T2294" s="35"/>
      <c r="U2294" s="88"/>
      <c r="V2294" s="37"/>
      <c r="W2294" s="38"/>
    </row>
    <row r="2295" ht="24" customHeight="1" spans="1:23" x14ac:dyDescent="0.25">
      <c r="A2295" s="31"/>
      <c r="B2295" s="32"/>
      <c r="C2295" s="33"/>
      <c r="D2295" s="34"/>
      <c r="E2295" s="34"/>
      <c r="F2295" s="75"/>
      <c r="G2295" s="76"/>
      <c r="H2295" s="77"/>
      <c r="I2295" s="78"/>
      <c r="J2295" s="79"/>
      <c r="K2295" s="80"/>
      <c r="L2295" s="81"/>
      <c r="M2295" s="82"/>
      <c r="N2295" s="83"/>
      <c r="O2295" s="84"/>
      <c r="P2295" s="85"/>
      <c r="Q2295" s="86"/>
      <c r="R2295" s="87"/>
      <c r="S2295" s="35"/>
      <c r="T2295" s="35"/>
      <c r="U2295" s="88"/>
      <c r="V2295" s="37"/>
      <c r="W2295" s="38"/>
    </row>
    <row r="2296" ht="24" customHeight="1" spans="1:23" x14ac:dyDescent="0.25">
      <c r="A2296" s="31"/>
      <c r="B2296" s="32"/>
      <c r="C2296" s="33"/>
      <c r="D2296" s="34"/>
      <c r="E2296" s="34"/>
      <c r="F2296" s="75"/>
      <c r="G2296" s="76"/>
      <c r="H2296" s="77"/>
      <c r="I2296" s="78"/>
      <c r="J2296" s="79"/>
      <c r="K2296" s="80"/>
      <c r="L2296" s="81"/>
      <c r="M2296" s="82"/>
      <c r="N2296" s="83"/>
      <c r="O2296" s="84"/>
      <c r="P2296" s="85"/>
      <c r="Q2296" s="86"/>
      <c r="R2296" s="87"/>
      <c r="S2296" s="35"/>
      <c r="T2296" s="35"/>
      <c r="U2296" s="88"/>
      <c r="V2296" s="37"/>
      <c r="W2296" s="38"/>
    </row>
    <row r="2297" ht="24" customHeight="1" spans="1:23" x14ac:dyDescent="0.25">
      <c r="A2297" s="31"/>
      <c r="B2297" s="32"/>
      <c r="C2297" s="33"/>
      <c r="D2297" s="34"/>
      <c r="E2297" s="34"/>
      <c r="F2297" s="75"/>
      <c r="G2297" s="76"/>
      <c r="H2297" s="77"/>
      <c r="I2297" s="78"/>
      <c r="J2297" s="79"/>
      <c r="K2297" s="80"/>
      <c r="L2297" s="81"/>
      <c r="M2297" s="82"/>
      <c r="N2297" s="83"/>
      <c r="O2297" s="84"/>
      <c r="P2297" s="85"/>
      <c r="Q2297" s="86"/>
      <c r="R2297" s="87"/>
      <c r="S2297" s="35"/>
      <c r="T2297" s="35"/>
      <c r="U2297" s="88"/>
      <c r="V2297" s="37"/>
      <c r="W2297" s="38"/>
    </row>
    <row r="2298" ht="24" customHeight="1" spans="1:23" x14ac:dyDescent="0.25">
      <c r="A2298" s="31"/>
      <c r="B2298" s="32"/>
      <c r="C2298" s="33"/>
      <c r="D2298" s="34"/>
      <c r="E2298" s="34"/>
      <c r="F2298" s="75"/>
      <c r="G2298" s="76"/>
      <c r="H2298" s="77"/>
      <c r="I2298" s="78"/>
      <c r="J2298" s="79"/>
      <c r="K2298" s="80"/>
      <c r="L2298" s="81"/>
      <c r="M2298" s="82"/>
      <c r="N2298" s="83"/>
      <c r="O2298" s="84"/>
      <c r="P2298" s="85"/>
      <c r="Q2298" s="86"/>
      <c r="R2298" s="87"/>
      <c r="S2298" s="35"/>
      <c r="T2298" s="35"/>
      <c r="U2298" s="88"/>
      <c r="V2298" s="37"/>
      <c r="W2298" s="38"/>
    </row>
    <row r="2299" ht="24" customHeight="1" spans="1:23" x14ac:dyDescent="0.25">
      <c r="A2299" s="31"/>
      <c r="B2299" s="32"/>
      <c r="C2299" s="33"/>
      <c r="D2299" s="34"/>
      <c r="E2299" s="34"/>
      <c r="F2299" s="75"/>
      <c r="G2299" s="76"/>
      <c r="H2299" s="77"/>
      <c r="I2299" s="78"/>
      <c r="J2299" s="79"/>
      <c r="K2299" s="80"/>
      <c r="L2299" s="81"/>
      <c r="M2299" s="82"/>
      <c r="N2299" s="83"/>
      <c r="O2299" s="84"/>
      <c r="P2299" s="85"/>
      <c r="Q2299" s="86"/>
      <c r="R2299" s="87"/>
      <c r="S2299" s="35"/>
      <c r="T2299" s="35"/>
      <c r="U2299" s="88"/>
      <c r="V2299" s="37"/>
      <c r="W2299" s="38"/>
    </row>
    <row r="2300" ht="24" customHeight="1" spans="1:23" x14ac:dyDescent="0.25">
      <c r="A2300" s="31"/>
      <c r="B2300" s="32"/>
      <c r="C2300" s="33"/>
      <c r="D2300" s="34"/>
      <c r="E2300" s="34"/>
      <c r="F2300" s="75"/>
      <c r="G2300" s="76"/>
      <c r="H2300" s="77"/>
      <c r="I2300" s="78"/>
      <c r="J2300" s="79"/>
      <c r="K2300" s="80"/>
      <c r="L2300" s="81"/>
      <c r="M2300" s="82"/>
      <c r="N2300" s="83"/>
      <c r="O2300" s="84"/>
      <c r="P2300" s="85"/>
      <c r="Q2300" s="86"/>
      <c r="R2300" s="87"/>
      <c r="S2300" s="35"/>
      <c r="T2300" s="35"/>
      <c r="U2300" s="88"/>
      <c r="V2300" s="37"/>
      <c r="W2300" s="38"/>
    </row>
    <row r="2301" ht="24" customHeight="1" spans="1:23" x14ac:dyDescent="0.25">
      <c r="A2301" s="31"/>
      <c r="B2301" s="32"/>
      <c r="C2301" s="33"/>
      <c r="D2301" s="34"/>
      <c r="E2301" s="34"/>
      <c r="F2301" s="75"/>
      <c r="G2301" s="76"/>
      <c r="H2301" s="77"/>
      <c r="I2301" s="78"/>
      <c r="J2301" s="79"/>
      <c r="K2301" s="80"/>
      <c r="L2301" s="81"/>
      <c r="M2301" s="82"/>
      <c r="N2301" s="83"/>
      <c r="O2301" s="84"/>
      <c r="P2301" s="85"/>
      <c r="Q2301" s="86"/>
      <c r="R2301" s="87"/>
      <c r="S2301" s="35"/>
      <c r="T2301" s="35"/>
      <c r="U2301" s="88"/>
      <c r="V2301" s="37"/>
      <c r="W2301" s="38"/>
    </row>
    <row r="2302" ht="24" customHeight="1" spans="1:23" x14ac:dyDescent="0.25">
      <c r="A2302" s="31"/>
      <c r="B2302" s="32"/>
      <c r="C2302" s="33"/>
      <c r="D2302" s="34"/>
      <c r="E2302" s="34"/>
      <c r="F2302" s="75"/>
      <c r="G2302" s="76"/>
      <c r="H2302" s="77"/>
      <c r="I2302" s="78"/>
      <c r="J2302" s="79"/>
      <c r="K2302" s="80"/>
      <c r="L2302" s="81"/>
      <c r="M2302" s="82"/>
      <c r="N2302" s="83"/>
      <c r="O2302" s="84"/>
      <c r="P2302" s="85"/>
      <c r="Q2302" s="86"/>
      <c r="R2302" s="87"/>
      <c r="S2302" s="35"/>
      <c r="T2302" s="35"/>
      <c r="U2302" s="88"/>
      <c r="V2302" s="37"/>
      <c r="W2302" s="38"/>
    </row>
    <row r="2303" ht="24" customHeight="1" spans="1:23" x14ac:dyDescent="0.25">
      <c r="A2303" s="31"/>
      <c r="B2303" s="32"/>
      <c r="C2303" s="33"/>
      <c r="D2303" s="34"/>
      <c r="E2303" s="34"/>
      <c r="F2303" s="75"/>
      <c r="G2303" s="76"/>
      <c r="H2303" s="77"/>
      <c r="I2303" s="78"/>
      <c r="J2303" s="79"/>
      <c r="K2303" s="80"/>
      <c r="L2303" s="81"/>
      <c r="M2303" s="82"/>
      <c r="N2303" s="83"/>
      <c r="O2303" s="84"/>
      <c r="P2303" s="85"/>
      <c r="Q2303" s="86"/>
      <c r="R2303" s="87"/>
      <c r="S2303" s="35"/>
      <c r="T2303" s="35"/>
      <c r="U2303" s="88"/>
      <c r="V2303" s="37"/>
      <c r="W2303" s="38"/>
    </row>
    <row r="2304" ht="24" customHeight="1" spans="1:23" x14ac:dyDescent="0.25">
      <c r="A2304" s="31"/>
      <c r="B2304" s="32"/>
      <c r="C2304" s="33"/>
      <c r="D2304" s="34"/>
      <c r="E2304" s="34"/>
      <c r="F2304" s="75"/>
      <c r="G2304" s="76"/>
      <c r="H2304" s="77"/>
      <c r="I2304" s="78"/>
      <c r="J2304" s="79"/>
      <c r="K2304" s="80"/>
      <c r="L2304" s="81"/>
      <c r="M2304" s="82"/>
      <c r="N2304" s="83"/>
      <c r="O2304" s="84"/>
      <c r="P2304" s="85"/>
      <c r="Q2304" s="86"/>
      <c r="R2304" s="87"/>
      <c r="S2304" s="35"/>
      <c r="T2304" s="35"/>
      <c r="U2304" s="88"/>
      <c r="V2304" s="37"/>
      <c r="W2304" s="38"/>
    </row>
    <row r="2305" ht="24" customHeight="1" spans="1:23" x14ac:dyDescent="0.25">
      <c r="A2305" s="31"/>
      <c r="B2305" s="32"/>
      <c r="C2305" s="33"/>
      <c r="D2305" s="34"/>
      <c r="E2305" s="34"/>
      <c r="F2305" s="75"/>
      <c r="G2305" s="76"/>
      <c r="H2305" s="77"/>
      <c r="I2305" s="78"/>
      <c r="J2305" s="79"/>
      <c r="K2305" s="80"/>
      <c r="L2305" s="81"/>
      <c r="M2305" s="82"/>
      <c r="N2305" s="83"/>
      <c r="O2305" s="84"/>
      <c r="P2305" s="85"/>
      <c r="Q2305" s="86"/>
      <c r="R2305" s="87"/>
      <c r="S2305" s="35"/>
      <c r="T2305" s="35"/>
      <c r="U2305" s="88"/>
      <c r="V2305" s="37"/>
      <c r="W2305" s="38"/>
    </row>
    <row r="2306" ht="24" customHeight="1" spans="1:23" x14ac:dyDescent="0.25">
      <c r="A2306" s="31"/>
      <c r="B2306" s="32"/>
      <c r="C2306" s="33"/>
      <c r="D2306" s="34"/>
      <c r="E2306" s="34"/>
      <c r="F2306" s="75"/>
      <c r="G2306" s="76"/>
      <c r="H2306" s="77"/>
      <c r="I2306" s="78"/>
      <c r="J2306" s="79"/>
      <c r="K2306" s="80"/>
      <c r="L2306" s="81"/>
      <c r="M2306" s="82"/>
      <c r="N2306" s="83"/>
      <c r="O2306" s="84"/>
      <c r="P2306" s="85"/>
      <c r="Q2306" s="86"/>
      <c r="R2306" s="87"/>
      <c r="S2306" s="35"/>
      <c r="T2306" s="35"/>
      <c r="U2306" s="88"/>
      <c r="V2306" s="37"/>
      <c r="W2306" s="38"/>
    </row>
    <row r="2307" ht="24" customHeight="1" spans="1:23" x14ac:dyDescent="0.25">
      <c r="A2307" s="31"/>
      <c r="B2307" s="32"/>
      <c r="C2307" s="33"/>
      <c r="D2307" s="34"/>
      <c r="E2307" s="34"/>
      <c r="F2307" s="75"/>
      <c r="G2307" s="76"/>
      <c r="H2307" s="77"/>
      <c r="I2307" s="78"/>
      <c r="J2307" s="79"/>
      <c r="K2307" s="80"/>
      <c r="L2307" s="81"/>
      <c r="M2307" s="82"/>
      <c r="N2307" s="83"/>
      <c r="O2307" s="84"/>
      <c r="P2307" s="85"/>
      <c r="Q2307" s="86"/>
      <c r="R2307" s="87"/>
      <c r="S2307" s="35"/>
      <c r="T2307" s="35"/>
      <c r="U2307" s="88"/>
      <c r="V2307" s="37"/>
      <c r="W2307" s="38"/>
    </row>
    <row r="2308" ht="24" customHeight="1" spans="1:23" x14ac:dyDescent="0.25">
      <c r="A2308" s="31"/>
      <c r="B2308" s="32"/>
      <c r="C2308" s="33"/>
      <c r="D2308" s="34"/>
      <c r="E2308" s="34"/>
      <c r="F2308" s="75"/>
      <c r="G2308" s="76"/>
      <c r="H2308" s="77"/>
      <c r="I2308" s="78"/>
      <c r="J2308" s="79"/>
      <c r="K2308" s="80"/>
      <c r="L2308" s="81"/>
      <c r="M2308" s="82"/>
      <c r="N2308" s="83"/>
      <c r="O2308" s="84"/>
      <c r="P2308" s="85"/>
      <c r="Q2308" s="86"/>
      <c r="R2308" s="87"/>
      <c r="S2308" s="35"/>
      <c r="T2308" s="35"/>
      <c r="U2308" s="88"/>
      <c r="V2308" s="37"/>
      <c r="W2308" s="38"/>
    </row>
    <row r="2309" ht="24" customHeight="1" spans="1:23" x14ac:dyDescent="0.25">
      <c r="A2309" s="31"/>
      <c r="B2309" s="32"/>
      <c r="C2309" s="33"/>
      <c r="D2309" s="34"/>
      <c r="E2309" s="34"/>
      <c r="F2309" s="75"/>
      <c r="G2309" s="76"/>
      <c r="H2309" s="77"/>
      <c r="I2309" s="78"/>
      <c r="J2309" s="79"/>
      <c r="K2309" s="80"/>
      <c r="L2309" s="81"/>
      <c r="M2309" s="82"/>
      <c r="N2309" s="83"/>
      <c r="O2309" s="84"/>
      <c r="P2309" s="85"/>
      <c r="Q2309" s="86"/>
      <c r="R2309" s="87"/>
      <c r="S2309" s="35"/>
      <c r="T2309" s="35"/>
      <c r="U2309" s="88"/>
      <c r="V2309" s="37"/>
      <c r="W2309" s="38"/>
    </row>
    <row r="2310" ht="24" customHeight="1" spans="1:23" x14ac:dyDescent="0.25">
      <c r="A2310" s="31"/>
      <c r="B2310" s="32"/>
      <c r="C2310" s="33"/>
      <c r="D2310" s="34"/>
      <c r="E2310" s="34"/>
      <c r="F2310" s="75"/>
      <c r="G2310" s="76"/>
      <c r="H2310" s="77"/>
      <c r="I2310" s="78"/>
      <c r="J2310" s="79"/>
      <c r="K2310" s="80"/>
      <c r="L2310" s="81"/>
      <c r="M2310" s="82"/>
      <c r="N2310" s="83"/>
      <c r="O2310" s="84"/>
      <c r="P2310" s="85"/>
      <c r="Q2310" s="86"/>
      <c r="R2310" s="87"/>
      <c r="S2310" s="35"/>
      <c r="T2310" s="35"/>
      <c r="U2310" s="88"/>
      <c r="V2310" s="37"/>
      <c r="W2310" s="38"/>
    </row>
    <row r="2311" ht="24" customHeight="1" spans="1:23" x14ac:dyDescent="0.25">
      <c r="A2311" s="31"/>
      <c r="B2311" s="32"/>
      <c r="C2311" s="33"/>
      <c r="D2311" s="34"/>
      <c r="E2311" s="34"/>
      <c r="F2311" s="75"/>
      <c r="G2311" s="76"/>
      <c r="H2311" s="77"/>
      <c r="I2311" s="78"/>
      <c r="J2311" s="79"/>
      <c r="K2311" s="80"/>
      <c r="L2311" s="81"/>
      <c r="M2311" s="82"/>
      <c r="N2311" s="83"/>
      <c r="O2311" s="84"/>
      <c r="P2311" s="85"/>
      <c r="Q2311" s="86"/>
      <c r="R2311" s="87"/>
      <c r="S2311" s="35"/>
      <c r="T2311" s="35"/>
      <c r="U2311" s="88"/>
      <c r="V2311" s="37"/>
      <c r="W2311" s="38"/>
    </row>
    <row r="2312" ht="24" customHeight="1" spans="1:23" x14ac:dyDescent="0.25">
      <c r="A2312" s="31"/>
      <c r="B2312" s="32"/>
      <c r="C2312" s="33"/>
      <c r="D2312" s="34"/>
      <c r="E2312" s="34"/>
      <c r="F2312" s="75"/>
      <c r="G2312" s="76"/>
      <c r="H2312" s="77"/>
      <c r="I2312" s="78"/>
      <c r="J2312" s="79"/>
      <c r="K2312" s="80"/>
      <c r="L2312" s="81"/>
      <c r="M2312" s="82"/>
      <c r="N2312" s="83"/>
      <c r="O2312" s="84"/>
      <c r="P2312" s="85"/>
      <c r="Q2312" s="86"/>
      <c r="R2312" s="87"/>
      <c r="S2312" s="35"/>
      <c r="T2312" s="35"/>
      <c r="U2312" s="88"/>
      <c r="V2312" s="37"/>
      <c r="W2312" s="38"/>
    </row>
    <row r="2313" ht="24" customHeight="1" spans="1:23" x14ac:dyDescent="0.25">
      <c r="A2313" s="31"/>
      <c r="B2313" s="32"/>
      <c r="C2313" s="33"/>
      <c r="D2313" s="34"/>
      <c r="E2313" s="34"/>
      <c r="F2313" s="75"/>
      <c r="G2313" s="76"/>
      <c r="H2313" s="77"/>
      <c r="I2313" s="78"/>
      <c r="J2313" s="79"/>
      <c r="K2313" s="80"/>
      <c r="L2313" s="81"/>
      <c r="M2313" s="82"/>
      <c r="N2313" s="83"/>
      <c r="O2313" s="84"/>
      <c r="P2313" s="85"/>
      <c r="Q2313" s="86"/>
      <c r="R2313" s="87"/>
      <c r="S2313" s="35"/>
      <c r="T2313" s="35"/>
      <c r="U2313" s="88"/>
      <c r="V2313" s="37"/>
      <c r="W2313" s="38"/>
    </row>
    <row r="2314" ht="24" customHeight="1" spans="1:23" x14ac:dyDescent="0.25">
      <c r="A2314" s="31"/>
      <c r="B2314" s="32"/>
      <c r="C2314" s="33"/>
      <c r="D2314" s="34"/>
      <c r="E2314" s="34"/>
      <c r="F2314" s="75"/>
      <c r="G2314" s="76"/>
      <c r="H2314" s="77"/>
      <c r="I2314" s="78"/>
      <c r="J2314" s="79"/>
      <c r="K2314" s="80"/>
      <c r="L2314" s="81"/>
      <c r="M2314" s="82"/>
      <c r="N2314" s="83"/>
      <c r="O2314" s="84"/>
      <c r="P2314" s="85"/>
      <c r="Q2314" s="86"/>
      <c r="R2314" s="87"/>
      <c r="S2314" s="35"/>
      <c r="T2314" s="35"/>
      <c r="U2314" s="88"/>
      <c r="V2314" s="37"/>
      <c r="W2314" s="38"/>
    </row>
    <row r="2315" ht="24" customHeight="1" spans="1:23" x14ac:dyDescent="0.25">
      <c r="A2315" s="31"/>
      <c r="B2315" s="32"/>
      <c r="C2315" s="33"/>
      <c r="D2315" s="34"/>
      <c r="E2315" s="34"/>
      <c r="F2315" s="75"/>
      <c r="G2315" s="76"/>
      <c r="H2315" s="77"/>
      <c r="I2315" s="78"/>
      <c r="J2315" s="79"/>
      <c r="K2315" s="80"/>
      <c r="L2315" s="81"/>
      <c r="M2315" s="82"/>
      <c r="N2315" s="83"/>
      <c r="O2315" s="84"/>
      <c r="P2315" s="85"/>
      <c r="Q2315" s="86"/>
      <c r="R2315" s="87"/>
      <c r="S2315" s="35"/>
      <c r="T2315" s="35"/>
      <c r="U2315" s="88"/>
      <c r="V2315" s="37"/>
      <c r="W2315" s="38"/>
    </row>
    <row r="2316" ht="24" customHeight="1" spans="1:23" x14ac:dyDescent="0.25">
      <c r="A2316" s="31"/>
      <c r="B2316" s="32"/>
      <c r="C2316" s="33"/>
      <c r="D2316" s="34"/>
      <c r="E2316" s="34"/>
      <c r="F2316" s="75"/>
      <c r="G2316" s="76"/>
      <c r="H2316" s="77"/>
      <c r="I2316" s="78"/>
      <c r="J2316" s="79"/>
      <c r="K2316" s="80"/>
      <c r="L2316" s="81"/>
      <c r="M2316" s="82"/>
      <c r="N2316" s="83"/>
      <c r="O2316" s="84"/>
      <c r="P2316" s="85"/>
      <c r="Q2316" s="86"/>
      <c r="R2316" s="87"/>
      <c r="S2316" s="35"/>
      <c r="T2316" s="35"/>
      <c r="U2316" s="88"/>
      <c r="V2316" s="37"/>
      <c r="W2316" s="38"/>
    </row>
    <row r="2317" ht="24" customHeight="1" spans="1:23" x14ac:dyDescent="0.25">
      <c r="A2317" s="31"/>
      <c r="B2317" s="32"/>
      <c r="C2317" s="33"/>
      <c r="D2317" s="34"/>
      <c r="E2317" s="34"/>
      <c r="F2317" s="75"/>
      <c r="G2317" s="76"/>
      <c r="H2317" s="77"/>
      <c r="I2317" s="78"/>
      <c r="J2317" s="79"/>
      <c r="K2317" s="80"/>
      <c r="L2317" s="81"/>
      <c r="M2317" s="82"/>
      <c r="N2317" s="83"/>
      <c r="O2317" s="84"/>
      <c r="P2317" s="85"/>
      <c r="Q2317" s="86"/>
      <c r="R2317" s="87"/>
      <c r="S2317" s="35"/>
      <c r="T2317" s="35"/>
      <c r="U2317" s="88"/>
      <c r="V2317" s="37"/>
      <c r="W2317" s="38"/>
    </row>
    <row r="2318" ht="24" customHeight="1" spans="1:23" x14ac:dyDescent="0.25">
      <c r="A2318" s="31"/>
      <c r="B2318" s="32"/>
      <c r="C2318" s="33"/>
      <c r="D2318" s="34"/>
      <c r="E2318" s="34"/>
      <c r="F2318" s="75"/>
      <c r="G2318" s="76"/>
      <c r="H2318" s="77"/>
      <c r="I2318" s="78"/>
      <c r="J2318" s="79"/>
      <c r="K2318" s="80"/>
      <c r="L2318" s="81"/>
      <c r="M2318" s="82"/>
      <c r="N2318" s="83"/>
      <c r="O2318" s="84"/>
      <c r="P2318" s="85"/>
      <c r="Q2318" s="86"/>
      <c r="R2318" s="87"/>
      <c r="S2318" s="35"/>
      <c r="T2318" s="35"/>
      <c r="U2318" s="88"/>
      <c r="V2318" s="37"/>
      <c r="W2318" s="38"/>
    </row>
    <row r="2319" ht="24" customHeight="1" spans="1:23" x14ac:dyDescent="0.25">
      <c r="A2319" s="31"/>
      <c r="B2319" s="32"/>
      <c r="C2319" s="33"/>
      <c r="D2319" s="34"/>
      <c r="E2319" s="34"/>
      <c r="F2319" s="75"/>
      <c r="G2319" s="76"/>
      <c r="H2319" s="77"/>
      <c r="I2319" s="78"/>
      <c r="J2319" s="79"/>
      <c r="K2319" s="80"/>
      <c r="L2319" s="81"/>
      <c r="M2319" s="82"/>
      <c r="N2319" s="83"/>
      <c r="O2319" s="84"/>
      <c r="P2319" s="85"/>
      <c r="Q2319" s="86"/>
      <c r="R2319" s="87"/>
      <c r="S2319" s="35"/>
      <c r="T2319" s="35"/>
      <c r="U2319" s="88"/>
      <c r="V2319" s="37"/>
      <c r="W2319" s="38"/>
    </row>
    <row r="2320" ht="24" customHeight="1" spans="1:23" x14ac:dyDescent="0.25">
      <c r="A2320" s="31"/>
      <c r="B2320" s="32"/>
      <c r="C2320" s="33"/>
      <c r="D2320" s="34"/>
      <c r="E2320" s="34"/>
      <c r="F2320" s="75"/>
      <c r="G2320" s="76"/>
      <c r="H2320" s="77"/>
      <c r="I2320" s="78"/>
      <c r="J2320" s="79"/>
      <c r="K2320" s="80"/>
      <c r="L2320" s="81"/>
      <c r="M2320" s="82"/>
      <c r="N2320" s="83"/>
      <c r="O2320" s="84"/>
      <c r="P2320" s="85"/>
      <c r="Q2320" s="86"/>
      <c r="R2320" s="87"/>
      <c r="S2320" s="35"/>
      <c r="T2320" s="35"/>
      <c r="U2320" s="88"/>
      <c r="V2320" s="37"/>
      <c r="W2320" s="38"/>
    </row>
    <row r="2321" ht="24" customHeight="1" spans="1:23" x14ac:dyDescent="0.25">
      <c r="A2321" s="31"/>
      <c r="B2321" s="32"/>
      <c r="C2321" s="33"/>
      <c r="D2321" s="34"/>
      <c r="E2321" s="34"/>
      <c r="F2321" s="75"/>
      <c r="G2321" s="76"/>
      <c r="H2321" s="77"/>
      <c r="I2321" s="78"/>
      <c r="J2321" s="79"/>
      <c r="K2321" s="80"/>
      <c r="L2321" s="81"/>
      <c r="M2321" s="82"/>
      <c r="N2321" s="83"/>
      <c r="O2321" s="84"/>
      <c r="P2321" s="85"/>
      <c r="Q2321" s="86"/>
      <c r="R2321" s="87"/>
      <c r="S2321" s="35"/>
      <c r="T2321" s="35"/>
      <c r="U2321" s="88"/>
      <c r="V2321" s="37"/>
      <c r="W2321" s="38"/>
    </row>
    <row r="2322" ht="24" customHeight="1" spans="1:23" x14ac:dyDescent="0.25">
      <c r="A2322" s="31"/>
      <c r="B2322" s="32"/>
      <c r="C2322" s="33"/>
      <c r="D2322" s="34"/>
      <c r="E2322" s="34"/>
      <c r="F2322" s="75"/>
      <c r="G2322" s="76"/>
      <c r="H2322" s="77"/>
      <c r="I2322" s="78"/>
      <c r="J2322" s="79"/>
      <c r="K2322" s="80"/>
      <c r="L2322" s="81"/>
      <c r="M2322" s="82"/>
      <c r="N2322" s="83"/>
      <c r="O2322" s="84"/>
      <c r="P2322" s="85"/>
      <c r="Q2322" s="86"/>
      <c r="R2322" s="87"/>
      <c r="S2322" s="35"/>
      <c r="T2322" s="35"/>
      <c r="U2322" s="88"/>
      <c r="V2322" s="37"/>
      <c r="W2322" s="38"/>
    </row>
    <row r="2323" ht="24" customHeight="1" spans="1:23" x14ac:dyDescent="0.25">
      <c r="A2323" s="31"/>
      <c r="B2323" s="32"/>
      <c r="C2323" s="33"/>
      <c r="D2323" s="34"/>
      <c r="E2323" s="34"/>
      <c r="F2323" s="75"/>
      <c r="G2323" s="76"/>
      <c r="H2323" s="77"/>
      <c r="I2323" s="78"/>
      <c r="J2323" s="79"/>
      <c r="K2323" s="80"/>
      <c r="L2323" s="81"/>
      <c r="M2323" s="82"/>
      <c r="N2323" s="83"/>
      <c r="O2323" s="84"/>
      <c r="P2323" s="85"/>
      <c r="Q2323" s="86"/>
      <c r="R2323" s="87"/>
      <c r="S2323" s="35"/>
      <c r="T2323" s="35"/>
      <c r="U2323" s="88"/>
      <c r="V2323" s="37"/>
      <c r="W2323" s="38"/>
    </row>
    <row r="2324" ht="24" customHeight="1" spans="1:23" x14ac:dyDescent="0.25">
      <c r="A2324" s="31"/>
      <c r="B2324" s="32"/>
      <c r="C2324" s="33"/>
      <c r="D2324" s="34"/>
      <c r="E2324" s="34"/>
      <c r="F2324" s="75"/>
      <c r="G2324" s="76"/>
      <c r="H2324" s="77"/>
      <c r="I2324" s="78"/>
      <c r="J2324" s="79"/>
      <c r="K2324" s="80"/>
      <c r="L2324" s="81"/>
      <c r="M2324" s="82"/>
      <c r="N2324" s="83"/>
      <c r="O2324" s="84"/>
      <c r="P2324" s="85"/>
      <c r="Q2324" s="86"/>
      <c r="R2324" s="87"/>
      <c r="S2324" s="35"/>
      <c r="T2324" s="35"/>
      <c r="U2324" s="88"/>
      <c r="V2324" s="37"/>
      <c r="W2324" s="38"/>
    </row>
    <row r="2325" ht="24" customHeight="1" spans="1:23" x14ac:dyDescent="0.25">
      <c r="A2325" s="31"/>
      <c r="B2325" s="32"/>
      <c r="C2325" s="33"/>
      <c r="D2325" s="34"/>
      <c r="E2325" s="34"/>
      <c r="F2325" s="75"/>
      <c r="G2325" s="76"/>
      <c r="H2325" s="77"/>
      <c r="I2325" s="78"/>
      <c r="J2325" s="79"/>
      <c r="K2325" s="80"/>
      <c r="L2325" s="81"/>
      <c r="M2325" s="82"/>
      <c r="N2325" s="83"/>
      <c r="O2325" s="84"/>
      <c r="P2325" s="85"/>
      <c r="Q2325" s="86"/>
      <c r="R2325" s="87"/>
      <c r="S2325" s="35"/>
      <c r="T2325" s="35"/>
      <c r="U2325" s="88"/>
      <c r="V2325" s="37"/>
      <c r="W2325" s="38"/>
    </row>
    <row r="2326" ht="24" customHeight="1" spans="1:23" x14ac:dyDescent="0.25">
      <c r="A2326" s="31"/>
      <c r="B2326" s="32"/>
      <c r="C2326" s="33"/>
      <c r="D2326" s="34"/>
      <c r="E2326" s="34"/>
      <c r="F2326" s="75"/>
      <c r="G2326" s="76"/>
      <c r="H2326" s="77"/>
      <c r="I2326" s="78"/>
      <c r="J2326" s="79"/>
      <c r="K2326" s="80"/>
      <c r="L2326" s="81"/>
      <c r="M2326" s="82"/>
      <c r="N2326" s="83"/>
      <c r="O2326" s="84"/>
      <c r="P2326" s="85"/>
      <c r="Q2326" s="86"/>
      <c r="R2326" s="87"/>
      <c r="S2326" s="35"/>
      <c r="T2326" s="35"/>
      <c r="U2326" s="88"/>
      <c r="V2326" s="37"/>
      <c r="W2326" s="38"/>
    </row>
    <row r="2327" ht="24" customHeight="1" spans="1:23" x14ac:dyDescent="0.25">
      <c r="A2327" s="31"/>
      <c r="B2327" s="32"/>
      <c r="C2327" s="33"/>
      <c r="D2327" s="34"/>
      <c r="E2327" s="34"/>
      <c r="F2327" s="75"/>
      <c r="G2327" s="76"/>
      <c r="H2327" s="77"/>
      <c r="I2327" s="78"/>
      <c r="J2327" s="79"/>
      <c r="K2327" s="80"/>
      <c r="L2327" s="81"/>
      <c r="M2327" s="82"/>
      <c r="N2327" s="83"/>
      <c r="O2327" s="84"/>
      <c r="P2327" s="85"/>
      <c r="Q2327" s="86"/>
      <c r="R2327" s="87"/>
      <c r="S2327" s="35"/>
      <c r="T2327" s="35"/>
      <c r="U2327" s="88"/>
      <c r="V2327" s="37"/>
      <c r="W2327" s="38"/>
    </row>
    <row r="2328" ht="24" customHeight="1" spans="1:23" x14ac:dyDescent="0.25">
      <c r="A2328" s="31"/>
      <c r="B2328" s="32"/>
      <c r="C2328" s="33"/>
      <c r="D2328" s="34"/>
      <c r="E2328" s="34"/>
      <c r="F2328" s="75"/>
      <c r="G2328" s="76"/>
      <c r="H2328" s="77"/>
      <c r="I2328" s="78"/>
      <c r="J2328" s="79"/>
      <c r="K2328" s="80"/>
      <c r="L2328" s="81"/>
      <c r="M2328" s="82"/>
      <c r="N2328" s="83"/>
      <c r="O2328" s="84"/>
      <c r="P2328" s="85"/>
      <c r="Q2328" s="86"/>
      <c r="R2328" s="87"/>
      <c r="S2328" s="35"/>
      <c r="T2328" s="35"/>
      <c r="U2328" s="88"/>
      <c r="V2328" s="37"/>
      <c r="W2328" s="38"/>
    </row>
    <row r="2329" ht="24" customHeight="1" spans="1:23" x14ac:dyDescent="0.25">
      <c r="A2329" s="31"/>
      <c r="B2329" s="32"/>
      <c r="C2329" s="33"/>
      <c r="D2329" s="34"/>
      <c r="E2329" s="34"/>
      <c r="F2329" s="75"/>
      <c r="G2329" s="76"/>
      <c r="H2329" s="77"/>
      <c r="I2329" s="78"/>
      <c r="J2329" s="79"/>
      <c r="K2329" s="80"/>
      <c r="L2329" s="81"/>
      <c r="M2329" s="82"/>
      <c r="N2329" s="83"/>
      <c r="O2329" s="84"/>
      <c r="P2329" s="85"/>
      <c r="Q2329" s="86"/>
      <c r="R2329" s="87"/>
      <c r="S2329" s="35"/>
      <c r="T2329" s="35"/>
      <c r="U2329" s="88"/>
      <c r="V2329" s="37"/>
      <c r="W2329" s="38"/>
    </row>
    <row r="2330" ht="24" customHeight="1" spans="1:23" x14ac:dyDescent="0.25">
      <c r="A2330" s="31"/>
      <c r="B2330" s="32"/>
      <c r="C2330" s="33"/>
      <c r="D2330" s="34"/>
      <c r="E2330" s="34"/>
      <c r="F2330" s="75"/>
      <c r="G2330" s="76"/>
      <c r="H2330" s="77"/>
      <c r="I2330" s="78"/>
      <c r="J2330" s="79"/>
      <c r="K2330" s="80"/>
      <c r="L2330" s="81"/>
      <c r="M2330" s="82"/>
      <c r="N2330" s="83"/>
      <c r="O2330" s="84"/>
      <c r="P2330" s="85"/>
      <c r="Q2330" s="86"/>
      <c r="R2330" s="87"/>
      <c r="S2330" s="35"/>
      <c r="T2330" s="35"/>
      <c r="U2330" s="88"/>
      <c r="V2330" s="37"/>
      <c r="W2330" s="38"/>
    </row>
    <row r="2331" ht="24" customHeight="1" spans="1:23" x14ac:dyDescent="0.25">
      <c r="A2331" s="31"/>
      <c r="B2331" s="32"/>
      <c r="C2331" s="33"/>
      <c r="D2331" s="34"/>
      <c r="E2331" s="34"/>
      <c r="F2331" s="75"/>
      <c r="G2331" s="76"/>
      <c r="H2331" s="77"/>
      <c r="I2331" s="78"/>
      <c r="J2331" s="79"/>
      <c r="K2331" s="80"/>
      <c r="L2331" s="81"/>
      <c r="M2331" s="82"/>
      <c r="N2331" s="83"/>
      <c r="O2331" s="84"/>
      <c r="P2331" s="85"/>
      <c r="Q2331" s="86"/>
      <c r="R2331" s="87"/>
      <c r="S2331" s="35"/>
      <c r="T2331" s="35"/>
      <c r="U2331" s="88"/>
      <c r="V2331" s="37"/>
      <c r="W2331" s="38"/>
    </row>
    <row r="2332" ht="24" customHeight="1" spans="1:23" x14ac:dyDescent="0.25">
      <c r="A2332" s="31"/>
      <c r="B2332" s="32"/>
      <c r="C2332" s="33"/>
      <c r="D2332" s="34"/>
      <c r="E2332" s="34"/>
      <c r="F2332" s="75"/>
      <c r="G2332" s="76"/>
      <c r="H2332" s="77"/>
      <c r="I2332" s="78"/>
      <c r="J2332" s="79"/>
      <c r="K2332" s="80"/>
      <c r="L2332" s="81"/>
      <c r="M2332" s="82"/>
      <c r="N2332" s="83"/>
      <c r="O2332" s="84"/>
      <c r="P2332" s="85"/>
      <c r="Q2332" s="86"/>
      <c r="R2332" s="87"/>
      <c r="S2332" s="35"/>
      <c r="T2332" s="35"/>
      <c r="U2332" s="88"/>
      <c r="V2332" s="37"/>
      <c r="W2332" s="38"/>
    </row>
    <row r="2333" ht="24" customHeight="1" spans="1:23" x14ac:dyDescent="0.25">
      <c r="A2333" s="31"/>
      <c r="B2333" s="32"/>
      <c r="C2333" s="33"/>
      <c r="D2333" s="34"/>
      <c r="E2333" s="34"/>
      <c r="F2333" s="75"/>
      <c r="G2333" s="76"/>
      <c r="H2333" s="77"/>
      <c r="I2333" s="78"/>
      <c r="J2333" s="79"/>
      <c r="K2333" s="80"/>
      <c r="L2333" s="81"/>
      <c r="M2333" s="82"/>
      <c r="N2333" s="83"/>
      <c r="O2333" s="84"/>
      <c r="P2333" s="85"/>
      <c r="Q2333" s="86"/>
      <c r="R2333" s="87"/>
      <c r="S2333" s="35"/>
      <c r="T2333" s="35"/>
      <c r="U2333" s="88"/>
      <c r="V2333" s="37"/>
      <c r="W2333" s="38"/>
    </row>
    <row r="2334" ht="24" customHeight="1" spans="1:23" x14ac:dyDescent="0.25">
      <c r="A2334" s="31"/>
      <c r="B2334" s="32"/>
      <c r="C2334" s="33"/>
      <c r="D2334" s="34"/>
      <c r="E2334" s="34"/>
      <c r="F2334" s="75"/>
      <c r="G2334" s="76"/>
      <c r="H2334" s="77"/>
      <c r="I2334" s="78"/>
      <c r="J2334" s="79"/>
      <c r="K2334" s="80"/>
      <c r="L2334" s="81"/>
      <c r="M2334" s="82"/>
      <c r="N2334" s="83"/>
      <c r="O2334" s="84"/>
      <c r="P2334" s="85"/>
      <c r="Q2334" s="86"/>
      <c r="R2334" s="87"/>
      <c r="S2334" s="35"/>
      <c r="T2334" s="35"/>
      <c r="U2334" s="88"/>
      <c r="V2334" s="37"/>
      <c r="W2334" s="38"/>
    </row>
    <row r="2335" ht="24" customHeight="1" spans="1:23" x14ac:dyDescent="0.25">
      <c r="A2335" s="31"/>
      <c r="B2335" s="32"/>
      <c r="C2335" s="33"/>
      <c r="D2335" s="34"/>
      <c r="E2335" s="34"/>
      <c r="F2335" s="75"/>
      <c r="G2335" s="76"/>
      <c r="H2335" s="77"/>
      <c r="I2335" s="78"/>
      <c r="J2335" s="79"/>
      <c r="K2335" s="80"/>
      <c r="L2335" s="81"/>
      <c r="M2335" s="82"/>
      <c r="N2335" s="83"/>
      <c r="O2335" s="84"/>
      <c r="P2335" s="85"/>
      <c r="Q2335" s="86"/>
      <c r="R2335" s="87"/>
      <c r="S2335" s="35"/>
      <c r="T2335" s="35"/>
      <c r="U2335" s="88"/>
      <c r="V2335" s="37"/>
      <c r="W2335" s="38"/>
    </row>
    <row r="2336" ht="24" customHeight="1" spans="1:23" x14ac:dyDescent="0.25">
      <c r="A2336" s="31"/>
      <c r="B2336" s="32"/>
      <c r="C2336" s="33"/>
      <c r="D2336" s="34"/>
      <c r="E2336" s="34"/>
      <c r="F2336" s="75"/>
      <c r="G2336" s="76"/>
      <c r="H2336" s="77"/>
      <c r="I2336" s="78"/>
      <c r="J2336" s="79"/>
      <c r="K2336" s="80"/>
      <c r="L2336" s="81"/>
      <c r="M2336" s="82"/>
      <c r="N2336" s="83"/>
      <c r="O2336" s="84"/>
      <c r="P2336" s="85"/>
      <c r="Q2336" s="86"/>
      <c r="R2336" s="87"/>
      <c r="S2336" s="35"/>
      <c r="T2336" s="35"/>
      <c r="U2336" s="88"/>
      <c r="V2336" s="37"/>
      <c r="W2336" s="38"/>
    </row>
    <row r="2337" ht="24" customHeight="1" spans="1:23" x14ac:dyDescent="0.25">
      <c r="A2337" s="31"/>
      <c r="B2337" s="32"/>
      <c r="C2337" s="33"/>
      <c r="D2337" s="34"/>
      <c r="E2337" s="34"/>
      <c r="F2337" s="75"/>
      <c r="G2337" s="76"/>
      <c r="H2337" s="77"/>
      <c r="I2337" s="78"/>
      <c r="J2337" s="79"/>
      <c r="K2337" s="80"/>
      <c r="L2337" s="81"/>
      <c r="M2337" s="82"/>
      <c r="N2337" s="83"/>
      <c r="O2337" s="84"/>
      <c r="P2337" s="85"/>
      <c r="Q2337" s="86"/>
      <c r="R2337" s="87"/>
      <c r="S2337" s="35"/>
      <c r="T2337" s="35"/>
      <c r="U2337" s="88"/>
      <c r="V2337" s="37"/>
      <c r="W2337" s="38"/>
    </row>
    <row r="2338" ht="24" customHeight="1" spans="1:23" x14ac:dyDescent="0.25">
      <c r="A2338" s="31"/>
      <c r="B2338" s="32"/>
      <c r="C2338" s="33"/>
      <c r="D2338" s="34"/>
      <c r="E2338" s="34"/>
      <c r="F2338" s="75"/>
      <c r="G2338" s="76"/>
      <c r="H2338" s="77"/>
      <c r="I2338" s="78"/>
      <c r="J2338" s="79"/>
      <c r="K2338" s="80"/>
      <c r="L2338" s="81"/>
      <c r="M2338" s="82"/>
      <c r="N2338" s="83"/>
      <c r="O2338" s="84"/>
      <c r="P2338" s="85"/>
      <c r="Q2338" s="86"/>
      <c r="R2338" s="87"/>
      <c r="S2338" s="35"/>
      <c r="T2338" s="35"/>
      <c r="U2338" s="88"/>
      <c r="V2338" s="37"/>
      <c r="W2338" s="38"/>
    </row>
    <row r="2339" ht="24" customHeight="1" spans="1:23" x14ac:dyDescent="0.25">
      <c r="A2339" s="31"/>
      <c r="B2339" s="32"/>
      <c r="C2339" s="33"/>
      <c r="D2339" s="34"/>
      <c r="E2339" s="34"/>
      <c r="F2339" s="75"/>
      <c r="G2339" s="76"/>
      <c r="H2339" s="77"/>
      <c r="I2339" s="78"/>
      <c r="J2339" s="79"/>
      <c r="K2339" s="80"/>
      <c r="L2339" s="81"/>
      <c r="M2339" s="82"/>
      <c r="N2339" s="83"/>
      <c r="O2339" s="84"/>
      <c r="P2339" s="85"/>
      <c r="Q2339" s="86"/>
      <c r="R2339" s="87"/>
      <c r="S2339" s="35"/>
      <c r="T2339" s="35"/>
      <c r="U2339" s="88"/>
      <c r="V2339" s="37"/>
      <c r="W2339" s="38"/>
    </row>
    <row r="2340" ht="24" customHeight="1" spans="1:23" x14ac:dyDescent="0.25">
      <c r="A2340" s="31"/>
      <c r="B2340" s="32"/>
      <c r="C2340" s="33"/>
      <c r="D2340" s="34"/>
      <c r="E2340" s="34"/>
      <c r="F2340" s="75"/>
      <c r="G2340" s="76"/>
      <c r="H2340" s="77"/>
      <c r="I2340" s="78"/>
      <c r="J2340" s="79"/>
      <c r="K2340" s="80"/>
      <c r="L2340" s="81"/>
      <c r="M2340" s="82"/>
      <c r="N2340" s="83"/>
      <c r="O2340" s="84"/>
      <c r="P2340" s="85"/>
      <c r="Q2340" s="86"/>
      <c r="R2340" s="87"/>
      <c r="S2340" s="35"/>
      <c r="T2340" s="35"/>
      <c r="U2340" s="88"/>
      <c r="V2340" s="37"/>
      <c r="W2340" s="38"/>
    </row>
    <row r="2341" ht="24" customHeight="1" spans="1:23" x14ac:dyDescent="0.25">
      <c r="A2341" s="31"/>
      <c r="B2341" s="32"/>
      <c r="C2341" s="33"/>
      <c r="D2341" s="34"/>
      <c r="E2341" s="34"/>
      <c r="F2341" s="75"/>
      <c r="G2341" s="76"/>
      <c r="H2341" s="77"/>
      <c r="I2341" s="78"/>
      <c r="J2341" s="79"/>
      <c r="K2341" s="80"/>
      <c r="L2341" s="81"/>
      <c r="M2341" s="82"/>
      <c r="N2341" s="83"/>
      <c r="O2341" s="84"/>
      <c r="P2341" s="85"/>
      <c r="Q2341" s="86"/>
      <c r="R2341" s="87"/>
      <c r="S2341" s="35"/>
      <c r="T2341" s="35"/>
      <c r="U2341" s="88"/>
      <c r="V2341" s="37"/>
      <c r="W2341" s="38"/>
    </row>
    <row r="2342" ht="24" customHeight="1" spans="1:23" x14ac:dyDescent="0.25">
      <c r="A2342" s="31"/>
      <c r="B2342" s="32"/>
      <c r="C2342" s="33"/>
      <c r="D2342" s="34"/>
      <c r="E2342" s="34"/>
      <c r="F2342" s="75"/>
      <c r="G2342" s="76"/>
      <c r="H2342" s="77"/>
      <c r="I2342" s="78"/>
      <c r="J2342" s="79"/>
      <c r="K2342" s="80"/>
      <c r="L2342" s="81"/>
      <c r="M2342" s="82"/>
      <c r="N2342" s="83"/>
      <c r="O2342" s="84"/>
      <c r="P2342" s="85"/>
      <c r="Q2342" s="86"/>
      <c r="R2342" s="87"/>
      <c r="S2342" s="35"/>
      <c r="T2342" s="35"/>
      <c r="U2342" s="88"/>
      <c r="V2342" s="37"/>
      <c r="W2342" s="38"/>
    </row>
    <row r="2343" ht="24" customHeight="1" spans="1:23" x14ac:dyDescent="0.25">
      <c r="A2343" s="31"/>
      <c r="B2343" s="32"/>
      <c r="C2343" s="33"/>
      <c r="D2343" s="34"/>
      <c r="E2343" s="34"/>
      <c r="F2343" s="75"/>
      <c r="G2343" s="76"/>
      <c r="H2343" s="77"/>
      <c r="I2343" s="78"/>
      <c r="J2343" s="79"/>
      <c r="K2343" s="80"/>
      <c r="L2343" s="81"/>
      <c r="M2343" s="82"/>
      <c r="N2343" s="83"/>
      <c r="O2343" s="84"/>
      <c r="P2343" s="85"/>
      <c r="Q2343" s="86"/>
      <c r="R2343" s="87"/>
      <c r="S2343" s="35"/>
      <c r="T2343" s="35"/>
      <c r="U2343" s="88"/>
      <c r="V2343" s="37"/>
      <c r="W2343" s="38"/>
    </row>
    <row r="2344" ht="24" customHeight="1" spans="1:23" x14ac:dyDescent="0.25">
      <c r="A2344" s="31"/>
      <c r="B2344" s="32"/>
      <c r="C2344" s="33"/>
      <c r="D2344" s="34"/>
      <c r="E2344" s="34"/>
      <c r="F2344" s="75"/>
      <c r="G2344" s="76"/>
      <c r="H2344" s="77"/>
      <c r="I2344" s="78"/>
      <c r="J2344" s="79"/>
      <c r="K2344" s="80"/>
      <c r="L2344" s="81"/>
      <c r="M2344" s="82"/>
      <c r="N2344" s="83"/>
      <c r="O2344" s="84"/>
      <c r="P2344" s="85"/>
      <c r="Q2344" s="86"/>
      <c r="R2344" s="87"/>
      <c r="S2344" s="35"/>
      <c r="T2344" s="35"/>
      <c r="U2344" s="88"/>
      <c r="V2344" s="37"/>
      <c r="W2344" s="38"/>
    </row>
    <row r="2345" ht="24" customHeight="1" spans="1:23" x14ac:dyDescent="0.25">
      <c r="A2345" s="31"/>
      <c r="B2345" s="32"/>
      <c r="C2345" s="33"/>
      <c r="D2345" s="34"/>
      <c r="E2345" s="34"/>
      <c r="F2345" s="75"/>
      <c r="G2345" s="76"/>
      <c r="H2345" s="77"/>
      <c r="I2345" s="78"/>
      <c r="J2345" s="79"/>
      <c r="K2345" s="80"/>
      <c r="L2345" s="81"/>
      <c r="M2345" s="82"/>
      <c r="N2345" s="83"/>
      <c r="O2345" s="84"/>
      <c r="P2345" s="85"/>
      <c r="Q2345" s="86"/>
      <c r="R2345" s="87"/>
      <c r="S2345" s="35"/>
      <c r="T2345" s="35"/>
      <c r="U2345" s="88"/>
      <c r="V2345" s="37"/>
      <c r="W2345" s="38"/>
    </row>
    <row r="2346" ht="24" customHeight="1" spans="1:23" x14ac:dyDescent="0.25">
      <c r="A2346" s="31"/>
      <c r="B2346" s="32"/>
      <c r="C2346" s="33"/>
      <c r="D2346" s="34"/>
      <c r="E2346" s="34"/>
      <c r="F2346" s="75"/>
      <c r="G2346" s="76"/>
      <c r="H2346" s="77"/>
      <c r="I2346" s="78"/>
      <c r="J2346" s="79"/>
      <c r="K2346" s="80"/>
      <c r="L2346" s="81"/>
      <c r="M2346" s="82"/>
      <c r="N2346" s="83"/>
      <c r="O2346" s="84"/>
      <c r="P2346" s="85"/>
      <c r="Q2346" s="86"/>
      <c r="R2346" s="87"/>
      <c r="S2346" s="35"/>
      <c r="T2346" s="35"/>
      <c r="U2346" s="88"/>
      <c r="V2346" s="37"/>
      <c r="W2346" s="38"/>
    </row>
    <row r="2347" ht="24" customHeight="1" spans="1:23" x14ac:dyDescent="0.25">
      <c r="A2347" s="31"/>
      <c r="B2347" s="32"/>
      <c r="C2347" s="33"/>
      <c r="D2347" s="34"/>
      <c r="E2347" s="34"/>
      <c r="F2347" s="75"/>
      <c r="G2347" s="76"/>
      <c r="H2347" s="77"/>
      <c r="I2347" s="78"/>
      <c r="J2347" s="79"/>
      <c r="K2347" s="80"/>
      <c r="L2347" s="81"/>
      <c r="M2347" s="82"/>
      <c r="N2347" s="83"/>
      <c r="O2347" s="84"/>
      <c r="P2347" s="85"/>
      <c r="Q2347" s="86"/>
      <c r="R2347" s="87"/>
      <c r="S2347" s="35"/>
      <c r="T2347" s="35"/>
      <c r="U2347" s="88"/>
      <c r="V2347" s="37"/>
      <c r="W2347" s="38"/>
    </row>
    <row r="2348" ht="24" customHeight="1" spans="1:23" x14ac:dyDescent="0.25">
      <c r="A2348" s="31"/>
      <c r="B2348" s="32"/>
      <c r="C2348" s="33"/>
      <c r="D2348" s="34"/>
      <c r="E2348" s="34"/>
      <c r="F2348" s="75"/>
      <c r="G2348" s="76"/>
      <c r="H2348" s="77"/>
      <c r="I2348" s="78"/>
      <c r="J2348" s="79"/>
      <c r="K2348" s="80"/>
      <c r="L2348" s="81"/>
      <c r="M2348" s="82"/>
      <c r="N2348" s="83"/>
      <c r="O2348" s="84"/>
      <c r="P2348" s="85"/>
      <c r="Q2348" s="86"/>
      <c r="R2348" s="87"/>
      <c r="S2348" s="35"/>
      <c r="T2348" s="35"/>
      <c r="U2348" s="88"/>
      <c r="V2348" s="37"/>
      <c r="W2348" s="38"/>
    </row>
    <row r="2349" ht="24" customHeight="1" spans="1:23" x14ac:dyDescent="0.25">
      <c r="A2349" s="31"/>
      <c r="B2349" s="32"/>
      <c r="C2349" s="33"/>
      <c r="D2349" s="34"/>
      <c r="E2349" s="34"/>
      <c r="F2349" s="75"/>
      <c r="G2349" s="76"/>
      <c r="H2349" s="77"/>
      <c r="I2349" s="78"/>
      <c r="J2349" s="79"/>
      <c r="K2349" s="80"/>
      <c r="L2349" s="81"/>
      <c r="M2349" s="82"/>
      <c r="N2349" s="83"/>
      <c r="O2349" s="84"/>
      <c r="P2349" s="85"/>
      <c r="Q2349" s="86"/>
      <c r="R2349" s="87"/>
      <c r="S2349" s="35"/>
      <c r="T2349" s="35"/>
      <c r="U2349" s="88"/>
      <c r="V2349" s="37"/>
      <c r="W2349" s="38"/>
    </row>
    <row r="2350" ht="24" customHeight="1" spans="1:23" x14ac:dyDescent="0.25">
      <c r="A2350" s="31"/>
      <c r="B2350" s="32"/>
      <c r="C2350" s="33"/>
      <c r="D2350" s="34"/>
      <c r="E2350" s="34"/>
      <c r="F2350" s="75"/>
      <c r="G2350" s="76"/>
      <c r="H2350" s="77"/>
      <c r="I2350" s="78"/>
      <c r="J2350" s="79"/>
      <c r="K2350" s="80"/>
      <c r="L2350" s="81"/>
      <c r="M2350" s="82"/>
      <c r="N2350" s="83"/>
      <c r="O2350" s="84"/>
      <c r="P2350" s="85"/>
      <c r="Q2350" s="86"/>
      <c r="R2350" s="87"/>
      <c r="S2350" s="35"/>
      <c r="T2350" s="35"/>
      <c r="U2350" s="88"/>
      <c r="V2350" s="37"/>
      <c r="W2350" s="38"/>
    </row>
    <row r="2351" ht="24" customHeight="1" spans="1:23" x14ac:dyDescent="0.25">
      <c r="A2351" s="31"/>
      <c r="B2351" s="32"/>
      <c r="C2351" s="33"/>
      <c r="D2351" s="34"/>
      <c r="E2351" s="34"/>
      <c r="F2351" s="75"/>
      <c r="G2351" s="76"/>
      <c r="H2351" s="77"/>
      <c r="I2351" s="78"/>
      <c r="J2351" s="79"/>
      <c r="K2351" s="80"/>
      <c r="L2351" s="81"/>
      <c r="M2351" s="82"/>
      <c r="N2351" s="83"/>
      <c r="O2351" s="84"/>
      <c r="P2351" s="85"/>
      <c r="Q2351" s="86"/>
      <c r="R2351" s="87"/>
      <c r="S2351" s="35"/>
      <c r="T2351" s="35"/>
      <c r="U2351" s="88"/>
      <c r="V2351" s="37"/>
      <c r="W2351" s="38"/>
    </row>
    <row r="2352" ht="24" customHeight="1" spans="1:23" x14ac:dyDescent="0.25">
      <c r="A2352" s="31"/>
      <c r="B2352" s="32"/>
      <c r="C2352" s="33"/>
      <c r="D2352" s="34"/>
      <c r="E2352" s="34"/>
      <c r="F2352" s="75"/>
      <c r="G2352" s="76"/>
      <c r="H2352" s="77"/>
      <c r="I2352" s="78"/>
      <c r="J2352" s="79"/>
      <c r="K2352" s="80"/>
      <c r="L2352" s="81"/>
      <c r="M2352" s="82"/>
      <c r="N2352" s="83"/>
      <c r="O2352" s="84"/>
      <c r="P2352" s="85"/>
      <c r="Q2352" s="86"/>
      <c r="R2352" s="87"/>
      <c r="S2352" s="35"/>
      <c r="T2352" s="35"/>
      <c r="U2352" s="88"/>
      <c r="V2352" s="37"/>
      <c r="W2352" s="38"/>
    </row>
    <row r="2353" ht="24" customHeight="1" spans="1:23" x14ac:dyDescent="0.25">
      <c r="A2353" s="31"/>
      <c r="B2353" s="32"/>
      <c r="C2353" s="33"/>
      <c r="D2353" s="34"/>
      <c r="E2353" s="34"/>
      <c r="F2353" s="75"/>
      <c r="G2353" s="76"/>
      <c r="H2353" s="77"/>
      <c r="I2353" s="78"/>
      <c r="J2353" s="79"/>
      <c r="K2353" s="80"/>
      <c r="L2353" s="81"/>
      <c r="M2353" s="82"/>
      <c r="N2353" s="83"/>
      <c r="O2353" s="84"/>
      <c r="P2353" s="85"/>
      <c r="Q2353" s="86"/>
      <c r="R2353" s="87"/>
      <c r="S2353" s="35"/>
      <c r="T2353" s="35"/>
      <c r="U2353" s="88"/>
      <c r="V2353" s="37"/>
      <c r="W2353" s="38"/>
    </row>
    <row r="2354" ht="24" customHeight="1" spans="1:23" x14ac:dyDescent="0.25">
      <c r="A2354" s="31"/>
      <c r="B2354" s="32"/>
      <c r="C2354" s="33"/>
      <c r="D2354" s="34"/>
      <c r="E2354" s="34"/>
      <c r="F2354" s="75"/>
      <c r="G2354" s="76"/>
      <c r="H2354" s="77"/>
      <c r="I2354" s="78"/>
      <c r="J2354" s="79"/>
      <c r="K2354" s="80"/>
      <c r="L2354" s="81"/>
      <c r="M2354" s="82"/>
      <c r="N2354" s="83"/>
      <c r="O2354" s="84"/>
      <c r="P2354" s="85"/>
      <c r="Q2354" s="86"/>
      <c r="R2354" s="87"/>
      <c r="S2354" s="35"/>
      <c r="T2354" s="35"/>
      <c r="U2354" s="88"/>
      <c r="V2354" s="37"/>
      <c r="W2354" s="38"/>
    </row>
    <row r="2355" ht="24" customHeight="1" spans="1:23" x14ac:dyDescent="0.25">
      <c r="A2355" s="31"/>
      <c r="B2355" s="32"/>
      <c r="C2355" s="33"/>
      <c r="D2355" s="34"/>
      <c r="E2355" s="34"/>
      <c r="F2355" s="75"/>
      <c r="G2355" s="76"/>
      <c r="H2355" s="77"/>
      <c r="I2355" s="78"/>
      <c r="J2355" s="79"/>
      <c r="K2355" s="80"/>
      <c r="L2355" s="81"/>
      <c r="M2355" s="82"/>
      <c r="N2355" s="83"/>
      <c r="O2355" s="84"/>
      <c r="P2355" s="85"/>
      <c r="Q2355" s="86"/>
      <c r="R2355" s="87"/>
      <c r="S2355" s="35"/>
      <c r="T2355" s="35"/>
      <c r="U2355" s="88"/>
      <c r="V2355" s="37"/>
      <c r="W2355" s="38"/>
    </row>
    <row r="2356" ht="24" customHeight="1" spans="1:23" x14ac:dyDescent="0.25">
      <c r="A2356" s="31"/>
      <c r="B2356" s="32"/>
      <c r="C2356" s="33"/>
      <c r="D2356" s="34"/>
      <c r="E2356" s="34"/>
      <c r="F2356" s="75"/>
      <c r="G2356" s="76"/>
      <c r="H2356" s="77"/>
      <c r="I2356" s="78"/>
      <c r="J2356" s="79"/>
      <c r="K2356" s="80"/>
      <c r="L2356" s="81"/>
      <c r="M2356" s="82"/>
      <c r="N2356" s="83"/>
      <c r="O2356" s="84"/>
      <c r="P2356" s="85"/>
      <c r="Q2356" s="86"/>
      <c r="R2356" s="87"/>
      <c r="S2356" s="35"/>
      <c r="T2356" s="35"/>
      <c r="U2356" s="88"/>
      <c r="V2356" s="37"/>
      <c r="W2356" s="38"/>
    </row>
    <row r="2357" ht="24" customHeight="1" spans="1:23" x14ac:dyDescent="0.25">
      <c r="A2357" s="31"/>
      <c r="B2357" s="32"/>
      <c r="C2357" s="33"/>
      <c r="D2357" s="34"/>
      <c r="E2357" s="34"/>
      <c r="F2357" s="75"/>
      <c r="G2357" s="76"/>
      <c r="H2357" s="77"/>
      <c r="I2357" s="78"/>
      <c r="J2357" s="79"/>
      <c r="K2357" s="80"/>
      <c r="L2357" s="81"/>
      <c r="M2357" s="82"/>
      <c r="N2357" s="83"/>
      <c r="O2357" s="84"/>
      <c r="P2357" s="85"/>
      <c r="Q2357" s="86"/>
      <c r="R2357" s="87"/>
      <c r="S2357" s="35"/>
      <c r="T2357" s="35"/>
      <c r="U2357" s="88"/>
      <c r="V2357" s="37"/>
      <c r="W2357" s="38"/>
    </row>
    <row r="2358" ht="24" customHeight="1" spans="1:23" x14ac:dyDescent="0.25">
      <c r="A2358" s="31"/>
      <c r="B2358" s="32"/>
      <c r="C2358" s="33"/>
      <c r="D2358" s="34"/>
      <c r="E2358" s="34"/>
      <c r="F2358" s="75"/>
      <c r="G2358" s="76"/>
      <c r="H2358" s="77"/>
      <c r="I2358" s="78"/>
      <c r="J2358" s="79"/>
      <c r="K2358" s="80"/>
      <c r="L2358" s="81"/>
      <c r="M2358" s="82"/>
      <c r="N2358" s="83"/>
      <c r="O2358" s="84"/>
      <c r="P2358" s="85"/>
      <c r="Q2358" s="86"/>
      <c r="R2358" s="87"/>
      <c r="S2358" s="35"/>
      <c r="T2358" s="35"/>
      <c r="U2358" s="88"/>
      <c r="V2358" s="37"/>
      <c r="W2358" s="38"/>
    </row>
    <row r="2359" ht="24" customHeight="1" spans="1:23" x14ac:dyDescent="0.25">
      <c r="A2359" s="31"/>
      <c r="B2359" s="32"/>
      <c r="C2359" s="33"/>
      <c r="D2359" s="34"/>
      <c r="E2359" s="34"/>
      <c r="F2359" s="75"/>
      <c r="G2359" s="76"/>
      <c r="H2359" s="77"/>
      <c r="I2359" s="78"/>
      <c r="J2359" s="79"/>
      <c r="K2359" s="80"/>
      <c r="L2359" s="81"/>
      <c r="M2359" s="82"/>
      <c r="N2359" s="83"/>
      <c r="O2359" s="84"/>
      <c r="P2359" s="85"/>
      <c r="Q2359" s="86"/>
      <c r="R2359" s="87"/>
      <c r="S2359" s="35"/>
      <c r="T2359" s="35"/>
      <c r="U2359" s="88"/>
      <c r="V2359" s="37"/>
      <c r="W2359" s="38"/>
    </row>
    <row r="2360" ht="24" customHeight="1" spans="1:23" x14ac:dyDescent="0.25">
      <c r="A2360" s="31"/>
      <c r="B2360" s="32"/>
      <c r="C2360" s="33"/>
      <c r="D2360" s="34"/>
      <c r="E2360" s="34"/>
      <c r="F2360" s="75"/>
      <c r="G2360" s="76"/>
      <c r="H2360" s="77"/>
      <c r="I2360" s="78"/>
      <c r="J2360" s="79"/>
      <c r="K2360" s="80"/>
      <c r="L2360" s="81"/>
      <c r="M2360" s="82"/>
      <c r="N2360" s="83"/>
      <c r="O2360" s="84"/>
      <c r="P2360" s="85"/>
      <c r="Q2360" s="86"/>
      <c r="R2360" s="87"/>
      <c r="S2360" s="35"/>
      <c r="T2360" s="35"/>
      <c r="U2360" s="88"/>
      <c r="V2360" s="37"/>
      <c r="W2360" s="38"/>
    </row>
    <row r="2361" ht="24" customHeight="1" spans="1:23" x14ac:dyDescent="0.25">
      <c r="A2361" s="31"/>
      <c r="B2361" s="32"/>
      <c r="C2361" s="33"/>
      <c r="D2361" s="34"/>
      <c r="E2361" s="34"/>
      <c r="F2361" s="75"/>
      <c r="G2361" s="76"/>
      <c r="H2361" s="77"/>
      <c r="I2361" s="78"/>
      <c r="J2361" s="79"/>
      <c r="K2361" s="80"/>
      <c r="L2361" s="81"/>
      <c r="M2361" s="82"/>
      <c r="N2361" s="83"/>
      <c r="O2361" s="84"/>
      <c r="P2361" s="85"/>
      <c r="Q2361" s="86"/>
      <c r="R2361" s="87"/>
      <c r="S2361" s="35"/>
      <c r="T2361" s="35"/>
      <c r="U2361" s="88"/>
      <c r="V2361" s="37"/>
      <c r="W2361" s="38"/>
    </row>
    <row r="2362" ht="24" customHeight="1" spans="1:23" x14ac:dyDescent="0.25">
      <c r="A2362" s="31"/>
      <c r="B2362" s="32"/>
      <c r="C2362" s="33"/>
      <c r="D2362" s="34"/>
      <c r="E2362" s="34"/>
      <c r="F2362" s="75"/>
      <c r="G2362" s="76"/>
      <c r="H2362" s="77"/>
      <c r="I2362" s="78"/>
      <c r="J2362" s="79"/>
      <c r="K2362" s="80"/>
      <c r="L2362" s="81"/>
      <c r="M2362" s="82"/>
      <c r="N2362" s="83"/>
      <c r="O2362" s="84"/>
      <c r="P2362" s="85"/>
      <c r="Q2362" s="86"/>
      <c r="R2362" s="87"/>
      <c r="S2362" s="35"/>
      <c r="T2362" s="35"/>
      <c r="U2362" s="88"/>
      <c r="V2362" s="37"/>
      <c r="W2362" s="38"/>
    </row>
    <row r="2363" ht="24" customHeight="1" spans="1:23" x14ac:dyDescent="0.25">
      <c r="A2363" s="31"/>
      <c r="B2363" s="32"/>
      <c r="C2363" s="33"/>
      <c r="D2363" s="34"/>
      <c r="E2363" s="34"/>
      <c r="F2363" s="75"/>
      <c r="G2363" s="76"/>
      <c r="H2363" s="77"/>
      <c r="I2363" s="78"/>
      <c r="J2363" s="79"/>
      <c r="K2363" s="80"/>
      <c r="L2363" s="81"/>
      <c r="M2363" s="82"/>
      <c r="N2363" s="83"/>
      <c r="O2363" s="84"/>
      <c r="P2363" s="85"/>
      <c r="Q2363" s="86"/>
      <c r="R2363" s="87"/>
      <c r="S2363" s="35"/>
      <c r="T2363" s="35"/>
      <c r="U2363" s="88"/>
      <c r="V2363" s="37"/>
      <c r="W2363" s="38"/>
    </row>
    <row r="2364" ht="24" customHeight="1" spans="1:23" x14ac:dyDescent="0.25">
      <c r="A2364" s="31"/>
      <c r="B2364" s="32"/>
      <c r="C2364" s="33"/>
      <c r="D2364" s="34"/>
      <c r="E2364" s="34"/>
      <c r="F2364" s="75"/>
      <c r="G2364" s="76"/>
      <c r="H2364" s="77"/>
      <c r="I2364" s="78"/>
      <c r="J2364" s="79"/>
      <c r="K2364" s="80"/>
      <c r="L2364" s="81"/>
      <c r="M2364" s="82"/>
      <c r="N2364" s="83"/>
      <c r="O2364" s="84"/>
      <c r="P2364" s="85"/>
      <c r="Q2364" s="86"/>
      <c r="R2364" s="87"/>
      <c r="S2364" s="35"/>
      <c r="T2364" s="35"/>
      <c r="U2364" s="88"/>
      <c r="V2364" s="37"/>
      <c r="W2364" s="38"/>
    </row>
    <row r="2365" ht="24" customHeight="1" spans="1:23" x14ac:dyDescent="0.25">
      <c r="A2365" s="31"/>
      <c r="B2365" s="32"/>
      <c r="C2365" s="33"/>
      <c r="D2365" s="34"/>
      <c r="E2365" s="34"/>
      <c r="F2365" s="75"/>
      <c r="G2365" s="76"/>
      <c r="H2365" s="77"/>
      <c r="I2365" s="78"/>
      <c r="J2365" s="79"/>
      <c r="K2365" s="80"/>
      <c r="L2365" s="81"/>
      <c r="M2365" s="82"/>
      <c r="N2365" s="83"/>
      <c r="O2365" s="84"/>
      <c r="P2365" s="85"/>
      <c r="Q2365" s="86"/>
      <c r="R2365" s="87"/>
      <c r="S2365" s="35"/>
      <c r="T2365" s="35"/>
      <c r="U2365" s="88"/>
      <c r="V2365" s="37"/>
      <c r="W2365" s="38"/>
    </row>
    <row r="2366" ht="24" customHeight="1" spans="1:23" x14ac:dyDescent="0.25">
      <c r="A2366" s="31"/>
      <c r="B2366" s="32"/>
      <c r="C2366" s="33"/>
      <c r="D2366" s="34"/>
      <c r="E2366" s="34"/>
      <c r="F2366" s="75"/>
      <c r="G2366" s="76"/>
      <c r="H2366" s="77"/>
      <c r="I2366" s="78"/>
      <c r="J2366" s="79"/>
      <c r="K2366" s="80"/>
      <c r="L2366" s="81"/>
      <c r="M2366" s="82"/>
      <c r="N2366" s="83"/>
      <c r="O2366" s="84"/>
      <c r="P2366" s="85"/>
      <c r="Q2366" s="86"/>
      <c r="R2366" s="87"/>
      <c r="S2366" s="35"/>
      <c r="T2366" s="35"/>
      <c r="U2366" s="88"/>
      <c r="V2366" s="37"/>
      <c r="W2366" s="38"/>
    </row>
    <row r="2367" ht="24" customHeight="1" spans="1:23" x14ac:dyDescent="0.25">
      <c r="A2367" s="31"/>
      <c r="B2367" s="32"/>
      <c r="C2367" s="33"/>
      <c r="D2367" s="34"/>
      <c r="E2367" s="34"/>
      <c r="F2367" s="75"/>
      <c r="G2367" s="76"/>
      <c r="H2367" s="77"/>
      <c r="I2367" s="78"/>
      <c r="J2367" s="79"/>
      <c r="K2367" s="80"/>
      <c r="L2367" s="81"/>
      <c r="M2367" s="82"/>
      <c r="N2367" s="83"/>
      <c r="O2367" s="84"/>
      <c r="P2367" s="85"/>
      <c r="Q2367" s="86"/>
      <c r="R2367" s="87"/>
      <c r="S2367" s="35"/>
      <c r="T2367" s="35"/>
      <c r="U2367" s="88"/>
      <c r="V2367" s="37"/>
      <c r="W2367" s="38"/>
    </row>
    <row r="2368" ht="24" customHeight="1" spans="1:23" x14ac:dyDescent="0.25">
      <c r="A2368" s="31"/>
      <c r="B2368" s="32"/>
      <c r="C2368" s="33"/>
      <c r="D2368" s="34"/>
      <c r="E2368" s="34"/>
      <c r="F2368" s="75"/>
      <c r="G2368" s="76"/>
      <c r="H2368" s="77"/>
      <c r="I2368" s="78"/>
      <c r="J2368" s="79"/>
      <c r="K2368" s="80"/>
      <c r="L2368" s="81"/>
      <c r="M2368" s="82"/>
      <c r="N2368" s="83"/>
      <c r="O2368" s="84"/>
      <c r="P2368" s="85"/>
      <c r="Q2368" s="86"/>
      <c r="R2368" s="87"/>
      <c r="S2368" s="35"/>
      <c r="T2368" s="35"/>
      <c r="U2368" s="88"/>
      <c r="V2368" s="37"/>
      <c r="W2368" s="38"/>
    </row>
    <row r="2369" ht="24" customHeight="1" spans="1:23" x14ac:dyDescent="0.25">
      <c r="A2369" s="31"/>
      <c r="B2369" s="32"/>
      <c r="C2369" s="33"/>
      <c r="D2369" s="34"/>
      <c r="E2369" s="34"/>
      <c r="F2369" s="75"/>
      <c r="G2369" s="76"/>
      <c r="H2369" s="77"/>
      <c r="I2369" s="78"/>
      <c r="J2369" s="79"/>
      <c r="K2369" s="80"/>
      <c r="L2369" s="81"/>
      <c r="M2369" s="82"/>
      <c r="N2369" s="83"/>
      <c r="O2369" s="84"/>
      <c r="P2369" s="85"/>
      <c r="Q2369" s="86"/>
      <c r="R2369" s="87"/>
      <c r="S2369" s="35"/>
      <c r="T2369" s="35"/>
      <c r="U2369" s="88"/>
      <c r="V2369" s="37"/>
      <c r="W2369" s="38"/>
    </row>
    <row r="2370" ht="24" customHeight="1" spans="1:23" x14ac:dyDescent="0.25">
      <c r="A2370" s="31"/>
      <c r="B2370" s="32"/>
      <c r="C2370" s="33"/>
      <c r="D2370" s="34"/>
      <c r="E2370" s="34"/>
      <c r="F2370" s="75"/>
      <c r="G2370" s="76"/>
      <c r="H2370" s="77"/>
      <c r="I2370" s="78"/>
      <c r="J2370" s="79"/>
      <c r="K2370" s="80"/>
      <c r="L2370" s="81"/>
      <c r="M2370" s="82"/>
      <c r="N2370" s="83"/>
      <c r="O2370" s="84"/>
      <c r="P2370" s="85"/>
      <c r="Q2370" s="86"/>
      <c r="R2370" s="87"/>
      <c r="S2370" s="35"/>
      <c r="T2370" s="35"/>
      <c r="U2370" s="88"/>
      <c r="V2370" s="37"/>
      <c r="W2370" s="38"/>
    </row>
    <row r="2371" ht="24" customHeight="1" spans="1:23" x14ac:dyDescent="0.25">
      <c r="A2371" s="31"/>
      <c r="B2371" s="32"/>
      <c r="C2371" s="33"/>
      <c r="D2371" s="34"/>
      <c r="E2371" s="34"/>
      <c r="F2371" s="75"/>
      <c r="G2371" s="76"/>
      <c r="H2371" s="77"/>
      <c r="I2371" s="78"/>
      <c r="J2371" s="79"/>
      <c r="K2371" s="80"/>
      <c r="L2371" s="81"/>
      <c r="M2371" s="82"/>
      <c r="N2371" s="83"/>
      <c r="O2371" s="84"/>
      <c r="P2371" s="85"/>
      <c r="Q2371" s="86"/>
      <c r="R2371" s="87"/>
      <c r="S2371" s="35"/>
      <c r="T2371" s="35"/>
      <c r="U2371" s="88"/>
      <c r="V2371" s="37"/>
      <c r="W2371" s="38"/>
    </row>
    <row r="2372" ht="24" customHeight="1" spans="1:23" x14ac:dyDescent="0.25">
      <c r="A2372" s="31"/>
      <c r="B2372" s="32"/>
      <c r="C2372" s="33"/>
      <c r="D2372" s="34"/>
      <c r="E2372" s="34"/>
      <c r="F2372" s="75"/>
      <c r="G2372" s="76"/>
      <c r="H2372" s="77"/>
      <c r="I2372" s="78"/>
      <c r="J2372" s="79"/>
      <c r="K2372" s="80"/>
      <c r="L2372" s="81"/>
      <c r="M2372" s="82"/>
      <c r="N2372" s="83"/>
      <c r="O2372" s="84"/>
      <c r="P2372" s="85"/>
      <c r="Q2372" s="86"/>
      <c r="R2372" s="87"/>
      <c r="S2372" s="35"/>
      <c r="T2372" s="35"/>
      <c r="U2372" s="88"/>
      <c r="V2372" s="37"/>
      <c r="W2372" s="38"/>
    </row>
    <row r="2373" ht="24" customHeight="1" spans="1:23" x14ac:dyDescent="0.25">
      <c r="A2373" s="31"/>
      <c r="B2373" s="32"/>
      <c r="C2373" s="33"/>
      <c r="D2373" s="34"/>
      <c r="E2373" s="34"/>
      <c r="F2373" s="75"/>
      <c r="G2373" s="76"/>
      <c r="H2373" s="77"/>
      <c r="I2373" s="78"/>
      <c r="J2373" s="79"/>
      <c r="K2373" s="80"/>
      <c r="L2373" s="81"/>
      <c r="M2373" s="82"/>
      <c r="N2373" s="83"/>
      <c r="O2373" s="84"/>
      <c r="P2373" s="85"/>
      <c r="Q2373" s="86"/>
      <c r="R2373" s="87"/>
      <c r="S2373" s="35"/>
      <c r="T2373" s="35"/>
      <c r="U2373" s="88"/>
      <c r="V2373" s="37"/>
      <c r="W2373" s="38"/>
    </row>
    <row r="2374" ht="24" customHeight="1" spans="1:23" x14ac:dyDescent="0.25">
      <c r="A2374" s="31"/>
      <c r="B2374" s="32"/>
      <c r="C2374" s="33"/>
      <c r="D2374" s="34"/>
      <c r="E2374" s="34"/>
      <c r="F2374" s="75"/>
      <c r="G2374" s="76"/>
      <c r="H2374" s="77"/>
      <c r="I2374" s="78"/>
      <c r="J2374" s="79"/>
      <c r="K2374" s="80"/>
      <c r="L2374" s="81"/>
      <c r="M2374" s="82"/>
      <c r="N2374" s="83"/>
      <c r="O2374" s="84"/>
      <c r="P2374" s="85"/>
      <c r="Q2374" s="86"/>
      <c r="R2374" s="87"/>
      <c r="S2374" s="35"/>
      <c r="T2374" s="35"/>
      <c r="U2374" s="88"/>
      <c r="V2374" s="37"/>
      <c r="W2374" s="38"/>
    </row>
    <row r="2375" ht="24" customHeight="1" spans="1:23" x14ac:dyDescent="0.25">
      <c r="A2375" s="31"/>
      <c r="B2375" s="32"/>
      <c r="C2375" s="33"/>
      <c r="D2375" s="34"/>
      <c r="E2375" s="34"/>
      <c r="F2375" s="75"/>
      <c r="G2375" s="76"/>
      <c r="H2375" s="77"/>
      <c r="I2375" s="78"/>
      <c r="J2375" s="79"/>
      <c r="K2375" s="80"/>
      <c r="L2375" s="81"/>
      <c r="M2375" s="82"/>
      <c r="N2375" s="83"/>
      <c r="O2375" s="84"/>
      <c r="P2375" s="85"/>
      <c r="Q2375" s="86"/>
      <c r="R2375" s="87"/>
      <c r="S2375" s="35"/>
      <c r="T2375" s="35"/>
      <c r="U2375" s="88"/>
      <c r="V2375" s="37"/>
      <c r="W2375" s="38"/>
    </row>
    <row r="2376" ht="24" customHeight="1" spans="1:23" x14ac:dyDescent="0.25">
      <c r="A2376" s="31"/>
      <c r="B2376" s="32"/>
      <c r="C2376" s="33"/>
      <c r="D2376" s="34"/>
      <c r="E2376" s="34"/>
      <c r="F2376" s="75"/>
      <c r="G2376" s="76"/>
      <c r="H2376" s="77"/>
      <c r="I2376" s="78"/>
      <c r="J2376" s="79"/>
      <c r="K2376" s="80"/>
      <c r="L2376" s="81"/>
      <c r="M2376" s="82"/>
      <c r="N2376" s="83"/>
      <c r="O2376" s="84"/>
      <c r="P2376" s="85"/>
      <c r="Q2376" s="86"/>
      <c r="R2376" s="87"/>
      <c r="S2376" s="35"/>
      <c r="T2376" s="35"/>
      <c r="U2376" s="88"/>
      <c r="V2376" s="37"/>
      <c r="W2376" s="38"/>
    </row>
    <row r="2377" ht="24" customHeight="1" spans="1:23" x14ac:dyDescent="0.25">
      <c r="A2377" s="31"/>
      <c r="B2377" s="32"/>
      <c r="C2377" s="33"/>
      <c r="D2377" s="34"/>
      <c r="E2377" s="34"/>
      <c r="F2377" s="75"/>
      <c r="G2377" s="76"/>
      <c r="H2377" s="77"/>
      <c r="I2377" s="78"/>
      <c r="J2377" s="79"/>
      <c r="K2377" s="80"/>
      <c r="L2377" s="81"/>
      <c r="M2377" s="82"/>
      <c r="N2377" s="83"/>
      <c r="O2377" s="84"/>
      <c r="P2377" s="85"/>
      <c r="Q2377" s="86"/>
      <c r="R2377" s="87"/>
      <c r="S2377" s="35"/>
      <c r="T2377" s="35"/>
      <c r="U2377" s="88"/>
      <c r="V2377" s="37"/>
      <c r="W2377" s="38"/>
    </row>
    <row r="2378" ht="24" customHeight="1" spans="1:23" x14ac:dyDescent="0.25">
      <c r="A2378" s="31"/>
      <c r="B2378" s="32"/>
      <c r="C2378" s="33"/>
      <c r="D2378" s="34"/>
      <c r="E2378" s="34"/>
      <c r="F2378" s="75"/>
      <c r="G2378" s="76"/>
      <c r="H2378" s="77"/>
      <c r="I2378" s="78"/>
      <c r="J2378" s="79"/>
      <c r="K2378" s="80"/>
      <c r="L2378" s="81"/>
      <c r="M2378" s="82"/>
      <c r="N2378" s="83"/>
      <c r="O2378" s="84"/>
      <c r="P2378" s="85"/>
      <c r="Q2378" s="86"/>
      <c r="R2378" s="87"/>
      <c r="S2378" s="35"/>
      <c r="T2378" s="35"/>
      <c r="U2378" s="88"/>
      <c r="V2378" s="37"/>
      <c r="W2378" s="38"/>
    </row>
    <row r="2379" ht="24" customHeight="1" spans="1:23" x14ac:dyDescent="0.25">
      <c r="A2379" s="31"/>
      <c r="B2379" s="32"/>
      <c r="C2379" s="33"/>
      <c r="D2379" s="34"/>
      <c r="E2379" s="34"/>
      <c r="F2379" s="75"/>
      <c r="G2379" s="76"/>
      <c r="H2379" s="77"/>
      <c r="I2379" s="78"/>
      <c r="J2379" s="79"/>
      <c r="K2379" s="80"/>
      <c r="L2379" s="81"/>
      <c r="M2379" s="82"/>
      <c r="N2379" s="83"/>
      <c r="O2379" s="84"/>
      <c r="P2379" s="85"/>
      <c r="Q2379" s="86"/>
      <c r="R2379" s="87"/>
      <c r="S2379" s="35"/>
      <c r="T2379" s="35"/>
      <c r="U2379" s="88"/>
      <c r="V2379" s="37"/>
      <c r="W2379" s="38"/>
    </row>
    <row r="2380" ht="24" customHeight="1" spans="1:23" x14ac:dyDescent="0.25">
      <c r="A2380" s="31"/>
      <c r="B2380" s="32"/>
      <c r="C2380" s="33"/>
      <c r="D2380" s="34"/>
      <c r="E2380" s="34"/>
      <c r="F2380" s="75"/>
      <c r="G2380" s="76"/>
      <c r="H2380" s="77"/>
      <c r="I2380" s="78"/>
      <c r="J2380" s="79"/>
      <c r="K2380" s="80"/>
      <c r="L2380" s="81"/>
      <c r="M2380" s="82"/>
      <c r="N2380" s="83"/>
      <c r="O2380" s="84"/>
      <c r="P2380" s="85"/>
      <c r="Q2380" s="86"/>
      <c r="R2380" s="87"/>
      <c r="S2380" s="35"/>
      <c r="T2380" s="35"/>
      <c r="U2380" s="88"/>
      <c r="V2380" s="37"/>
      <c r="W2380" s="38"/>
    </row>
  </sheetData>
  <autoFilter ref="A1:W2185"/>
  <dataValidations count="17">
    <dataValidation type="custom" allowBlank="1" showErrorMessage="1" errorTitle="Numero duplicado" error="Numero duplicado!" sqref="A10:A2380">
      <formula1>COUNTIF(A:A,A2)&lt;=1</formula1>
    </dataValidation>
    <dataValidation type="custom" allowBlank="1" showErrorMessage="1" errorTitle="Numero duplicado" error="Numero duplicado!" sqref="A2:A2380">
      <formula1>COUNTIF(A:A,A2)&lt;=1</formula1>
    </dataValidation>
    <dataValidation type="custom" allowBlank="1" showErrorMessage="1" errorTitle="Duplicata" error="Nome e data duplicados!!" sqref="B10:B982">
      <formula1>COUNTIFS($B:$B,B2,$D:$D,D2)&lt;=1</formula1>
    </dataValidation>
    <dataValidation type="custom" allowBlank="1" showErrorMessage="1" errorTitle="Duplicata" error="Nome e data duplicados!!" sqref="B1000:B1264">
      <formula1>COUNTIFS($B:$B,B3,$D:$D,D3)&lt;=1</formula1>
    </dataValidation>
    <dataValidation type="custom" allowBlank="1" showErrorMessage="1" errorTitle="Duplicata" error="Nome e data duplicados!!" sqref="B1265:B1354">
      <formula1>COUNTIFS($B:$B,B277,$D:$D,D277)&lt;=1</formula1>
    </dataValidation>
    <dataValidation type="custom" allowBlank="1" showErrorMessage="1" errorTitle="Duplicata" error="Nome e data duplicados!!" sqref="B1355">
      <formula1>COUNTIFS($B:$B,#REF!,$D:$D,#REF!)&lt;=1</formula1>
    </dataValidation>
    <dataValidation type="custom" allowBlank="1" showErrorMessage="1" errorTitle="Duplicata" error="Nome e data duplicados!!" sqref="B1356:B1895">
      <formula1>COUNTIFS($B:$B,B367,$D:$D,D367)&lt;=1</formula1>
    </dataValidation>
    <dataValidation type="custom" allowBlank="1" showErrorMessage="1" errorTitle="Duplicata" error="Nome e data duplicados!!" sqref="B1896:B2380">
      <formula1>COUNTIFS($B:$B,B277,$D:$D,D277)&lt;=1</formula1>
    </dataValidation>
    <dataValidation type="custom" allowBlank="1" showErrorMessage="1" errorTitle="Duplicata" error="Nome e data duplicados!!" sqref="B2:B982">
      <formula1>COUNTIFS($B:$B,B2,$D:$D,D2)&lt;=1</formula1>
    </dataValidation>
    <dataValidation type="custom" allowBlank="1" showErrorMessage="1" errorTitle="Duplicata" error="Nome e data duplicados!!" sqref="B984:B986">
      <formula1>COUNTIFS($B:$B,#REF!,$D:$D,#REF!)&lt;=1</formula1>
    </dataValidation>
    <dataValidation type="custom" allowBlank="1" showErrorMessage="1" errorTitle="Duplicata" error="Nome e data duplicados!!" sqref="B987">
      <formula1>COUNTIFS($B:$B,B2,$D:$D,D2)&lt;=1</formula1>
    </dataValidation>
    <dataValidation type="custom" allowBlank="1" showErrorMessage="1" errorTitle="Duplicata" error="Nome e data duplicados!!" sqref="B988:B989">
      <formula1>COUNTIFS($B:$B,#REF!,$D:$D,#REF!)&lt;=1</formula1>
    </dataValidation>
    <dataValidation type="custom" allowBlank="1" showErrorMessage="1" errorTitle="Duplicata" error="Nome e data duplicados!!" sqref="B990:B1264">
      <formula1>COUNTIFS($B:$B,B3,$D:$D,D3)&lt;=1</formula1>
    </dataValidation>
    <dataValidation type="list" allowBlank="1" sqref="C10:C2380">
      <formula1>"F,S,FD,MS"</formula1>
    </dataValidation>
    <dataValidation type="list" allowBlank="1" sqref="C2:C2380">
      <formula1>"F,S,FD,MS"</formula1>
    </dataValidation>
    <dataValidation type="custom" allowBlank="1" showErrorMessage="1" errorTitle="Duplicata" error="Nome e data duplicados!!" sqref="D10:D2380">
      <formula1>COUNTIFS($B:$B,B2,$D:$D,D2)&lt;=1</formula1>
    </dataValidation>
    <dataValidation type="custom" allowBlank="1" showErrorMessage="1" errorTitle="Duplicata" error="Nome e data duplicados!!" sqref="D2:D2380">
      <formula1>COUNTIFS($B:$B,B2,$D:$D,D2)&lt;=1</formula1>
    </dataValidation>
  </dataValidation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8" r:id="rId655"/>
    <hyperlink ref="B659" r:id="rId656"/>
    <hyperlink ref="B660" r:id="rId657"/>
    <hyperlink ref="B661" r:id="rId658"/>
    <hyperlink ref="B662" r:id="rId659"/>
    <hyperlink ref="B663" r:id="rId660"/>
    <hyperlink ref="B664" r:id="rId661"/>
    <hyperlink ref="B665" r:id="rId662"/>
    <hyperlink ref="B666" r:id="rId663"/>
    <hyperlink ref="B667" r:id="rId664"/>
    <hyperlink ref="B668" r:id="rId665"/>
    <hyperlink ref="B669" r:id="rId666"/>
    <hyperlink ref="B670" r:id="rId667"/>
    <hyperlink ref="B671" r:id="rId668"/>
    <hyperlink ref="B672" r:id="rId669"/>
    <hyperlink ref="B673" r:id="rId670"/>
    <hyperlink ref="B674" r:id="rId671"/>
    <hyperlink ref="B675" r:id="rId672"/>
    <hyperlink ref="B676" r:id="rId673"/>
    <hyperlink ref="B677" r:id="rId674"/>
    <hyperlink ref="B678" r:id="rId675"/>
    <hyperlink ref="B679" r:id="rId676"/>
    <hyperlink ref="B680" r:id="rId677"/>
    <hyperlink ref="B681" r:id="rId678"/>
    <hyperlink ref="B682" r:id="rId679"/>
    <hyperlink ref="B683" r:id="rId680"/>
    <hyperlink ref="B684" r:id="rId681"/>
    <hyperlink ref="B685" r:id="rId682"/>
    <hyperlink ref="B686" r:id="rId683"/>
    <hyperlink ref="B687" r:id="rId684"/>
    <hyperlink ref="B688" r:id="rId685"/>
    <hyperlink ref="B689" r:id="rId686"/>
    <hyperlink ref="B690" r:id="rId687"/>
    <hyperlink ref="B691" r:id="rId688"/>
    <hyperlink ref="B692" r:id="rId689"/>
    <hyperlink ref="B693" r:id="rId690"/>
    <hyperlink ref="B694" r:id="rId691"/>
    <hyperlink ref="B695" r:id="rId692"/>
    <hyperlink ref="B696" r:id="rId693"/>
    <hyperlink ref="B697" r:id="rId694"/>
    <hyperlink ref="B698" r:id="rId695"/>
    <hyperlink ref="B699" r:id="rId696"/>
    <hyperlink ref="B700" r:id="rId697"/>
    <hyperlink ref="B701" r:id="rId698"/>
    <hyperlink ref="B702" r:id="rId699"/>
    <hyperlink ref="B703" r:id="rId700"/>
    <hyperlink ref="B704" r:id="rId701"/>
    <hyperlink ref="B705" r:id="rId702"/>
    <hyperlink ref="B706" r:id="rId703"/>
    <hyperlink ref="B707" r:id="rId704"/>
    <hyperlink ref="B708" r:id="rId705"/>
    <hyperlink ref="B709" r:id="rId706"/>
    <hyperlink ref="B710" r:id="rId707"/>
    <hyperlink ref="B711" r:id="rId708"/>
    <hyperlink ref="B712" r:id="rId709"/>
    <hyperlink ref="B713" r:id="rId710"/>
    <hyperlink ref="B714" r:id="rId711"/>
    <hyperlink ref="B715" r:id="rId712"/>
    <hyperlink ref="B716" r:id="rId713"/>
    <hyperlink ref="B717" r:id="rId714"/>
    <hyperlink ref="B718" r:id="rId715"/>
    <hyperlink ref="B719" r:id="rId716"/>
    <hyperlink ref="B720" r:id="rId717"/>
    <hyperlink ref="B721" r:id="rId718"/>
    <hyperlink ref="B722" r:id="rId719"/>
    <hyperlink ref="B723" r:id="rId720"/>
    <hyperlink ref="B724" r:id="rId721"/>
    <hyperlink ref="B725" r:id="rId722"/>
    <hyperlink ref="B726" r:id="rId723"/>
    <hyperlink ref="B727" r:id="rId724"/>
    <hyperlink ref="B728" r:id="rId725"/>
    <hyperlink ref="B729" r:id="rId726"/>
    <hyperlink ref="B730" r:id="rId727"/>
    <hyperlink ref="B731" r:id="rId728"/>
    <hyperlink ref="B732" r:id="rId729"/>
    <hyperlink ref="B733" r:id="rId730"/>
    <hyperlink ref="B734" r:id="rId731"/>
    <hyperlink ref="B735" r:id="rId732"/>
    <hyperlink ref="B736" r:id="rId733"/>
    <hyperlink ref="B737" r:id="rId734"/>
    <hyperlink ref="B738" r:id="rId735"/>
    <hyperlink ref="B739" r:id="rId736"/>
    <hyperlink ref="B740" r:id="rId737"/>
    <hyperlink ref="B741" r:id="rId738"/>
    <hyperlink ref="B742" r:id="rId739"/>
    <hyperlink ref="B743" r:id="rId740"/>
    <hyperlink ref="B744" r:id="rId741"/>
    <hyperlink ref="B745" r:id="rId742"/>
    <hyperlink ref="B746" r:id="rId743"/>
    <hyperlink ref="B747" r:id="rId744"/>
    <hyperlink ref="B748" r:id="rId745"/>
    <hyperlink ref="B749" r:id="rId746"/>
    <hyperlink ref="B750" r:id="rId747"/>
    <hyperlink ref="B751" r:id="rId748"/>
    <hyperlink ref="B752" r:id="rId749"/>
    <hyperlink ref="B753" r:id="rId750"/>
    <hyperlink ref="B754" r:id="rId751"/>
    <hyperlink ref="B755" r:id="rId752"/>
    <hyperlink ref="B756" r:id="rId753"/>
    <hyperlink ref="B757" r:id="rId754"/>
    <hyperlink ref="B758" r:id="rId755"/>
    <hyperlink ref="B759" r:id="rId756"/>
    <hyperlink ref="B760" r:id="rId757"/>
    <hyperlink ref="B761" r:id="rId758"/>
    <hyperlink ref="B762" r:id="rId759"/>
    <hyperlink ref="B763" r:id="rId760"/>
    <hyperlink ref="B764" r:id="rId761"/>
    <hyperlink ref="B765" r:id="rId762"/>
    <hyperlink ref="B766" r:id="rId763"/>
    <hyperlink ref="B767" r:id="rId764"/>
    <hyperlink ref="B768" r:id="rId765"/>
    <hyperlink ref="B769" r:id="rId766"/>
    <hyperlink ref="B770" r:id="rId767"/>
    <hyperlink ref="B771" r:id="rId768"/>
    <hyperlink ref="B772" r:id="rId769"/>
    <hyperlink ref="B773" r:id="rId770"/>
    <hyperlink ref="B774" r:id="rId771"/>
    <hyperlink ref="B775" r:id="rId772"/>
    <hyperlink ref="B776" r:id="rId773"/>
    <hyperlink ref="B777" r:id="rId774"/>
    <hyperlink ref="B778" r:id="rId775"/>
    <hyperlink ref="B779" r:id="rId776"/>
    <hyperlink ref="B780" r:id="rId777"/>
    <hyperlink ref="B781" r:id="rId778"/>
    <hyperlink ref="B782" r:id="rId779"/>
    <hyperlink ref="B783" r:id="rId780"/>
    <hyperlink ref="B784" r:id="rId781"/>
    <hyperlink ref="B785" r:id="rId782"/>
    <hyperlink ref="B786" r:id="rId783"/>
    <hyperlink ref="B787" r:id="rId784"/>
    <hyperlink ref="B788" r:id="rId785"/>
    <hyperlink ref="B789" r:id="rId786"/>
    <hyperlink ref="B790" r:id="rId787"/>
    <hyperlink ref="B791" r:id="rId788"/>
    <hyperlink ref="B792" r:id="rId789"/>
    <hyperlink ref="B793" r:id="rId790"/>
    <hyperlink ref="B794" r:id="rId791"/>
    <hyperlink ref="B795" r:id="rId792"/>
    <hyperlink ref="B796" r:id="rId793"/>
    <hyperlink ref="B797" r:id="rId794"/>
    <hyperlink ref="B798" r:id="rId795"/>
    <hyperlink ref="B799" r:id="rId796"/>
    <hyperlink ref="B800" r:id="rId797"/>
    <hyperlink ref="B801" r:id="rId798"/>
    <hyperlink ref="B802" r:id="rId799"/>
    <hyperlink ref="B803" r:id="rId800"/>
    <hyperlink ref="B804" r:id="rId801"/>
    <hyperlink ref="B805" r:id="rId802"/>
    <hyperlink ref="B806" r:id="rId803"/>
    <hyperlink ref="B807" r:id="rId804"/>
    <hyperlink ref="B808" r:id="rId805"/>
    <hyperlink ref="B809" r:id="rId806"/>
    <hyperlink ref="B810" r:id="rId807"/>
    <hyperlink ref="B811" r:id="rId808"/>
    <hyperlink ref="B812" r:id="rId809"/>
    <hyperlink ref="B813" r:id="rId810"/>
    <hyperlink ref="B814" r:id="rId811"/>
    <hyperlink ref="B815" r:id="rId812"/>
    <hyperlink ref="B816" r:id="rId813"/>
    <hyperlink ref="B817" r:id="rId814"/>
    <hyperlink ref="B818" r:id="rId815"/>
    <hyperlink ref="B819" r:id="rId816"/>
    <hyperlink ref="B820" r:id="rId817"/>
    <hyperlink ref="B821" r:id="rId818"/>
    <hyperlink ref="B822" r:id="rId819"/>
    <hyperlink ref="B823" r:id="rId820"/>
    <hyperlink ref="B824" r:id="rId821"/>
    <hyperlink ref="B825" r:id="rId822"/>
    <hyperlink ref="B826" r:id="rId823"/>
    <hyperlink ref="B827" r:id="rId824"/>
    <hyperlink ref="B828" r:id="rId825"/>
    <hyperlink ref="B829" r:id="rId826"/>
    <hyperlink ref="B830" r:id="rId827"/>
    <hyperlink ref="B831" r:id="rId828"/>
    <hyperlink ref="B832" r:id="rId829"/>
    <hyperlink ref="B833" r:id="rId830"/>
    <hyperlink ref="B834" r:id="rId831"/>
    <hyperlink ref="B835" r:id="rId832"/>
    <hyperlink ref="B836" r:id="rId833"/>
    <hyperlink ref="B837" r:id="rId834"/>
    <hyperlink ref="B838" r:id="rId835"/>
    <hyperlink ref="B839" r:id="rId836"/>
    <hyperlink ref="B840" r:id="rId837"/>
    <hyperlink ref="B841" r:id="rId838"/>
    <hyperlink ref="B842" r:id="rId839"/>
    <hyperlink ref="B843" r:id="rId840"/>
    <hyperlink ref="B844" r:id="rId841"/>
    <hyperlink ref="B845" r:id="rId842"/>
    <hyperlink ref="B846" r:id="rId843"/>
    <hyperlink ref="B847" r:id="rId844"/>
    <hyperlink ref="B849" r:id="rId845"/>
    <hyperlink ref="B850" r:id="rId846"/>
    <hyperlink ref="B851" r:id="rId847"/>
    <hyperlink ref="B852" r:id="rId848"/>
    <hyperlink ref="B853" r:id="rId849"/>
    <hyperlink ref="B854" r:id="rId850"/>
    <hyperlink ref="B855" r:id="rId851"/>
    <hyperlink ref="B856" r:id="rId852"/>
    <hyperlink ref="B857" r:id="rId853"/>
    <hyperlink ref="B858" r:id="rId854"/>
    <hyperlink ref="B859" r:id="rId855"/>
    <hyperlink ref="B860" r:id="rId856"/>
    <hyperlink ref="B861" r:id="rId857"/>
    <hyperlink ref="B862" r:id="rId858"/>
    <hyperlink ref="B863" r:id="rId859"/>
    <hyperlink ref="B864" r:id="rId860"/>
    <hyperlink ref="B865" r:id="rId861"/>
    <hyperlink ref="B866" r:id="rId862"/>
    <hyperlink ref="B867" r:id="rId863"/>
    <hyperlink ref="B868" r:id="rId864"/>
    <hyperlink ref="B869" r:id="rId865"/>
    <hyperlink ref="B870" r:id="rId866"/>
    <hyperlink ref="B871" r:id="rId867"/>
    <hyperlink ref="B872" r:id="rId868"/>
    <hyperlink ref="B873" r:id="rId869"/>
    <hyperlink ref="B874" r:id="rId870"/>
    <hyperlink ref="B875" r:id="rId871"/>
    <hyperlink ref="B876" r:id="rId872"/>
    <hyperlink ref="B877" r:id="rId873"/>
    <hyperlink ref="B878" r:id="rId874"/>
    <hyperlink ref="B879" r:id="rId875"/>
    <hyperlink ref="B880" r:id="rId876"/>
    <hyperlink ref="B881" r:id="rId877"/>
    <hyperlink ref="B882" r:id="rId878"/>
    <hyperlink ref="B883" r:id="rId879"/>
    <hyperlink ref="B884" r:id="rId880"/>
    <hyperlink ref="B885" r:id="rId881"/>
    <hyperlink ref="B886" r:id="rId882"/>
    <hyperlink ref="B887" r:id="rId883"/>
    <hyperlink ref="B888" r:id="rId884"/>
    <hyperlink ref="B889" r:id="rId885"/>
    <hyperlink ref="B890" r:id="rId886"/>
    <hyperlink ref="B891" r:id="rId887"/>
    <hyperlink ref="B892" r:id="rId888"/>
    <hyperlink ref="B893" r:id="rId889"/>
    <hyperlink ref="B894" r:id="rId890"/>
    <hyperlink ref="B895" r:id="rId891"/>
    <hyperlink ref="B896" r:id="rId892"/>
    <hyperlink ref="B897" r:id="rId893"/>
    <hyperlink ref="B898" r:id="rId894"/>
    <hyperlink ref="B899" r:id="rId895"/>
    <hyperlink ref="B901" r:id="rId896"/>
    <hyperlink ref="B902" r:id="rId897"/>
    <hyperlink ref="B903" r:id="rId898"/>
    <hyperlink ref="B904" r:id="rId899"/>
    <hyperlink ref="B905" r:id="rId900"/>
    <hyperlink ref="B906" r:id="rId901"/>
    <hyperlink ref="B907" r:id="rId902"/>
    <hyperlink ref="B908" r:id="rId903"/>
    <hyperlink ref="B909" r:id="rId904"/>
    <hyperlink ref="B910" r:id="rId905"/>
    <hyperlink ref="B911" r:id="rId906"/>
    <hyperlink ref="B912" r:id="rId907"/>
    <hyperlink ref="B913" r:id="rId908"/>
    <hyperlink ref="B914" r:id="rId909"/>
    <hyperlink ref="B915" r:id="rId910"/>
    <hyperlink ref="B916" r:id="rId911"/>
    <hyperlink ref="B917" r:id="rId912"/>
    <hyperlink ref="B918" r:id="rId913"/>
    <hyperlink ref="B919" r:id="rId914"/>
    <hyperlink ref="B920" r:id="rId915"/>
    <hyperlink ref="B921" r:id="rId916"/>
    <hyperlink ref="B922" r:id="rId917"/>
    <hyperlink ref="B923" r:id="rId918"/>
    <hyperlink ref="B924" r:id="rId919"/>
    <hyperlink ref="B925" r:id="rId920"/>
    <hyperlink ref="B926" r:id="rId921"/>
    <hyperlink ref="B927" r:id="rId922"/>
    <hyperlink ref="B928" r:id="rId923"/>
    <hyperlink ref="B929" r:id="rId924"/>
    <hyperlink ref="B930" r:id="rId925"/>
    <hyperlink ref="B931" r:id="rId926"/>
    <hyperlink ref="B932" r:id="rId927"/>
    <hyperlink ref="B933" r:id="rId928"/>
    <hyperlink ref="B934" r:id="rId929"/>
    <hyperlink ref="B935" r:id="rId930"/>
    <hyperlink ref="B936" r:id="rId931"/>
    <hyperlink ref="B937" r:id="rId932"/>
    <hyperlink ref="B938" r:id="rId933"/>
    <hyperlink ref="B939" r:id="rId934"/>
    <hyperlink ref="B940" r:id="rId935"/>
    <hyperlink ref="B941" r:id="rId936"/>
    <hyperlink ref="B942" r:id="rId937"/>
    <hyperlink ref="B943" r:id="rId938"/>
    <hyperlink ref="B944" r:id="rId939"/>
    <hyperlink ref="B945" r:id="rId940"/>
    <hyperlink ref="B946" r:id="rId941"/>
    <hyperlink ref="B947" r:id="rId942"/>
    <hyperlink ref="B948" r:id="rId943"/>
    <hyperlink ref="B949" r:id="rId944"/>
    <hyperlink ref="B950" r:id="rId945"/>
    <hyperlink ref="B951" r:id="rId946"/>
    <hyperlink ref="B952" r:id="rId947"/>
    <hyperlink ref="B953" r:id="rId948"/>
    <hyperlink ref="B954" r:id="rId949"/>
    <hyperlink ref="B955" r:id="rId950"/>
    <hyperlink ref="B956" r:id="rId951"/>
    <hyperlink ref="B957" r:id="rId952"/>
    <hyperlink ref="B958" r:id="rId953"/>
    <hyperlink ref="B959" r:id="rId954"/>
    <hyperlink ref="B960" r:id="rId955"/>
    <hyperlink ref="B961" r:id="rId956"/>
    <hyperlink ref="B962" r:id="rId957"/>
    <hyperlink ref="B963" r:id="rId958"/>
    <hyperlink ref="B964" r:id="rId959"/>
    <hyperlink ref="B965" r:id="rId960"/>
    <hyperlink ref="B966" r:id="rId961"/>
    <hyperlink ref="B967" r:id="rId962"/>
    <hyperlink ref="B968" r:id="rId963"/>
    <hyperlink ref="B969" r:id="rId964"/>
    <hyperlink ref="B970" r:id="rId965"/>
    <hyperlink ref="B971" r:id="rId966"/>
    <hyperlink ref="B972" r:id="rId967"/>
    <hyperlink ref="B973" r:id="rId968"/>
    <hyperlink ref="B974" r:id="rId969"/>
    <hyperlink ref="B975" r:id="rId970"/>
    <hyperlink ref="B976" r:id="rId971"/>
    <hyperlink ref="B977" r:id="rId972"/>
    <hyperlink ref="B978" r:id="rId973"/>
    <hyperlink ref="B979" r:id="rId974"/>
    <hyperlink ref="B980" r:id="rId975"/>
    <hyperlink ref="B981" r:id="rId976"/>
    <hyperlink ref="B982" r:id="rId977"/>
    <hyperlink ref="B983" r:id="rId978"/>
    <hyperlink ref="B984" r:id="rId979"/>
    <hyperlink ref="B985" r:id="rId980"/>
    <hyperlink ref="B986" r:id="rId981"/>
    <hyperlink ref="B987" r:id="rId982"/>
    <hyperlink ref="B988" r:id="rId983"/>
    <hyperlink ref="B989" r:id="rId984"/>
    <hyperlink ref="B990" r:id="rId985"/>
    <hyperlink ref="B991" r:id="rId986"/>
    <hyperlink ref="B992" r:id="rId987"/>
    <hyperlink ref="B993" r:id="rId988"/>
    <hyperlink ref="B994" r:id="rId989"/>
    <hyperlink ref="B995" r:id="rId990"/>
    <hyperlink ref="B996" r:id="rId991"/>
    <hyperlink ref="B997" r:id="rId992"/>
    <hyperlink ref="B998" r:id="rId993"/>
    <hyperlink ref="B999" r:id="rId994"/>
    <hyperlink ref="B1000" r:id="rId995"/>
    <hyperlink ref="B1001" r:id="rId996"/>
    <hyperlink ref="B1002" r:id="rId997"/>
    <hyperlink ref="B1003" r:id="rId998"/>
    <hyperlink ref="B1004" r:id="rId999"/>
    <hyperlink ref="B1005" r:id="rId1000"/>
    <hyperlink ref="B1006" r:id="rId1001"/>
    <hyperlink ref="B1007" r:id="rId1002"/>
    <hyperlink ref="B1008" r:id="rId1003"/>
    <hyperlink ref="B1009" r:id="rId1004"/>
    <hyperlink ref="B1010" r:id="rId1005"/>
    <hyperlink ref="B1011" r:id="rId1006"/>
    <hyperlink ref="B1012" r:id="rId1007"/>
    <hyperlink ref="B1013" r:id="rId1008"/>
    <hyperlink ref="B1014" r:id="rId1009"/>
    <hyperlink ref="B1015" r:id="rId1010"/>
    <hyperlink ref="B1016" r:id="rId1011"/>
    <hyperlink ref="B1017" r:id="rId1012"/>
    <hyperlink ref="B1018" r:id="rId1013"/>
    <hyperlink ref="B1019" r:id="rId1014"/>
    <hyperlink ref="B1020" r:id="rId1015"/>
    <hyperlink ref="B1021" r:id="rId1016"/>
    <hyperlink ref="B1022" r:id="rId1017"/>
    <hyperlink ref="B1023" r:id="rId1018"/>
    <hyperlink ref="B1024" r:id="rId1019"/>
    <hyperlink ref="B1025" r:id="rId1020"/>
    <hyperlink ref="B1026" r:id="rId1021"/>
    <hyperlink ref="B1027" r:id="rId1022"/>
    <hyperlink ref="B1028" r:id="rId1023"/>
    <hyperlink ref="B1029" r:id="rId1024"/>
    <hyperlink ref="B1030" r:id="rId1025"/>
    <hyperlink ref="B1031" r:id="rId1026"/>
    <hyperlink ref="B1032" r:id="rId1027"/>
    <hyperlink ref="B1033" r:id="rId1028"/>
    <hyperlink ref="B1034" r:id="rId1029"/>
    <hyperlink ref="B1035" r:id="rId1030"/>
    <hyperlink ref="B1036" r:id="rId1031"/>
    <hyperlink ref="B1037" r:id="rId1032"/>
    <hyperlink ref="B1038" r:id="rId1033"/>
    <hyperlink ref="B1039" r:id="rId1034"/>
    <hyperlink ref="B1040" r:id="rId1035"/>
    <hyperlink ref="B1041" r:id="rId1036"/>
    <hyperlink ref="B1042" r:id="rId1037"/>
    <hyperlink ref="B1043" r:id="rId1038"/>
    <hyperlink ref="B1044" r:id="rId1039"/>
    <hyperlink ref="B1045" r:id="rId1040"/>
    <hyperlink ref="B1046" r:id="rId1041"/>
    <hyperlink ref="B1047" r:id="rId1042"/>
    <hyperlink ref="B1048" r:id="rId1043"/>
    <hyperlink ref="B1049" r:id="rId1044"/>
    <hyperlink ref="B1050" r:id="rId1045"/>
    <hyperlink ref="B1051" r:id="rId1046"/>
    <hyperlink ref="B1052" r:id="rId1047"/>
    <hyperlink ref="B1053" r:id="rId1048"/>
    <hyperlink ref="B1054" r:id="rId1049"/>
    <hyperlink ref="B1055" r:id="rId1050"/>
    <hyperlink ref="B1056" r:id="rId1051"/>
    <hyperlink ref="B1057" r:id="rId1052"/>
    <hyperlink ref="B1058" r:id="rId1053"/>
    <hyperlink ref="B1059" r:id="rId1054"/>
    <hyperlink ref="B1060" r:id="rId1055"/>
    <hyperlink ref="B1061" r:id="rId1056"/>
    <hyperlink ref="B1062" r:id="rId1057"/>
    <hyperlink ref="B1063" r:id="rId1058"/>
    <hyperlink ref="B1064" r:id="rId1059"/>
    <hyperlink ref="B1065" r:id="rId1060"/>
    <hyperlink ref="B1066" r:id="rId1061"/>
    <hyperlink ref="B1067" r:id="rId1062"/>
    <hyperlink ref="B1068" r:id="rId1063"/>
    <hyperlink ref="B1069" r:id="rId1064"/>
    <hyperlink ref="B1070" r:id="rId1065"/>
    <hyperlink ref="B1071" r:id="rId1066"/>
    <hyperlink ref="B1072" r:id="rId1067"/>
    <hyperlink ref="B1073" r:id="rId1068"/>
    <hyperlink ref="B1074" r:id="rId1069"/>
    <hyperlink ref="B1075" r:id="rId1070"/>
    <hyperlink ref="B1076" r:id="rId1071"/>
    <hyperlink ref="B1077" r:id="rId1072"/>
    <hyperlink ref="B1078" r:id="rId1073"/>
    <hyperlink ref="B1079" r:id="rId1074"/>
    <hyperlink ref="B1080" r:id="rId1075"/>
    <hyperlink ref="B1081" r:id="rId1076"/>
    <hyperlink ref="B1082" r:id="rId1077"/>
    <hyperlink ref="B1083" r:id="rId1078"/>
    <hyperlink ref="B1084" r:id="rId1079"/>
    <hyperlink ref="B1085" r:id="rId1080"/>
    <hyperlink ref="B1086" r:id="rId1081"/>
    <hyperlink ref="B1087" r:id="rId1082"/>
    <hyperlink ref="B1088" r:id="rId1083"/>
    <hyperlink ref="B1089" r:id="rId1084"/>
    <hyperlink ref="B1090" r:id="rId1085"/>
    <hyperlink ref="B1091" r:id="rId1086"/>
    <hyperlink ref="B1092" r:id="rId1087"/>
    <hyperlink ref="B1093" r:id="rId1088"/>
    <hyperlink ref="B1094" r:id="rId1089"/>
    <hyperlink ref="B1095" r:id="rId1090"/>
    <hyperlink ref="B1096" r:id="rId1091"/>
    <hyperlink ref="B1097" r:id="rId1092"/>
    <hyperlink ref="B1098" r:id="rId1093"/>
    <hyperlink ref="B1099" r:id="rId1094"/>
    <hyperlink ref="B1100" r:id="rId1095"/>
    <hyperlink ref="B1101" r:id="rId1096"/>
    <hyperlink ref="B1102" r:id="rId1097"/>
    <hyperlink ref="B1103" r:id="rId1098"/>
    <hyperlink ref="B1104" r:id="rId1099"/>
    <hyperlink ref="B1105" r:id="rId1100"/>
    <hyperlink ref="B1106" r:id="rId1101"/>
    <hyperlink ref="B1107" r:id="rId1102"/>
    <hyperlink ref="B1108" r:id="rId1103"/>
    <hyperlink ref="B1109" r:id="rId1104"/>
    <hyperlink ref="B1110" r:id="rId1105"/>
    <hyperlink ref="B1111" r:id="rId1106"/>
    <hyperlink ref="B1112" r:id="rId1107"/>
    <hyperlink ref="B1113" r:id="rId1108"/>
    <hyperlink ref="B1114" r:id="rId1109"/>
    <hyperlink ref="B1115" r:id="rId1110"/>
    <hyperlink ref="B1116" r:id="rId1111"/>
    <hyperlink ref="B1117" r:id="rId1112"/>
    <hyperlink ref="B1118" r:id="rId1113"/>
    <hyperlink ref="B1119" r:id="rId1114"/>
    <hyperlink ref="B1120" r:id="rId1115"/>
    <hyperlink ref="B1121" r:id="rId1116"/>
    <hyperlink ref="B1122" r:id="rId1117"/>
    <hyperlink ref="B1123" r:id="rId1118"/>
    <hyperlink ref="B1124" r:id="rId1119"/>
    <hyperlink ref="B1125" r:id="rId1120"/>
    <hyperlink ref="B1126" r:id="rId1121"/>
    <hyperlink ref="B1127" r:id="rId1122"/>
    <hyperlink ref="B1128" r:id="rId1123"/>
    <hyperlink ref="B1129" r:id="rId1124"/>
    <hyperlink ref="B1130" r:id="rId1125"/>
    <hyperlink ref="B1131" r:id="rId1126"/>
    <hyperlink ref="B1132" r:id="rId1127"/>
    <hyperlink ref="B1133" r:id="rId1128"/>
    <hyperlink ref="B1134" r:id="rId1129"/>
    <hyperlink ref="B1135" r:id="rId1130"/>
    <hyperlink ref="B1136" r:id="rId1131"/>
    <hyperlink ref="B1137" r:id="rId1132"/>
    <hyperlink ref="B1138" r:id="rId1133"/>
    <hyperlink ref="B1139" r:id="rId1134"/>
    <hyperlink ref="B1140" r:id="rId1135"/>
    <hyperlink ref="B1141" r:id="rId1136"/>
    <hyperlink ref="B1142" r:id="rId1137"/>
    <hyperlink ref="B1143" r:id="rId1138"/>
    <hyperlink ref="B1144" r:id="rId1139"/>
    <hyperlink ref="B1145" r:id="rId1140"/>
    <hyperlink ref="B1146" r:id="rId1141"/>
    <hyperlink ref="B1147" r:id="rId1142"/>
    <hyperlink ref="B1148" r:id="rId1143"/>
    <hyperlink ref="B1149" r:id="rId1144"/>
    <hyperlink ref="B1150" r:id="rId1145"/>
    <hyperlink ref="B1151" r:id="rId1146"/>
    <hyperlink ref="B1152" r:id="rId1147"/>
    <hyperlink ref="B1153" r:id="rId1148"/>
    <hyperlink ref="B1154" r:id="rId1149"/>
    <hyperlink ref="B1155" r:id="rId1150"/>
    <hyperlink ref="B1156" r:id="rId1151"/>
    <hyperlink ref="B1157" r:id="rId1152"/>
    <hyperlink ref="B1158" r:id="rId1153"/>
    <hyperlink ref="B1159" r:id="rId1154"/>
    <hyperlink ref="B1160" r:id="rId1155"/>
    <hyperlink ref="B1161" r:id="rId1156"/>
    <hyperlink ref="B1162" r:id="rId1157"/>
    <hyperlink ref="B1163" r:id="rId1158"/>
    <hyperlink ref="B1164" r:id="rId1159"/>
    <hyperlink ref="B1165" r:id="rId1160"/>
    <hyperlink ref="B1166" r:id="rId1161"/>
    <hyperlink ref="B1167" r:id="rId1162"/>
    <hyperlink ref="B1168" r:id="rId1163"/>
    <hyperlink ref="B1169" r:id="rId1164"/>
    <hyperlink ref="B1170" r:id="rId1165"/>
    <hyperlink ref="B1171" r:id="rId1166"/>
    <hyperlink ref="B1172" r:id="rId1167"/>
    <hyperlink ref="B1173" r:id="rId1168"/>
    <hyperlink ref="B1174" r:id="rId1169"/>
    <hyperlink ref="B1175" r:id="rId1170"/>
    <hyperlink ref="B1176" r:id="rId1171"/>
    <hyperlink ref="B1177" r:id="rId1172"/>
    <hyperlink ref="B1178" r:id="rId1173"/>
    <hyperlink ref="B1179" r:id="rId1174"/>
    <hyperlink ref="B1180" r:id="rId1175"/>
    <hyperlink ref="B1181" r:id="rId1176"/>
    <hyperlink ref="B1182" r:id="rId1177"/>
    <hyperlink ref="B1183" r:id="rId1178"/>
    <hyperlink ref="B1184" r:id="rId1179"/>
    <hyperlink ref="B1185" r:id="rId1180"/>
    <hyperlink ref="B1186" r:id="rId1181"/>
    <hyperlink ref="B1187" r:id="rId1182"/>
    <hyperlink ref="B1188" r:id="rId1183"/>
    <hyperlink ref="B1189" r:id="rId1184"/>
    <hyperlink ref="B1190" r:id="rId1185"/>
    <hyperlink ref="B1191" r:id="rId1186"/>
    <hyperlink ref="B1192" r:id="rId1187"/>
    <hyperlink ref="B1193" r:id="rId1188"/>
    <hyperlink ref="B1194" r:id="rId1189"/>
    <hyperlink ref="B1195" r:id="rId1190"/>
    <hyperlink ref="B1196" r:id="rId1191"/>
    <hyperlink ref="B1197" r:id="rId1192"/>
    <hyperlink ref="B1198" r:id="rId1193"/>
    <hyperlink ref="B1199" r:id="rId1194"/>
    <hyperlink ref="B1200" r:id="rId1195"/>
    <hyperlink ref="B1201" r:id="rId1196"/>
    <hyperlink ref="B1202" r:id="rId1197"/>
    <hyperlink ref="B1203" r:id="rId1198"/>
    <hyperlink ref="B1204" r:id="rId1199"/>
    <hyperlink ref="B1205" r:id="rId1200"/>
    <hyperlink ref="B1206" r:id="rId1201"/>
    <hyperlink ref="B1207" r:id="rId1202"/>
    <hyperlink ref="B1208" r:id="rId1203"/>
    <hyperlink ref="B1209" r:id="rId1204"/>
    <hyperlink ref="B1210" r:id="rId1205"/>
    <hyperlink ref="B1211" r:id="rId1206"/>
    <hyperlink ref="B1212" r:id="rId1207"/>
    <hyperlink ref="B1213" r:id="rId1208"/>
    <hyperlink ref="B1214" r:id="rId1209"/>
    <hyperlink ref="B1215" r:id="rId1210"/>
    <hyperlink ref="B1216" r:id="rId1211"/>
    <hyperlink ref="B1217" r:id="rId1212"/>
    <hyperlink ref="B1218" r:id="rId1213"/>
    <hyperlink ref="B1219" r:id="rId1214"/>
    <hyperlink ref="B1220" r:id="rId1215"/>
    <hyperlink ref="B1221" r:id="rId1216"/>
    <hyperlink ref="B1222" r:id="rId1217"/>
    <hyperlink ref="B1223" r:id="rId1218"/>
    <hyperlink ref="B1224" r:id="rId1219"/>
    <hyperlink ref="B1225" r:id="rId1220"/>
    <hyperlink ref="B1226" r:id="rId1221"/>
    <hyperlink ref="B1227" r:id="rId1222"/>
    <hyperlink ref="B1228" r:id="rId1223"/>
    <hyperlink ref="B1229" r:id="rId1224"/>
    <hyperlink ref="B1230" r:id="rId1225"/>
    <hyperlink ref="B1231" r:id="rId1226"/>
    <hyperlink ref="B1232" r:id="rId1227"/>
    <hyperlink ref="B1233" r:id="rId1228"/>
    <hyperlink ref="B1234" r:id="rId1229"/>
    <hyperlink ref="B1235" r:id="rId1230"/>
    <hyperlink ref="B1236" r:id="rId1231"/>
    <hyperlink ref="B1237" r:id="rId1232"/>
    <hyperlink ref="B1238" r:id="rId1233"/>
    <hyperlink ref="B1239" r:id="rId1234"/>
    <hyperlink ref="B1240" r:id="rId1235"/>
    <hyperlink ref="B1241" r:id="rId1236"/>
    <hyperlink ref="B1242" r:id="rId1237"/>
    <hyperlink ref="B1243" r:id="rId1238"/>
    <hyperlink ref="B1244" r:id="rId1239"/>
    <hyperlink ref="B1245" r:id="rId1240"/>
    <hyperlink ref="B1246" r:id="rId1241"/>
    <hyperlink ref="B1247" r:id="rId1242"/>
    <hyperlink ref="B1248" r:id="rId1243"/>
    <hyperlink ref="B1249" r:id="rId1244"/>
    <hyperlink ref="B1250" r:id="rId1245"/>
    <hyperlink ref="B1251" r:id="rId1246"/>
    <hyperlink ref="B1252" r:id="rId1247"/>
    <hyperlink ref="B1253" r:id="rId1248"/>
    <hyperlink ref="B1254" r:id="rId1249"/>
    <hyperlink ref="B1255" r:id="rId1250"/>
    <hyperlink ref="B1256" r:id="rId1251"/>
    <hyperlink ref="B1257" r:id="rId1252"/>
    <hyperlink ref="B1258" r:id="rId1253"/>
    <hyperlink ref="B1259" r:id="rId1254"/>
    <hyperlink ref="B1260" r:id="rId1255"/>
    <hyperlink ref="B1261" r:id="rId1256"/>
    <hyperlink ref="B1262" r:id="rId1257"/>
    <hyperlink ref="B1263" r:id="rId1258"/>
    <hyperlink ref="B1264" r:id="rId1259"/>
    <hyperlink ref="B1265" r:id="rId1260"/>
    <hyperlink ref="B1266" r:id="rId1261"/>
    <hyperlink ref="B1267" r:id="rId1262"/>
    <hyperlink ref="B1268" r:id="rId1263"/>
    <hyperlink ref="B1269" r:id="rId1264"/>
    <hyperlink ref="B1270" r:id="rId1265"/>
    <hyperlink ref="B1271" r:id="rId1266"/>
    <hyperlink ref="B1272" r:id="rId1267"/>
    <hyperlink ref="B1273" r:id="rId1268"/>
    <hyperlink ref="B1274" r:id="rId1269"/>
    <hyperlink ref="B1275" r:id="rId1270"/>
    <hyperlink ref="B1276" r:id="rId1271"/>
    <hyperlink ref="B1277" r:id="rId1272"/>
    <hyperlink ref="B1278" r:id="rId1273"/>
    <hyperlink ref="B1279" r:id="rId1274"/>
    <hyperlink ref="B1280" r:id="rId1275"/>
    <hyperlink ref="B1281" r:id="rId1276"/>
    <hyperlink ref="B1282" r:id="rId1277"/>
    <hyperlink ref="B1283" r:id="rId1278"/>
    <hyperlink ref="B1284" r:id="rId1279"/>
    <hyperlink ref="B1285" r:id="rId1280"/>
    <hyperlink ref="B1286" r:id="rId1281"/>
    <hyperlink ref="B1287" r:id="rId1282"/>
    <hyperlink ref="B1288" r:id="rId1283"/>
    <hyperlink ref="B1289" r:id="rId1284"/>
    <hyperlink ref="B1290" r:id="rId1285"/>
    <hyperlink ref="B1291" r:id="rId1286"/>
    <hyperlink ref="B1292" r:id="rId1287"/>
    <hyperlink ref="B1293" r:id="rId1288"/>
    <hyperlink ref="B1294" r:id="rId1289"/>
    <hyperlink ref="B1295" r:id="rId1290"/>
    <hyperlink ref="B1296" r:id="rId1291"/>
    <hyperlink ref="B1297" r:id="rId1292"/>
    <hyperlink ref="B1298" r:id="rId1293"/>
    <hyperlink ref="B1299" r:id="rId1294"/>
    <hyperlink ref="B1300" r:id="rId1295"/>
    <hyperlink ref="B1301" r:id="rId1296"/>
    <hyperlink ref="B1302" r:id="rId1297"/>
    <hyperlink ref="B1303" r:id="rId1298"/>
    <hyperlink ref="B1304" r:id="rId1299"/>
    <hyperlink ref="B1305" r:id="rId1300"/>
    <hyperlink ref="B1306" r:id="rId1301"/>
    <hyperlink ref="B1307" r:id="rId1302"/>
    <hyperlink ref="B1308" r:id="rId1303"/>
    <hyperlink ref="B1309" r:id="rId1304"/>
    <hyperlink ref="B1310" r:id="rId1305"/>
    <hyperlink ref="B1311" r:id="rId1306"/>
    <hyperlink ref="B1312" r:id="rId1307"/>
    <hyperlink ref="B1313" r:id="rId1308"/>
    <hyperlink ref="B1314" r:id="rId1309"/>
    <hyperlink ref="B1315" r:id="rId1310"/>
    <hyperlink ref="B1316" r:id="rId1311"/>
    <hyperlink ref="B1317" r:id="rId1312"/>
    <hyperlink ref="B1318" r:id="rId1313"/>
    <hyperlink ref="B1319" r:id="rId1314"/>
    <hyperlink ref="B1320" r:id="rId1315"/>
    <hyperlink ref="B1321" r:id="rId1316"/>
    <hyperlink ref="B1322" r:id="rId1317"/>
    <hyperlink ref="B1323" r:id="rId1318"/>
    <hyperlink ref="B1324" r:id="rId1319"/>
    <hyperlink ref="B1325" r:id="rId1320"/>
    <hyperlink ref="B1326" r:id="rId1321"/>
    <hyperlink ref="B1327" r:id="rId1322"/>
    <hyperlink ref="B1328" r:id="rId1323"/>
    <hyperlink ref="B1329" r:id="rId1324"/>
    <hyperlink ref="B1330" r:id="rId1325"/>
    <hyperlink ref="B1331" r:id="rId1326"/>
    <hyperlink ref="B1332" r:id="rId1327"/>
    <hyperlink ref="B1333" r:id="rId1328"/>
    <hyperlink ref="B1334" r:id="rId1329"/>
    <hyperlink ref="B1335" r:id="rId1330"/>
    <hyperlink ref="B1336" r:id="rId1331"/>
    <hyperlink ref="B1337" r:id="rId1332"/>
    <hyperlink ref="B1338" r:id="rId1333"/>
    <hyperlink ref="B1339" r:id="rId1334"/>
    <hyperlink ref="B1340" r:id="rId1335"/>
    <hyperlink ref="B1341" r:id="rId1336"/>
    <hyperlink ref="B1342" r:id="rId1337"/>
    <hyperlink ref="B1343" r:id="rId1338"/>
    <hyperlink ref="B1344" r:id="rId1339"/>
    <hyperlink ref="B1345" r:id="rId1340"/>
    <hyperlink ref="B1346" r:id="rId1341"/>
    <hyperlink ref="B1347" r:id="rId1342"/>
    <hyperlink ref="B1348" r:id="rId1343"/>
    <hyperlink ref="B1349" r:id="rId1344"/>
    <hyperlink ref="B1350" r:id="rId1345"/>
    <hyperlink ref="B1351" r:id="rId1346"/>
    <hyperlink ref="B1352" r:id="rId1347"/>
    <hyperlink ref="B1353" r:id="rId1348"/>
    <hyperlink ref="B1354" r:id="rId1349"/>
    <hyperlink ref="B1355" r:id="rId1350"/>
    <hyperlink ref="B1356" r:id="rId1351"/>
    <hyperlink ref="B1357" r:id="rId1352"/>
    <hyperlink ref="B1358" r:id="rId1353"/>
    <hyperlink ref="B1359" r:id="rId1354"/>
    <hyperlink ref="B1360" r:id="rId1355"/>
    <hyperlink ref="B1361" r:id="rId1356"/>
    <hyperlink ref="B1362" r:id="rId1357"/>
    <hyperlink ref="B1363" r:id="rId1358"/>
    <hyperlink ref="B1364" r:id="rId1359"/>
    <hyperlink ref="B1365" r:id="rId1360"/>
    <hyperlink ref="B1366" r:id="rId1361"/>
    <hyperlink ref="B1367" r:id="rId1362"/>
    <hyperlink ref="B1368" r:id="rId1363"/>
    <hyperlink ref="B1369" r:id="rId1364"/>
    <hyperlink ref="B1370" r:id="rId1365"/>
    <hyperlink ref="B1371" r:id="rId1366"/>
    <hyperlink ref="B1372" r:id="rId1367"/>
    <hyperlink ref="B1373" r:id="rId1368"/>
    <hyperlink ref="B1374" r:id="rId1369"/>
    <hyperlink ref="B1375" r:id="rId1370"/>
    <hyperlink ref="B1376" r:id="rId1371"/>
    <hyperlink ref="B1377" r:id="rId1372"/>
    <hyperlink ref="B1378" r:id="rId1373"/>
    <hyperlink ref="B1379" r:id="rId1374"/>
    <hyperlink ref="B1380" r:id="rId1375"/>
    <hyperlink ref="B1381" r:id="rId1376"/>
    <hyperlink ref="B1382" r:id="rId1377"/>
    <hyperlink ref="B1383" r:id="rId1378"/>
    <hyperlink ref="B1384" r:id="rId1379"/>
    <hyperlink ref="B1385" r:id="rId1380"/>
    <hyperlink ref="B1386" r:id="rId1381"/>
    <hyperlink ref="B1387" r:id="rId1382"/>
    <hyperlink ref="B1388" r:id="rId1383"/>
    <hyperlink ref="B1389" r:id="rId1384"/>
    <hyperlink ref="B1390" r:id="rId1385"/>
    <hyperlink ref="B1391" r:id="rId1386"/>
    <hyperlink ref="B1392" r:id="rId1387"/>
    <hyperlink ref="B1393" r:id="rId1388"/>
    <hyperlink ref="B1394" r:id="rId1389"/>
    <hyperlink ref="B1395" r:id="rId1390"/>
    <hyperlink ref="B1396" r:id="rId1391"/>
    <hyperlink ref="B1397" r:id="rId1392"/>
    <hyperlink ref="B1398" r:id="rId1393"/>
    <hyperlink ref="B1399" r:id="rId1394"/>
    <hyperlink ref="B1400" r:id="rId1395"/>
    <hyperlink ref="B1401" r:id="rId1396"/>
    <hyperlink ref="B1402" r:id="rId1397"/>
    <hyperlink ref="B1403" r:id="rId1398"/>
    <hyperlink ref="B1404" r:id="rId1399"/>
    <hyperlink ref="B1405" r:id="rId1400"/>
    <hyperlink ref="B1406" r:id="rId1401"/>
    <hyperlink ref="B1407" r:id="rId1402"/>
    <hyperlink ref="B1408" r:id="rId1403"/>
    <hyperlink ref="B1409" r:id="rId1404"/>
    <hyperlink ref="B1410" r:id="rId1405"/>
    <hyperlink ref="B1411" r:id="rId1406"/>
    <hyperlink ref="B1412" r:id="rId1407"/>
    <hyperlink ref="B1413" r:id="rId1408"/>
    <hyperlink ref="B1414" r:id="rId1409"/>
    <hyperlink ref="B1415" r:id="rId1410"/>
    <hyperlink ref="B1416" r:id="rId1411"/>
    <hyperlink ref="B1417" r:id="rId1412"/>
    <hyperlink ref="B1418" r:id="rId1413"/>
    <hyperlink ref="B1419" r:id="rId1414"/>
    <hyperlink ref="B1420" r:id="rId1415"/>
    <hyperlink ref="B1421" r:id="rId1416"/>
    <hyperlink ref="B1422" r:id="rId1417"/>
    <hyperlink ref="B1423" r:id="rId1418"/>
    <hyperlink ref="B1424" r:id="rId1419"/>
    <hyperlink ref="B1425" r:id="rId1420"/>
    <hyperlink ref="B1426" r:id="rId1421"/>
    <hyperlink ref="B1427" r:id="rId1422"/>
    <hyperlink ref="B1428" r:id="rId1423"/>
    <hyperlink ref="B1429" r:id="rId1424"/>
    <hyperlink ref="B1430" r:id="rId1425"/>
    <hyperlink ref="B1431" r:id="rId1426"/>
    <hyperlink ref="B1432" r:id="rId1427"/>
    <hyperlink ref="B1433" r:id="rId1428"/>
    <hyperlink ref="B1434" r:id="rId1429"/>
    <hyperlink ref="B1435" r:id="rId1430"/>
    <hyperlink ref="B1436" r:id="rId1431"/>
    <hyperlink ref="B1437" r:id="rId1432"/>
    <hyperlink ref="B1438" r:id="rId1433"/>
    <hyperlink ref="B1439" r:id="rId1434"/>
    <hyperlink ref="B1440" r:id="rId1435"/>
    <hyperlink ref="B1441" r:id="rId1436"/>
    <hyperlink ref="B1442" r:id="rId1437"/>
    <hyperlink ref="B1443" r:id="rId1438"/>
    <hyperlink ref="B1444" r:id="rId1439"/>
    <hyperlink ref="B1445" r:id="rId1440"/>
    <hyperlink ref="B1446" r:id="rId1441"/>
    <hyperlink ref="B1447" r:id="rId1442"/>
    <hyperlink ref="B1448" r:id="rId1443"/>
    <hyperlink ref="B1449" r:id="rId1444"/>
    <hyperlink ref="B1450" r:id="rId1445"/>
    <hyperlink ref="B1451" r:id="rId1446"/>
    <hyperlink ref="B1452" r:id="rId1447"/>
    <hyperlink ref="B1453" r:id="rId1448"/>
    <hyperlink ref="B1454" r:id="rId1449"/>
    <hyperlink ref="B1455" r:id="rId1450"/>
    <hyperlink ref="B1456" r:id="rId1451"/>
    <hyperlink ref="B1457" r:id="rId1452"/>
    <hyperlink ref="B1458" r:id="rId1453"/>
    <hyperlink ref="B1459" r:id="rId1454"/>
    <hyperlink ref="B1460" r:id="rId1455"/>
    <hyperlink ref="B1461" r:id="rId1456"/>
    <hyperlink ref="B1462" r:id="rId1457"/>
    <hyperlink ref="B1463" r:id="rId1458"/>
    <hyperlink ref="B1464" r:id="rId1459"/>
    <hyperlink ref="B1465" r:id="rId1460"/>
    <hyperlink ref="B1466" r:id="rId1461"/>
    <hyperlink ref="B1467" r:id="rId1462"/>
    <hyperlink ref="B1468" r:id="rId1463"/>
    <hyperlink ref="B1469" r:id="rId1464"/>
    <hyperlink ref="B1470" r:id="rId1465"/>
    <hyperlink ref="B1471" r:id="rId1466"/>
    <hyperlink ref="B1472" r:id="rId1467"/>
    <hyperlink ref="B1473" r:id="rId1468"/>
    <hyperlink ref="B1474" r:id="rId1469"/>
    <hyperlink ref="B1475" r:id="rId1470"/>
    <hyperlink ref="B1476" r:id="rId1471"/>
    <hyperlink ref="B1477" r:id="rId1472"/>
    <hyperlink ref="B1478" r:id="rId1473"/>
    <hyperlink ref="B1479" r:id="rId1474"/>
    <hyperlink ref="B1480" r:id="rId1475"/>
    <hyperlink ref="B1481" r:id="rId1476"/>
    <hyperlink ref="B1482" r:id="rId1477"/>
    <hyperlink ref="B1483" r:id="rId1478"/>
    <hyperlink ref="B1484" r:id="rId1479"/>
    <hyperlink ref="B1485" r:id="rId1480"/>
    <hyperlink ref="B1486" r:id="rId1481"/>
    <hyperlink ref="B1487" r:id="rId1482"/>
    <hyperlink ref="B1488" r:id="rId1483"/>
    <hyperlink ref="B1489" r:id="rId1484"/>
    <hyperlink ref="B1490" r:id="rId1485"/>
    <hyperlink ref="B1491" r:id="rId1486"/>
    <hyperlink ref="B1492" r:id="rId1487"/>
    <hyperlink ref="B1493" r:id="rId1488"/>
    <hyperlink ref="B1494" r:id="rId1489"/>
    <hyperlink ref="B1495" r:id="rId1490"/>
    <hyperlink ref="B1496" r:id="rId1491"/>
    <hyperlink ref="B1497" r:id="rId1492"/>
    <hyperlink ref="B1498" r:id="rId1493"/>
    <hyperlink ref="B1499" r:id="rId1494"/>
    <hyperlink ref="B1500" r:id="rId1495"/>
    <hyperlink ref="B1501" r:id="rId1496"/>
    <hyperlink ref="B1502" r:id="rId1497"/>
    <hyperlink ref="B1503" r:id="rId1498"/>
    <hyperlink ref="B1504" r:id="rId1499"/>
    <hyperlink ref="B1505" r:id="rId1500"/>
    <hyperlink ref="B1506" r:id="rId1501"/>
    <hyperlink ref="B1507" r:id="rId1502"/>
    <hyperlink ref="B1508" r:id="rId1503"/>
    <hyperlink ref="B1509" r:id="rId1504"/>
    <hyperlink ref="B1510" r:id="rId1505"/>
    <hyperlink ref="B1511" r:id="rId1506"/>
    <hyperlink ref="B1512" r:id="rId1507"/>
    <hyperlink ref="B1513" r:id="rId1508"/>
    <hyperlink ref="B1514" r:id="rId1509"/>
    <hyperlink ref="B1515" r:id="rId1510"/>
    <hyperlink ref="B1516" r:id="rId1511"/>
    <hyperlink ref="B1517" r:id="rId1512"/>
    <hyperlink ref="B1518" r:id="rId1513"/>
    <hyperlink ref="B1519" r:id="rId1514"/>
    <hyperlink ref="B1520" r:id="rId1515"/>
    <hyperlink ref="B1521" r:id="rId1516"/>
    <hyperlink ref="B1522" r:id="rId1517"/>
    <hyperlink ref="B1523" r:id="rId1518"/>
    <hyperlink ref="B1524" r:id="rId1519"/>
    <hyperlink ref="B1525" r:id="rId1520"/>
    <hyperlink ref="B1526" r:id="rId1521"/>
    <hyperlink ref="B1527" r:id="rId1522"/>
    <hyperlink ref="B1528" r:id="rId1523"/>
    <hyperlink ref="B1529" r:id="rId1524"/>
    <hyperlink ref="B1530" r:id="rId1525"/>
    <hyperlink ref="B1532" r:id="rId1526"/>
    <hyperlink ref="B1533" r:id="rId1527"/>
    <hyperlink ref="B1534" r:id="rId1528"/>
    <hyperlink ref="B1535" r:id="rId1529"/>
    <hyperlink ref="B1536" r:id="rId1530"/>
    <hyperlink ref="B1537" r:id="rId1531"/>
    <hyperlink ref="B1538" r:id="rId1532"/>
    <hyperlink ref="B1539" r:id="rId1533"/>
    <hyperlink ref="B1540" r:id="rId1534"/>
    <hyperlink ref="B1541" r:id="rId1535"/>
    <hyperlink ref="B1542" r:id="rId1536"/>
    <hyperlink ref="B1543" r:id="rId1537"/>
    <hyperlink ref="B1544" r:id="rId1538"/>
    <hyperlink ref="B1545" r:id="rId1539"/>
    <hyperlink ref="B1546" r:id="rId1540"/>
    <hyperlink ref="B1547" r:id="rId1541"/>
    <hyperlink ref="B1548" r:id="rId1542"/>
    <hyperlink ref="B1549" r:id="rId1543"/>
    <hyperlink ref="B1550" r:id="rId1544"/>
    <hyperlink ref="B1551" r:id="rId1545"/>
    <hyperlink ref="B1552" r:id="rId1546"/>
    <hyperlink ref="B1553" r:id="rId1547"/>
    <hyperlink ref="B1554" r:id="rId1548"/>
    <hyperlink ref="B1555" r:id="rId1549"/>
    <hyperlink ref="B1556" r:id="rId1550"/>
    <hyperlink ref="B1557" r:id="rId1551"/>
    <hyperlink ref="B1558" r:id="rId1552"/>
    <hyperlink ref="B1559" r:id="rId1553"/>
    <hyperlink ref="B1560" r:id="rId1554"/>
    <hyperlink ref="B1561" r:id="rId1555"/>
    <hyperlink ref="B1562" r:id="rId1556"/>
    <hyperlink ref="B1563" r:id="rId1557"/>
    <hyperlink ref="B1564" r:id="rId1558"/>
    <hyperlink ref="B1565" r:id="rId1559"/>
    <hyperlink ref="B1566" r:id="rId1560"/>
    <hyperlink ref="B1567" r:id="rId1561"/>
    <hyperlink ref="B1568" r:id="rId1562"/>
    <hyperlink ref="B1569" r:id="rId1563"/>
    <hyperlink ref="B1570" r:id="rId1564"/>
    <hyperlink ref="B1571" r:id="rId1565"/>
    <hyperlink ref="B1572" r:id="rId1566"/>
    <hyperlink ref="B1573" r:id="rId1567"/>
    <hyperlink ref="B1574" r:id="rId1568"/>
    <hyperlink ref="B1575" r:id="rId1569"/>
    <hyperlink ref="B1576" r:id="rId1570"/>
    <hyperlink ref="B1577" r:id="rId1571"/>
    <hyperlink ref="B1578" r:id="rId1572"/>
    <hyperlink ref="B1579" r:id="rId1573"/>
    <hyperlink ref="B1580" r:id="rId1574"/>
    <hyperlink ref="B1581" r:id="rId1575"/>
    <hyperlink ref="B1582" r:id="rId1576"/>
    <hyperlink ref="B1583" r:id="rId1577"/>
    <hyperlink ref="B1584" r:id="rId1578"/>
    <hyperlink ref="B1585" r:id="rId1579"/>
    <hyperlink ref="B1586" r:id="rId1580"/>
    <hyperlink ref="B1587" r:id="rId1581"/>
    <hyperlink ref="B1588" r:id="rId1582"/>
    <hyperlink ref="B1589" r:id="rId1583"/>
    <hyperlink ref="B1590" r:id="rId1584"/>
    <hyperlink ref="B1591" r:id="rId1585"/>
    <hyperlink ref="B1592" r:id="rId1586"/>
    <hyperlink ref="B1593" r:id="rId1587"/>
    <hyperlink ref="B1594" r:id="rId1588"/>
    <hyperlink ref="B1595" r:id="rId1589"/>
    <hyperlink ref="B1596" r:id="rId1590"/>
    <hyperlink ref="B1597" r:id="rId1591"/>
    <hyperlink ref="B1598" r:id="rId1592"/>
    <hyperlink ref="B1599" r:id="rId1593"/>
    <hyperlink ref="B1600" r:id="rId1594"/>
    <hyperlink ref="B1601" r:id="rId1595"/>
    <hyperlink ref="B1602" r:id="rId1596"/>
    <hyperlink ref="B1603" r:id="rId1597"/>
    <hyperlink ref="B1604" r:id="rId1598"/>
    <hyperlink ref="B1605" r:id="rId1599"/>
    <hyperlink ref="B1607" r:id="rId1600"/>
    <hyperlink ref="B1608" r:id="rId1601"/>
    <hyperlink ref="B1609" r:id="rId1602"/>
    <hyperlink ref="B1610" r:id="rId1603"/>
    <hyperlink ref="B1611" r:id="rId1604"/>
    <hyperlink ref="B1612" r:id="rId1605"/>
    <hyperlink ref="B1613" r:id="rId1606"/>
    <hyperlink ref="B1614" r:id="rId1607"/>
    <hyperlink ref="B1615" r:id="rId1608"/>
    <hyperlink ref="B1616" r:id="rId1609"/>
    <hyperlink ref="B1617" r:id="rId1610"/>
    <hyperlink ref="B1618" r:id="rId1611"/>
    <hyperlink ref="B1619" r:id="rId1612"/>
    <hyperlink ref="B1620" r:id="rId1613"/>
    <hyperlink ref="B1621" r:id="rId1614"/>
    <hyperlink ref="B1622" r:id="rId1615"/>
    <hyperlink ref="B1623" r:id="rId1616"/>
    <hyperlink ref="B1624" r:id="rId1617"/>
    <hyperlink ref="B1625" r:id="rId1618"/>
    <hyperlink ref="B1626" r:id="rId1619"/>
    <hyperlink ref="B1627" r:id="rId1620"/>
    <hyperlink ref="B1628" r:id="rId1621"/>
    <hyperlink ref="B1629" r:id="rId1622"/>
    <hyperlink ref="B1630" r:id="rId1623"/>
    <hyperlink ref="B1631" r:id="rId1624"/>
    <hyperlink ref="B1632" r:id="rId1625"/>
    <hyperlink ref="B1633" r:id="rId1626"/>
    <hyperlink ref="B1634" r:id="rId1627"/>
    <hyperlink ref="B1635" r:id="rId1628"/>
    <hyperlink ref="B1636" r:id="rId1629"/>
    <hyperlink ref="B1637" r:id="rId1630"/>
    <hyperlink ref="B1638" r:id="rId1631"/>
    <hyperlink ref="B1639" r:id="rId1632"/>
    <hyperlink ref="B1640" r:id="rId1633"/>
    <hyperlink ref="B1641" r:id="rId1634"/>
    <hyperlink ref="B1642" r:id="rId1635"/>
    <hyperlink ref="B1643" r:id="rId1636"/>
    <hyperlink ref="B1644" r:id="rId1637"/>
    <hyperlink ref="B1645" r:id="rId1638"/>
    <hyperlink ref="B1646" r:id="rId1639"/>
    <hyperlink ref="B1647" r:id="rId1640"/>
    <hyperlink ref="B1648" r:id="rId1641"/>
    <hyperlink ref="B1649" r:id="rId1642"/>
    <hyperlink ref="B1650" r:id="rId1643"/>
    <hyperlink ref="B1651" r:id="rId1644"/>
    <hyperlink ref="B1652" r:id="rId1645"/>
    <hyperlink ref="B1653" r:id="rId1646"/>
    <hyperlink ref="B1654" r:id="rId1647"/>
    <hyperlink ref="B1655" r:id="rId1648"/>
    <hyperlink ref="B1656" r:id="rId1649"/>
    <hyperlink ref="B1657" r:id="rId1650"/>
    <hyperlink ref="B1658" r:id="rId1651"/>
    <hyperlink ref="B1659" r:id="rId1652"/>
    <hyperlink ref="B1660" r:id="rId1653"/>
    <hyperlink ref="B1661" r:id="rId1654"/>
    <hyperlink ref="B1662" r:id="rId1655"/>
    <hyperlink ref="B1663" r:id="rId1656"/>
    <hyperlink ref="B1664" r:id="rId1657"/>
    <hyperlink ref="B1665" r:id="rId1658"/>
    <hyperlink ref="B1666" r:id="rId1659"/>
    <hyperlink ref="B1667" r:id="rId1660"/>
    <hyperlink ref="B1668" r:id="rId1661"/>
    <hyperlink ref="B1669" r:id="rId1662"/>
    <hyperlink ref="B1670" r:id="rId1663"/>
    <hyperlink ref="B1671" r:id="rId1664"/>
    <hyperlink ref="B1672" r:id="rId1665"/>
    <hyperlink ref="B1673" r:id="rId1666"/>
    <hyperlink ref="B1674" r:id="rId1667"/>
    <hyperlink ref="B1675" r:id="rId1668"/>
    <hyperlink ref="B1676" r:id="rId1669"/>
    <hyperlink ref="B1677" r:id="rId1670"/>
    <hyperlink ref="B1678" r:id="rId1671"/>
    <hyperlink ref="B1679" r:id="rId1672"/>
    <hyperlink ref="B1680" r:id="rId1673"/>
    <hyperlink ref="B1681" r:id="rId1674"/>
    <hyperlink ref="B1682" r:id="rId1675"/>
    <hyperlink ref="B1683" r:id="rId1676"/>
    <hyperlink ref="B1684" r:id="rId1677"/>
    <hyperlink ref="B1685" r:id="rId1678"/>
    <hyperlink ref="B1686" r:id="rId1679"/>
    <hyperlink ref="B1687" r:id="rId1680"/>
    <hyperlink ref="B1688" r:id="rId1681"/>
    <hyperlink ref="B1689" r:id="rId1682"/>
    <hyperlink ref="B1690" r:id="rId1683"/>
    <hyperlink ref="B1691" r:id="rId1684"/>
    <hyperlink ref="B1692" r:id="rId1685"/>
    <hyperlink ref="B1693" r:id="rId1686"/>
    <hyperlink ref="B1694" r:id="rId1687"/>
    <hyperlink ref="B1695" r:id="rId1688"/>
    <hyperlink ref="B1696" r:id="rId1689"/>
    <hyperlink ref="B1697" r:id="rId1690"/>
    <hyperlink ref="B1698" r:id="rId1691"/>
    <hyperlink ref="B1699" r:id="rId1692"/>
    <hyperlink ref="B1700" r:id="rId1693"/>
    <hyperlink ref="B1701" r:id="rId1694"/>
    <hyperlink ref="B1702" r:id="rId1695"/>
    <hyperlink ref="B1703" r:id="rId1696"/>
    <hyperlink ref="B1704" r:id="rId1697"/>
    <hyperlink ref="B1705" r:id="rId1698"/>
    <hyperlink ref="B1706" r:id="rId1699"/>
    <hyperlink ref="B1707" r:id="rId1700"/>
    <hyperlink ref="B1708" r:id="rId1701"/>
    <hyperlink ref="B1709" r:id="rId1702"/>
    <hyperlink ref="B1710" r:id="rId1703"/>
    <hyperlink ref="B1711" r:id="rId1704"/>
    <hyperlink ref="B1712" r:id="rId1705"/>
    <hyperlink ref="B1713" r:id="rId1706"/>
    <hyperlink ref="B1714" r:id="rId1707"/>
    <hyperlink ref="B1715" r:id="rId1708"/>
    <hyperlink ref="B1716" r:id="rId1709"/>
    <hyperlink ref="B1717" r:id="rId1710"/>
    <hyperlink ref="B1718" r:id="rId1711"/>
    <hyperlink ref="B1719" r:id="rId1712"/>
    <hyperlink ref="B1720" r:id="rId1713"/>
    <hyperlink ref="B1721" r:id="rId1714"/>
    <hyperlink ref="B1722" r:id="rId1715"/>
    <hyperlink ref="B1723" r:id="rId1716"/>
    <hyperlink ref="B1724" r:id="rId1717"/>
    <hyperlink ref="B1725" r:id="rId1718"/>
    <hyperlink ref="B1726" r:id="rId1719"/>
    <hyperlink ref="B1727" r:id="rId1720"/>
    <hyperlink ref="B1728" r:id="rId1721"/>
    <hyperlink ref="B1729" r:id="rId1722"/>
    <hyperlink ref="B1730" r:id="rId1723"/>
    <hyperlink ref="B1731" r:id="rId1724"/>
    <hyperlink ref="B1732" r:id="rId1725"/>
    <hyperlink ref="B1733" r:id="rId1726"/>
    <hyperlink ref="B1734" r:id="rId1727"/>
    <hyperlink ref="B1735" r:id="rId1728"/>
    <hyperlink ref="B1736" r:id="rId1729"/>
    <hyperlink ref="B1737" r:id="rId1730"/>
    <hyperlink ref="B1738" r:id="rId1731"/>
    <hyperlink ref="B1739" r:id="rId1732"/>
    <hyperlink ref="B1740" r:id="rId1733"/>
    <hyperlink ref="B1741" r:id="rId1734"/>
    <hyperlink ref="B1742" r:id="rId1735"/>
    <hyperlink ref="B1743" r:id="rId1736"/>
    <hyperlink ref="B1744" r:id="rId1737"/>
    <hyperlink ref="B1745" r:id="rId1738"/>
    <hyperlink ref="B1746" r:id="rId1739"/>
    <hyperlink ref="B1747" r:id="rId1740"/>
    <hyperlink ref="B1748" r:id="rId1741"/>
    <hyperlink ref="B1749" r:id="rId1742"/>
    <hyperlink ref="B1750" r:id="rId1743"/>
    <hyperlink ref="B1751" r:id="rId1744"/>
    <hyperlink ref="B1752" r:id="rId1745"/>
    <hyperlink ref="B1753" r:id="rId1746"/>
    <hyperlink ref="B1754" r:id="rId1747"/>
    <hyperlink ref="B1755" r:id="rId1748"/>
    <hyperlink ref="B1756" r:id="rId1749"/>
    <hyperlink ref="B1757" r:id="rId1750"/>
    <hyperlink ref="B1758" r:id="rId1751"/>
    <hyperlink ref="B1759" r:id="rId1752"/>
    <hyperlink ref="B1760" r:id="rId1753"/>
    <hyperlink ref="B1761" r:id="rId1754"/>
    <hyperlink ref="B1762" r:id="rId1755"/>
    <hyperlink ref="B1763" r:id="rId1756"/>
    <hyperlink ref="B1764" r:id="rId1757"/>
    <hyperlink ref="B1765" r:id="rId1758"/>
    <hyperlink ref="B1766" r:id="rId1759"/>
    <hyperlink ref="B1767" r:id="rId1760"/>
    <hyperlink ref="B1768" r:id="rId1761"/>
    <hyperlink ref="B1769" r:id="rId1762"/>
    <hyperlink ref="B1770" r:id="rId1763"/>
    <hyperlink ref="B1771" r:id="rId1764"/>
    <hyperlink ref="B1772" r:id="rId1765"/>
    <hyperlink ref="B1773" r:id="rId1766"/>
    <hyperlink ref="B1774" r:id="rId1767"/>
    <hyperlink ref="B1775" r:id="rId1768"/>
    <hyperlink ref="B1776" r:id="rId1769"/>
    <hyperlink ref="B1777" r:id="rId1770"/>
    <hyperlink ref="B1778" r:id="rId1771"/>
    <hyperlink ref="B1779" r:id="rId1772"/>
    <hyperlink ref="B1780" r:id="rId1773"/>
    <hyperlink ref="B1781" r:id="rId1774"/>
    <hyperlink ref="B1782" r:id="rId1775"/>
    <hyperlink ref="B1783" r:id="rId1776"/>
    <hyperlink ref="B1784" r:id="rId1777"/>
    <hyperlink ref="B1785" r:id="rId1778"/>
    <hyperlink ref="B1786" r:id="rId1779"/>
    <hyperlink ref="B1787" r:id="rId1780"/>
    <hyperlink ref="B1788" r:id="rId1781"/>
    <hyperlink ref="B1789" r:id="rId1782"/>
    <hyperlink ref="B1790" r:id="rId1783"/>
    <hyperlink ref="B1791" r:id="rId1784"/>
    <hyperlink ref="B1792" r:id="rId1785"/>
    <hyperlink ref="B1793" r:id="rId1786"/>
    <hyperlink ref="B1794" r:id="rId1787"/>
    <hyperlink ref="B1795" r:id="rId1788"/>
    <hyperlink ref="B1796" r:id="rId1789"/>
    <hyperlink ref="B1797" r:id="rId1790"/>
    <hyperlink ref="B1798" r:id="rId1791"/>
    <hyperlink ref="B1799" r:id="rId1792"/>
    <hyperlink ref="B1800" r:id="rId1793"/>
    <hyperlink ref="B1801" r:id="rId1794"/>
    <hyperlink ref="B1802" r:id="rId1795"/>
    <hyperlink ref="B1803" r:id="rId1796"/>
    <hyperlink ref="B1804" r:id="rId1797"/>
    <hyperlink ref="B1805" r:id="rId1798"/>
    <hyperlink ref="B1806" r:id="rId1799"/>
    <hyperlink ref="B1807" r:id="rId1800"/>
    <hyperlink ref="B1808" r:id="rId1801"/>
    <hyperlink ref="B1809" r:id="rId1802"/>
    <hyperlink ref="B1810" r:id="rId1803"/>
    <hyperlink ref="B1811" r:id="rId1804"/>
    <hyperlink ref="B1812" r:id="rId1805"/>
    <hyperlink ref="B1813" r:id="rId1806"/>
    <hyperlink ref="B1814" r:id="rId1807"/>
    <hyperlink ref="B1815" r:id="rId1808"/>
    <hyperlink ref="B1816" r:id="rId1809"/>
    <hyperlink ref="B1817" r:id="rId1810"/>
    <hyperlink ref="B1818" r:id="rId1811"/>
    <hyperlink ref="B1819" r:id="rId1812"/>
    <hyperlink ref="B1820" r:id="rId1813"/>
    <hyperlink ref="B1821" r:id="rId1814"/>
    <hyperlink ref="B1822" r:id="rId1815"/>
    <hyperlink ref="B1823" r:id="rId1816"/>
    <hyperlink ref="B1824" r:id="rId1817"/>
    <hyperlink ref="B1825" r:id="rId1818"/>
    <hyperlink ref="B1826" r:id="rId1819"/>
    <hyperlink ref="B1827" r:id="rId1820"/>
    <hyperlink ref="B1828" r:id="rId1821"/>
    <hyperlink ref="B1829" r:id="rId1822"/>
    <hyperlink ref="B1830" r:id="rId1823"/>
    <hyperlink ref="B1831" r:id="rId1824"/>
    <hyperlink ref="B1832" r:id="rId1825"/>
    <hyperlink ref="B1833" r:id="rId1826"/>
    <hyperlink ref="B1834" r:id="rId1827"/>
    <hyperlink ref="B1835" r:id="rId1828"/>
    <hyperlink ref="B1836" r:id="rId1829"/>
    <hyperlink ref="B1837" r:id="rId1830"/>
    <hyperlink ref="B1838" r:id="rId1831"/>
    <hyperlink ref="B1839" r:id="rId1832"/>
    <hyperlink ref="B1840" r:id="rId1833"/>
    <hyperlink ref="B1841" r:id="rId1834"/>
    <hyperlink ref="B1842" r:id="rId1835"/>
    <hyperlink ref="B1843" r:id="rId1836"/>
    <hyperlink ref="B1844" r:id="rId1837"/>
    <hyperlink ref="B1845" r:id="rId1838"/>
    <hyperlink ref="B1846" r:id="rId1839"/>
    <hyperlink ref="B1847" r:id="rId1840"/>
    <hyperlink ref="B1848" r:id="rId1841"/>
    <hyperlink ref="B1849" r:id="rId1842"/>
    <hyperlink ref="B1850" r:id="rId1843"/>
    <hyperlink ref="B1851" r:id="rId1844"/>
    <hyperlink ref="B1852" r:id="rId1845"/>
    <hyperlink ref="B1853" r:id="rId1846"/>
    <hyperlink ref="B1854" r:id="rId1847"/>
    <hyperlink ref="B1855" r:id="rId1848"/>
    <hyperlink ref="B1856" r:id="rId1849"/>
    <hyperlink ref="B1857" r:id="rId1850"/>
    <hyperlink ref="B1858" r:id="rId1851"/>
    <hyperlink ref="B1859" r:id="rId1852"/>
    <hyperlink ref="B1860" r:id="rId1853"/>
    <hyperlink ref="B1861" r:id="rId1854"/>
    <hyperlink ref="B1862" r:id="rId1855"/>
    <hyperlink ref="B1863" r:id="rId1856"/>
    <hyperlink ref="B1864" r:id="rId1857"/>
    <hyperlink ref="B1865" r:id="rId1858"/>
    <hyperlink ref="B1866" r:id="rId1859"/>
    <hyperlink ref="B1867" r:id="rId1860"/>
    <hyperlink ref="B1868" r:id="rId1861"/>
    <hyperlink ref="B1869" r:id="rId1862"/>
    <hyperlink ref="B1870" r:id="rId1863"/>
    <hyperlink ref="B1871" r:id="rId1864"/>
    <hyperlink ref="B1872" r:id="rId1865"/>
    <hyperlink ref="B1873" r:id="rId1866"/>
    <hyperlink ref="B1874" r:id="rId1867"/>
    <hyperlink ref="B1875" r:id="rId1868"/>
    <hyperlink ref="B1876" r:id="rId1869"/>
    <hyperlink ref="B1877" r:id="rId1870"/>
    <hyperlink ref="B1878" r:id="rId1871"/>
    <hyperlink ref="B1879" r:id="rId1872"/>
    <hyperlink ref="B1880" r:id="rId1873"/>
    <hyperlink ref="B1881" r:id="rId1874"/>
    <hyperlink ref="B1882" r:id="rId1875"/>
    <hyperlink ref="B1883" r:id="rId1876"/>
    <hyperlink ref="B1884" r:id="rId1877"/>
    <hyperlink ref="B1885" r:id="rId1878"/>
    <hyperlink ref="B1886" r:id="rId1879"/>
    <hyperlink ref="B1887" r:id="rId1880"/>
    <hyperlink ref="B1888" r:id="rId1881"/>
    <hyperlink ref="B1889" r:id="rId1882"/>
    <hyperlink ref="B1890" r:id="rId1883"/>
    <hyperlink ref="B1891" r:id="rId1884"/>
    <hyperlink ref="B1892" r:id="rId1885"/>
    <hyperlink ref="B1893" r:id="rId1886"/>
    <hyperlink ref="B1894" r:id="rId1887"/>
    <hyperlink ref="B1895" r:id="rId1888"/>
    <hyperlink ref="B1896" r:id="rId1889"/>
    <hyperlink ref="B1897" r:id="rId1890"/>
    <hyperlink ref="B1898" r:id="rId1891"/>
    <hyperlink ref="B1899" r:id="rId1892"/>
    <hyperlink ref="B1900" r:id="rId1893"/>
    <hyperlink ref="B1901" r:id="rId1894"/>
    <hyperlink ref="B1902" r:id="rId1895"/>
    <hyperlink ref="B1903" r:id="rId1896"/>
    <hyperlink ref="B1904" r:id="rId1897"/>
    <hyperlink ref="B1905" r:id="rId1898"/>
    <hyperlink ref="B1906" r:id="rId1899"/>
    <hyperlink ref="B1907" r:id="rId1900"/>
    <hyperlink ref="B1908" r:id="rId1901"/>
    <hyperlink ref="B1909" r:id="rId1902"/>
    <hyperlink ref="B1910" r:id="rId1903"/>
    <hyperlink ref="B1911" r:id="rId1904"/>
    <hyperlink ref="B1912" r:id="rId1905"/>
    <hyperlink ref="B1913" r:id="rId1906"/>
    <hyperlink ref="B1914" r:id="rId1907"/>
    <hyperlink ref="B1915" r:id="rId1908"/>
    <hyperlink ref="B1916" r:id="rId1909"/>
    <hyperlink ref="B1917" r:id="rId1910"/>
    <hyperlink ref="B1918" r:id="rId1911"/>
    <hyperlink ref="B1919" r:id="rId1912"/>
    <hyperlink ref="B1920" r:id="rId1913"/>
    <hyperlink ref="B1921" r:id="rId1914"/>
    <hyperlink ref="B1922" r:id="rId1915"/>
    <hyperlink ref="B1923" r:id="rId1916"/>
    <hyperlink ref="B1924" r:id="rId1917"/>
    <hyperlink ref="B1925" r:id="rId1918"/>
    <hyperlink ref="B1926" r:id="rId1919"/>
    <hyperlink ref="B1927" r:id="rId1920"/>
    <hyperlink ref="B1928" r:id="rId1921"/>
    <hyperlink ref="B1929" r:id="rId1922"/>
    <hyperlink ref="B1930" r:id="rId1923"/>
    <hyperlink ref="B1931" r:id="rId1924"/>
    <hyperlink ref="B1932" r:id="rId1925"/>
    <hyperlink ref="B1933" r:id="rId1926"/>
    <hyperlink ref="B1934" r:id="rId1927"/>
    <hyperlink ref="B1935" r:id="rId1928"/>
    <hyperlink ref="B1936" r:id="rId1929"/>
    <hyperlink ref="B1937" r:id="rId1930"/>
    <hyperlink ref="B1938" r:id="rId1931"/>
    <hyperlink ref="B1939" r:id="rId1932"/>
    <hyperlink ref="B1940" r:id="rId1933"/>
    <hyperlink ref="B1941" r:id="rId1934"/>
    <hyperlink ref="B1942" r:id="rId1935"/>
    <hyperlink ref="B1943" r:id="rId1936"/>
    <hyperlink ref="B1944" r:id="rId1937"/>
    <hyperlink ref="B1945" r:id="rId1938"/>
    <hyperlink ref="B1946" r:id="rId1939"/>
    <hyperlink ref="B1947" r:id="rId1940"/>
    <hyperlink ref="B1948" r:id="rId1941"/>
    <hyperlink ref="B1949" r:id="rId1942"/>
    <hyperlink ref="B1950" r:id="rId1943"/>
    <hyperlink ref="B1951" r:id="rId1944"/>
    <hyperlink ref="B1952" r:id="rId1945"/>
    <hyperlink ref="B1953" r:id="rId1946"/>
    <hyperlink ref="B1954" r:id="rId1947"/>
    <hyperlink ref="B1955" r:id="rId1948"/>
    <hyperlink ref="B1956" r:id="rId1949"/>
    <hyperlink ref="B1957" r:id="rId1950"/>
    <hyperlink ref="B1958" r:id="rId1951"/>
    <hyperlink ref="B1959" r:id="rId1952"/>
    <hyperlink ref="B1960" r:id="rId1953"/>
    <hyperlink ref="B1961" r:id="rId1954"/>
    <hyperlink ref="B1962" r:id="rId1955"/>
    <hyperlink ref="B1963" r:id="rId1956"/>
    <hyperlink ref="B1964" r:id="rId1957"/>
    <hyperlink ref="B1965" r:id="rId1958"/>
    <hyperlink ref="B1966" r:id="rId1959"/>
    <hyperlink ref="B1967" r:id="rId1960"/>
    <hyperlink ref="B1968" r:id="rId1961"/>
    <hyperlink ref="B1969" r:id="rId1962"/>
    <hyperlink ref="B1970" r:id="rId1963"/>
    <hyperlink ref="B1971" r:id="rId1964"/>
    <hyperlink ref="B1972" r:id="rId1965"/>
    <hyperlink ref="B1973" r:id="rId1966"/>
    <hyperlink ref="B1974" r:id="rId1967"/>
    <hyperlink ref="B1975" r:id="rId1968"/>
    <hyperlink ref="B1976" r:id="rId1969"/>
    <hyperlink ref="B1977" r:id="rId1970"/>
    <hyperlink ref="B1978" r:id="rId1971"/>
    <hyperlink ref="B1979" r:id="rId1972"/>
    <hyperlink ref="B1980" r:id="rId1973"/>
    <hyperlink ref="B1981" r:id="rId1974"/>
    <hyperlink ref="B1982" r:id="rId1975"/>
    <hyperlink ref="B1983" r:id="rId1976"/>
    <hyperlink ref="B1984" r:id="rId1977"/>
    <hyperlink ref="B1985" r:id="rId1978"/>
    <hyperlink ref="B1986" r:id="rId1979"/>
    <hyperlink ref="B1987" r:id="rId1980"/>
    <hyperlink ref="B1988" r:id="rId1981"/>
    <hyperlink ref="B1989" r:id="rId1982"/>
    <hyperlink ref="B1990" r:id="rId1983"/>
    <hyperlink ref="B1991" r:id="rId1984"/>
    <hyperlink ref="B1992" r:id="rId1985"/>
    <hyperlink ref="B1993" r:id="rId1986"/>
    <hyperlink ref="B1994" r:id="rId1987"/>
    <hyperlink ref="B1995" r:id="rId1988"/>
    <hyperlink ref="B1996" r:id="rId1989"/>
    <hyperlink ref="B1997" r:id="rId1990"/>
    <hyperlink ref="B1998" r:id="rId1991"/>
    <hyperlink ref="B1999" r:id="rId1992"/>
    <hyperlink ref="B2000" r:id="rId1993"/>
    <hyperlink ref="B2001" r:id="rId1994"/>
    <hyperlink ref="B2002" r:id="rId1995"/>
    <hyperlink ref="B2003" r:id="rId1996"/>
    <hyperlink ref="B2004" r:id="rId1997"/>
    <hyperlink ref="B2005" r:id="rId1998"/>
    <hyperlink ref="B2006" r:id="rId1999"/>
    <hyperlink ref="B2007" r:id="rId2000"/>
    <hyperlink ref="B2008" r:id="rId2001"/>
    <hyperlink ref="B2009" r:id="rId2002"/>
    <hyperlink ref="B2010" r:id="rId2003"/>
    <hyperlink ref="B2011" r:id="rId2004"/>
    <hyperlink ref="B2012" r:id="rId2005"/>
    <hyperlink ref="B2013" r:id="rId2006"/>
    <hyperlink ref="B2014" r:id="rId2007"/>
    <hyperlink ref="B2015" r:id="rId2008"/>
    <hyperlink ref="B2016" r:id="rId2009"/>
    <hyperlink ref="B2017" r:id="rId2010"/>
    <hyperlink ref="B2018" r:id="rId2011"/>
    <hyperlink ref="B2019" r:id="rId2012"/>
    <hyperlink ref="B2020" r:id="rId2013"/>
    <hyperlink ref="B2021" r:id="rId2014"/>
    <hyperlink ref="B2022" r:id="rId2015"/>
    <hyperlink ref="B2023" r:id="rId2016"/>
    <hyperlink ref="B2024" r:id="rId2017"/>
    <hyperlink ref="B2025" r:id="rId2018"/>
    <hyperlink ref="B2026" r:id="rId2019"/>
    <hyperlink ref="B2027" r:id="rId2020"/>
    <hyperlink ref="B2028" r:id="rId2021"/>
    <hyperlink ref="B2029" r:id="rId2022"/>
    <hyperlink ref="B2030" r:id="rId2023"/>
    <hyperlink ref="B2031" r:id="rId2024"/>
    <hyperlink ref="B2032" r:id="rId2025"/>
    <hyperlink ref="B2033" r:id="rId2026"/>
    <hyperlink ref="B2034" r:id="rId2027"/>
    <hyperlink ref="B2035" r:id="rId2028"/>
    <hyperlink ref="B2036" r:id="rId2029"/>
    <hyperlink ref="B2037" r:id="rId2030"/>
    <hyperlink ref="B2038" r:id="rId2031"/>
    <hyperlink ref="B2039" r:id="rId2032"/>
    <hyperlink ref="B2040" r:id="rId2033"/>
    <hyperlink ref="B2041" r:id="rId2034"/>
    <hyperlink ref="B2042" r:id="rId2035"/>
    <hyperlink ref="B2043" r:id="rId2036"/>
    <hyperlink ref="B2044" r:id="rId2037"/>
    <hyperlink ref="B2045" r:id="rId2038"/>
    <hyperlink ref="B2046" r:id="rId2039"/>
    <hyperlink ref="B2047" r:id="rId2040"/>
    <hyperlink ref="B2048" r:id="rId2041"/>
    <hyperlink ref="B2049" r:id="rId2042"/>
    <hyperlink ref="B2050" r:id="rId2043"/>
    <hyperlink ref="B2051" r:id="rId2044"/>
    <hyperlink ref="B2052" r:id="rId2045"/>
    <hyperlink ref="B2053" r:id="rId2046"/>
    <hyperlink ref="B2054" r:id="rId2047"/>
    <hyperlink ref="B2055" r:id="rId2048"/>
    <hyperlink ref="B2056" r:id="rId2049"/>
    <hyperlink ref="B2057" r:id="rId2050"/>
    <hyperlink ref="B2058" r:id="rId2051"/>
    <hyperlink ref="B2059" r:id="rId2052"/>
    <hyperlink ref="B2060" r:id="rId2053"/>
    <hyperlink ref="B2061" r:id="rId2054"/>
    <hyperlink ref="B2062" r:id="rId2055"/>
    <hyperlink ref="B2063" r:id="rId2056"/>
    <hyperlink ref="B2064" r:id="rId2057"/>
    <hyperlink ref="B2065" r:id="rId2058"/>
    <hyperlink ref="B2066" r:id="rId2059"/>
    <hyperlink ref="B2067" r:id="rId2060"/>
    <hyperlink ref="B2068" r:id="rId2061"/>
    <hyperlink ref="B2069" r:id="rId2062"/>
    <hyperlink ref="B2070" r:id="rId2063"/>
    <hyperlink ref="B2071" r:id="rId2064"/>
    <hyperlink ref="B2072" r:id="rId2065"/>
    <hyperlink ref="B2073" r:id="rId2066"/>
    <hyperlink ref="B2074" r:id="rId2067"/>
    <hyperlink ref="B2075" r:id="rId2068"/>
    <hyperlink ref="B2076" r:id="rId2069"/>
    <hyperlink ref="B2077" r:id="rId2070"/>
    <hyperlink ref="B2078" r:id="rId2071"/>
    <hyperlink ref="B2079" r:id="rId2072"/>
    <hyperlink ref="B2080" r:id="rId2073"/>
    <hyperlink ref="B2081" r:id="rId2074"/>
    <hyperlink ref="B2082" r:id="rId2075"/>
    <hyperlink ref="B2083" r:id="rId2076"/>
    <hyperlink ref="B2084" r:id="rId2077"/>
    <hyperlink ref="B2085" r:id="rId2078"/>
    <hyperlink ref="B2086" r:id="rId2079"/>
    <hyperlink ref="B2087" r:id="rId2080"/>
    <hyperlink ref="B2088" r:id="rId2081"/>
    <hyperlink ref="B2089" r:id="rId2082"/>
    <hyperlink ref="B2090" r:id="rId2083"/>
    <hyperlink ref="B2091" r:id="rId2084"/>
    <hyperlink ref="B2092" r:id="rId2085"/>
    <hyperlink ref="B2093" r:id="rId2086"/>
    <hyperlink ref="B2095" r:id="rId2087"/>
    <hyperlink ref="B2096" r:id="rId2088"/>
    <hyperlink ref="B2097" r:id="rId2089"/>
    <hyperlink ref="B2098" r:id="rId2090"/>
    <hyperlink ref="B2099" r:id="rId2091"/>
    <hyperlink ref="B2100" r:id="rId2092"/>
    <hyperlink ref="B2101" r:id="rId2093"/>
    <hyperlink ref="B2102" r:id="rId2094"/>
    <hyperlink ref="B2103" r:id="rId2095"/>
    <hyperlink ref="B2104" r:id="rId2096"/>
    <hyperlink ref="B2105" r:id="rId2097"/>
    <hyperlink ref="B2106" r:id="rId2098"/>
    <hyperlink ref="B2107" r:id="rId2099"/>
    <hyperlink ref="B2108" r:id="rId2100"/>
    <hyperlink ref="B2109" r:id="rId2101"/>
    <hyperlink ref="B2110" r:id="rId2102"/>
    <hyperlink ref="B2111" r:id="rId2103"/>
    <hyperlink ref="B2112" r:id="rId2104"/>
    <hyperlink ref="B2113" r:id="rId2105"/>
    <hyperlink ref="B2114" r:id="rId2106"/>
    <hyperlink ref="B2115" r:id="rId2107"/>
    <hyperlink ref="B2116" r:id="rId2108"/>
    <hyperlink ref="B2117" r:id="rId2109"/>
    <hyperlink ref="B2118" r:id="rId2110"/>
    <hyperlink ref="B2119" r:id="rId2111"/>
    <hyperlink ref="B2120" r:id="rId2112"/>
    <hyperlink ref="B2121" r:id="rId2113"/>
    <hyperlink ref="B2122" r:id="rId2114"/>
    <hyperlink ref="B2123" r:id="rId2115"/>
    <hyperlink ref="B2124" r:id="rId2116"/>
    <hyperlink ref="B2125" r:id="rId2117"/>
    <hyperlink ref="B2126" r:id="rId2118"/>
    <hyperlink ref="B2127" r:id="rId2119"/>
    <hyperlink ref="B2128" r:id="rId2120"/>
    <hyperlink ref="B2129" r:id="rId2121"/>
    <hyperlink ref="B2130" r:id="rId2122"/>
    <hyperlink ref="B2131" r:id="rId2123"/>
    <hyperlink ref="B2132" r:id="rId2124"/>
    <hyperlink ref="B2133" r:id="rId2125"/>
    <hyperlink ref="B2134" r:id="rId2126"/>
    <hyperlink ref="B2135" r:id="rId2127"/>
    <hyperlink ref="B2136" r:id="rId2128"/>
    <hyperlink ref="B2137" r:id="rId2129"/>
    <hyperlink ref="B2138" r:id="rId2130"/>
    <hyperlink ref="B2139" r:id="rId2131"/>
    <hyperlink ref="B2140" r:id="rId2132"/>
    <hyperlink ref="B2141" r:id="rId2133"/>
    <hyperlink ref="B2142" r:id="rId2134"/>
    <hyperlink ref="B2143" r:id="rId2135"/>
    <hyperlink ref="B2144" r:id="rId2136"/>
    <hyperlink ref="B2145" r:id="rId2137"/>
    <hyperlink ref="B2146" r:id="rId2138"/>
    <hyperlink ref="B2147" r:id="rId2139"/>
    <hyperlink ref="B2148" r:id="rId2140"/>
    <hyperlink ref="B2149" r:id="rId2141"/>
    <hyperlink ref="B2150" r:id="rId2142"/>
    <hyperlink ref="B2151" r:id="rId2143"/>
    <hyperlink ref="B2152" r:id="rId2144"/>
    <hyperlink ref="B2153" r:id="rId2145"/>
    <hyperlink ref="B2154" r:id="rId2146"/>
    <hyperlink ref="B2155" r:id="rId2147"/>
    <hyperlink ref="B2156" r:id="rId2148"/>
    <hyperlink ref="B2157" r:id="rId2149"/>
    <hyperlink ref="B2158" r:id="rId2150"/>
    <hyperlink ref="B2159" r:id="rId2151"/>
    <hyperlink ref="B2160" r:id="rId2152"/>
    <hyperlink ref="B2161" r:id="rId2153"/>
    <hyperlink ref="B2162" r:id="rId2154"/>
    <hyperlink ref="B2163" r:id="rId2155"/>
    <hyperlink ref="B2164" r:id="rId2156"/>
    <hyperlink ref="B2165" r:id="rId2157"/>
    <hyperlink ref="B2166" r:id="rId2158"/>
    <hyperlink ref="B2167" r:id="rId2159"/>
    <hyperlink ref="B2168" r:id="rId2160"/>
    <hyperlink ref="B2169" r:id="rId2161"/>
    <hyperlink ref="B2170" r:id="rId2162"/>
    <hyperlink ref="B2171" r:id="rId2163"/>
    <hyperlink ref="B2172" r:id="rId2164"/>
    <hyperlink ref="B2173" r:id="rId2165"/>
    <hyperlink ref="B2174" r:id="rId2166"/>
    <hyperlink ref="B2175" r:id="rId2167"/>
    <hyperlink ref="B2176" r:id="rId2168"/>
    <hyperlink ref="B2177" r:id="rId2169"/>
    <hyperlink ref="B2178" r:id="rId2170"/>
    <hyperlink ref="B2179" r:id="rId2171"/>
    <hyperlink ref="B2180" r:id="rId2172"/>
    <hyperlink ref="B2181" r:id="rId2173"/>
    <hyperlink ref="B2182" r:id="rId2174"/>
    <hyperlink ref="B2183" r:id="rId2175"/>
    <hyperlink ref="B2184" r:id="rId2176"/>
    <hyperlink ref="B2185" r:id="rId2177"/>
    <hyperlink ref="B2186" r:id="rId2178"/>
    <hyperlink ref="B2187" r:id="rId2179"/>
    <hyperlink ref="B2188" r:id="rId2180"/>
  </hyperlinks>
  <pageMargins left="0.5118110236220472" right="0.5118110236220472" top="0.7874015748031497" bottom="0.7874015748031497" header="0.3149606299212598" footer="0.3149606299212598"/>
  <pageSetup paperSize="9" orientation="portrait" horizontalDpi="4294967295" verticalDpi="4294967295" scale="48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workbookViewId="0" zoomScale="100" zoomScaleNormal="100">
      <selection activeCell="A110" sqref="A110"/>
    </sheetView>
  </sheetViews>
  <sheetFormatPr defaultRowHeight="15" outlineLevelRow="0" outlineLevelCol="0" x14ac:dyDescent="0.25"/>
  <cols>
    <col min="1" max="1" width="16.140625" customWidth="1"/>
  </cols>
  <sheetData>
    <row r="1" spans="1:4" x14ac:dyDescent="0.25">
      <c r="A1" t="s">
        <v>2314</v>
      </c>
      <c r="B1" t="s">
        <v>2315</v>
      </c>
      <c r="C1" t="s">
        <v>2316</v>
      </c>
      <c r="D1" t="s">
        <v>2317</v>
      </c>
    </row>
    <row r="2" spans="1:4" x14ac:dyDescent="0.25">
      <c r="A2" s="89">
        <v>46237.12847222222</v>
      </c>
      <c r="B2" t="s">
        <v>5</v>
      </c>
      <c r="C2">
        <v>1036</v>
      </c>
      <c r="D2" t="s">
        <v>2318</v>
      </c>
    </row>
    <row r="3" spans="1:4" x14ac:dyDescent="0.25">
      <c r="A3" s="89">
        <v>46237.129166666666</v>
      </c>
      <c r="B3" t="s">
        <v>5</v>
      </c>
      <c r="C3">
        <v>1155</v>
      </c>
      <c r="D3" t="s">
        <v>2318</v>
      </c>
    </row>
    <row r="4" spans="1:4" x14ac:dyDescent="0.25">
      <c r="A4" s="89">
        <v>46237.129166666666</v>
      </c>
      <c r="B4" t="s">
        <v>5</v>
      </c>
      <c r="C4">
        <v>1515</v>
      </c>
      <c r="D4" t="s">
        <v>2318</v>
      </c>
    </row>
    <row r="5" spans="1:4" x14ac:dyDescent="0.25">
      <c r="A5" s="89">
        <v>46237.12986111111</v>
      </c>
      <c r="B5" t="s">
        <v>5</v>
      </c>
      <c r="C5">
        <v>2342</v>
      </c>
      <c r="D5" t="s">
        <v>2318</v>
      </c>
    </row>
    <row r="6" spans="1:4" x14ac:dyDescent="0.25">
      <c r="A6" s="89">
        <v>46237.12986111111</v>
      </c>
      <c r="B6" t="s">
        <v>5</v>
      </c>
      <c r="C6">
        <v>2353</v>
      </c>
      <c r="D6" t="s">
        <v>2318</v>
      </c>
    </row>
    <row r="7" spans="1:4" x14ac:dyDescent="0.25">
      <c r="A7" s="89">
        <v>46237.12986111111</v>
      </c>
      <c r="B7" t="s">
        <v>5</v>
      </c>
      <c r="C7">
        <v>2342</v>
      </c>
      <c r="D7" t="s">
        <v>2318</v>
      </c>
    </row>
    <row r="8" spans="1:4" x14ac:dyDescent="0.25">
      <c r="A8" s="89">
        <v>46237.13055555556</v>
      </c>
      <c r="B8" t="s">
        <v>5</v>
      </c>
      <c r="C8">
        <v>2360</v>
      </c>
      <c r="D8" t="s">
        <v>2318</v>
      </c>
    </row>
    <row r="9" spans="1:4" x14ac:dyDescent="0.25">
      <c r="A9" s="89">
        <v>46237.13055555556</v>
      </c>
      <c r="B9" t="s">
        <v>5</v>
      </c>
      <c r="C9">
        <v>2368</v>
      </c>
      <c r="D9" t="s">
        <v>2318</v>
      </c>
    </row>
    <row r="10" spans="1:4" x14ac:dyDescent="0.25">
      <c r="A10" s="89">
        <v>46237.13125</v>
      </c>
      <c r="B10" t="s">
        <v>5</v>
      </c>
      <c r="C10">
        <v>2381</v>
      </c>
      <c r="D10" t="s">
        <v>2318</v>
      </c>
    </row>
    <row r="11" spans="1:4" x14ac:dyDescent="0.25">
      <c r="A11" s="89">
        <v>46237.13125</v>
      </c>
      <c r="B11" t="s">
        <v>5</v>
      </c>
      <c r="C11">
        <v>2403</v>
      </c>
      <c r="D11" t="s">
        <v>2318</v>
      </c>
    </row>
    <row r="12" spans="1:4" x14ac:dyDescent="0.25">
      <c r="A12" s="89">
        <v>46237.131944444445</v>
      </c>
      <c r="B12" t="s">
        <v>5</v>
      </c>
      <c r="C12">
        <v>2407</v>
      </c>
      <c r="D12" t="s">
        <v>2318</v>
      </c>
    </row>
    <row r="13" spans="1:4" x14ac:dyDescent="0.25">
      <c r="A13" s="89">
        <v>46237.131944444445</v>
      </c>
      <c r="B13" t="s">
        <v>5</v>
      </c>
      <c r="C13">
        <v>2430</v>
      </c>
      <c r="D13" t="s">
        <v>2318</v>
      </c>
    </row>
    <row r="14" spans="1:4" x14ac:dyDescent="0.25">
      <c r="A14" s="89">
        <v>46237.131944444445</v>
      </c>
      <c r="B14" t="s">
        <v>5</v>
      </c>
      <c r="C14">
        <v>2442</v>
      </c>
      <c r="D14" t="s">
        <v>2318</v>
      </c>
    </row>
    <row r="15" spans="1:4" x14ac:dyDescent="0.25">
      <c r="A15" s="89">
        <v>46237.132638888885</v>
      </c>
      <c r="B15" t="s">
        <v>5</v>
      </c>
      <c r="C15">
        <v>2471</v>
      </c>
      <c r="D15" t="s">
        <v>2318</v>
      </c>
    </row>
    <row r="16" spans="1:4" x14ac:dyDescent="0.25">
      <c r="A16" s="89">
        <v>46237.132638888885</v>
      </c>
      <c r="B16" t="s">
        <v>5</v>
      </c>
      <c r="C16">
        <v>2478</v>
      </c>
      <c r="D16" t="s">
        <v>2318</v>
      </c>
    </row>
    <row r="17" spans="1:4" x14ac:dyDescent="0.25">
      <c r="A17" s="89">
        <v>46237.56319444445</v>
      </c>
      <c r="B17" t="s">
        <v>5</v>
      </c>
      <c r="C17">
        <v>405</v>
      </c>
      <c r="D17" t="s">
        <v>2318</v>
      </c>
    </row>
    <row r="18" spans="1:4" x14ac:dyDescent="0.25">
      <c r="A18" s="89">
        <v>46237.941666666666</v>
      </c>
      <c r="B18" t="s">
        <v>13</v>
      </c>
      <c r="C18">
        <v>420</v>
      </c>
      <c r="D18" t="s">
        <v>2318</v>
      </c>
    </row>
    <row r="19" spans="1:4" x14ac:dyDescent="0.25">
      <c r="A19" s="89">
        <v>46237.961111111115</v>
      </c>
      <c r="B19" t="s">
        <v>10</v>
      </c>
      <c r="C19">
        <v>2510</v>
      </c>
      <c r="D19" t="s">
        <v>2319</v>
      </c>
    </row>
    <row r="20" spans="1:4" x14ac:dyDescent="0.25">
      <c r="A20" s="89">
        <v>46237.961805555555</v>
      </c>
      <c r="B20" t="s">
        <v>8</v>
      </c>
      <c r="C20">
        <v>2511</v>
      </c>
      <c r="D20" t="s">
        <v>2319</v>
      </c>
    </row>
    <row r="21" spans="1:4" x14ac:dyDescent="0.25">
      <c r="A21" s="89">
        <v>46238.472916666666</v>
      </c>
      <c r="B21" t="s">
        <v>9</v>
      </c>
      <c r="C21">
        <v>2186</v>
      </c>
      <c r="D21" t="s">
        <v>2318</v>
      </c>
    </row>
    <row r="22" spans="1:4" x14ac:dyDescent="0.25">
      <c r="A22" s="89">
        <v>46238.856944444444</v>
      </c>
      <c r="B22" t="s">
        <v>7</v>
      </c>
      <c r="C22">
        <v>203</v>
      </c>
      <c r="D22" t="s">
        <v>2318</v>
      </c>
    </row>
    <row r="23" spans="1:4" x14ac:dyDescent="0.25">
      <c r="A23" s="89">
        <v>46238.913194444445</v>
      </c>
      <c r="B23" t="s">
        <v>10</v>
      </c>
      <c r="C23">
        <v>203</v>
      </c>
      <c r="D23" t="s">
        <v>2318</v>
      </c>
    </row>
    <row r="24" spans="1:4" x14ac:dyDescent="0.25">
      <c r="A24" s="89">
        <v>46238.95972222222</v>
      </c>
      <c r="B24" t="s">
        <v>2320</v>
      </c>
      <c r="C24">
        <v>203</v>
      </c>
      <c r="D24" t="s">
        <v>2318</v>
      </c>
    </row>
    <row r="25" spans="1:4" x14ac:dyDescent="0.25">
      <c r="A25" s="89">
        <v>46238.83888888889</v>
      </c>
      <c r="B25" t="s">
        <v>2321</v>
      </c>
      <c r="C25">
        <v>203</v>
      </c>
      <c r="D25" t="s">
        <v>2318</v>
      </c>
    </row>
    <row r="26" spans="1:4" x14ac:dyDescent="0.25">
      <c r="A26" s="89">
        <v>46239.01944444445</v>
      </c>
      <c r="B26" t="s">
        <v>16</v>
      </c>
      <c r="C26">
        <v>203</v>
      </c>
      <c r="D26" t="s">
        <v>2318</v>
      </c>
    </row>
    <row r="27" spans="1:4" x14ac:dyDescent="0.25">
      <c r="A27" t="s">
        <v>2322</v>
      </c>
      <c r="B27" t="s">
        <v>10</v>
      </c>
      <c r="C27">
        <v>2510</v>
      </c>
      <c r="D27" t="s">
        <v>2318</v>
      </c>
    </row>
    <row r="28" spans="1:4" x14ac:dyDescent="0.25">
      <c r="A28" t="s">
        <v>2323</v>
      </c>
      <c r="B28" t="s">
        <v>10</v>
      </c>
      <c r="C28">
        <v>664</v>
      </c>
      <c r="D28" t="s">
        <v>2318</v>
      </c>
    </row>
    <row r="29" spans="1:4" x14ac:dyDescent="0.25">
      <c r="A29" t="s">
        <v>2324</v>
      </c>
      <c r="B29" t="s">
        <v>10</v>
      </c>
      <c r="C29">
        <v>552</v>
      </c>
      <c r="D29" t="s">
        <v>2318</v>
      </c>
    </row>
    <row r="30" spans="1:4" x14ac:dyDescent="0.25">
      <c r="A30" t="s">
        <v>2325</v>
      </c>
      <c r="B30" t="s">
        <v>10</v>
      </c>
      <c r="C30">
        <v>2057</v>
      </c>
      <c r="D30" t="s">
        <v>2318</v>
      </c>
    </row>
    <row r="31" spans="1:4" x14ac:dyDescent="0.25">
      <c r="A31" t="s">
        <v>2326</v>
      </c>
      <c r="B31" t="s">
        <v>10</v>
      </c>
      <c r="C31">
        <v>2131</v>
      </c>
      <c r="D31" t="s">
        <v>2318</v>
      </c>
    </row>
    <row r="32" spans="1:4" x14ac:dyDescent="0.25">
      <c r="A32" t="s">
        <v>2327</v>
      </c>
      <c r="B32" t="s">
        <v>10</v>
      </c>
      <c r="C32">
        <v>707</v>
      </c>
      <c r="D32" t="s">
        <v>2318</v>
      </c>
    </row>
    <row r="33" spans="1:4" x14ac:dyDescent="0.25">
      <c r="A33" t="s">
        <v>2328</v>
      </c>
      <c r="B33" t="s">
        <v>10</v>
      </c>
      <c r="C33">
        <v>2150</v>
      </c>
      <c r="D33" t="s">
        <v>2318</v>
      </c>
    </row>
    <row r="34" spans="1:4" x14ac:dyDescent="0.25">
      <c r="A34" t="s">
        <v>2329</v>
      </c>
      <c r="B34" t="s">
        <v>7</v>
      </c>
      <c r="C34">
        <v>2149</v>
      </c>
      <c r="D34" t="s">
        <v>2318</v>
      </c>
    </row>
    <row r="35" spans="1:4" x14ac:dyDescent="0.25">
      <c r="A35" t="s">
        <v>2330</v>
      </c>
      <c r="B35" t="s">
        <v>6</v>
      </c>
      <c r="C35">
        <v>203</v>
      </c>
      <c r="D35" t="s">
        <v>2318</v>
      </c>
    </row>
    <row r="36" spans="1:4" x14ac:dyDescent="0.25">
      <c r="A36" t="s">
        <v>2327</v>
      </c>
      <c r="B36" t="s">
        <v>5</v>
      </c>
      <c r="C36">
        <v>2487</v>
      </c>
      <c r="D36" t="s">
        <v>2318</v>
      </c>
    </row>
    <row r="37" spans="1:4" x14ac:dyDescent="0.25">
      <c r="A37" t="s">
        <v>2331</v>
      </c>
      <c r="B37" t="s">
        <v>5</v>
      </c>
      <c r="C37">
        <v>2454</v>
      </c>
      <c r="D37" t="s">
        <v>2318</v>
      </c>
    </row>
    <row r="38" spans="1:4" x14ac:dyDescent="0.25">
      <c r="A38" t="s">
        <v>2332</v>
      </c>
      <c r="B38" t="s">
        <v>5</v>
      </c>
      <c r="C38">
        <v>2401</v>
      </c>
      <c r="D38" t="s">
        <v>2318</v>
      </c>
    </row>
    <row r="39" spans="1:4" x14ac:dyDescent="0.25">
      <c r="A39" t="s">
        <v>2333</v>
      </c>
      <c r="B39" t="s">
        <v>5</v>
      </c>
      <c r="C39">
        <v>2423</v>
      </c>
      <c r="D39" t="s">
        <v>2318</v>
      </c>
    </row>
    <row r="40" spans="1:4" x14ac:dyDescent="0.25">
      <c r="A40" t="s">
        <v>2334</v>
      </c>
      <c r="B40" t="s">
        <v>5</v>
      </c>
      <c r="C40">
        <v>2465</v>
      </c>
      <c r="D40" t="s">
        <v>2318</v>
      </c>
    </row>
    <row r="41" spans="1:4" x14ac:dyDescent="0.25">
      <c r="A41" t="s">
        <v>2335</v>
      </c>
      <c r="B41" t="s">
        <v>5</v>
      </c>
      <c r="C41">
        <v>1993</v>
      </c>
      <c r="D41" t="s">
        <v>2318</v>
      </c>
    </row>
    <row r="42" spans="1:4" x14ac:dyDescent="0.25">
      <c r="A42" t="s">
        <v>2336</v>
      </c>
      <c r="B42" t="s">
        <v>5</v>
      </c>
      <c r="C42">
        <v>2386</v>
      </c>
      <c r="D42" t="s">
        <v>2318</v>
      </c>
    </row>
    <row r="43" spans="1:4" x14ac:dyDescent="0.25">
      <c r="A43" t="s">
        <v>2337</v>
      </c>
      <c r="B43" t="s">
        <v>5</v>
      </c>
      <c r="C43">
        <v>2397</v>
      </c>
      <c r="D43" t="s">
        <v>2318</v>
      </c>
    </row>
    <row r="44" spans="1:4" x14ac:dyDescent="0.25">
      <c r="A44" t="s">
        <v>2338</v>
      </c>
      <c r="B44" t="s">
        <v>7</v>
      </c>
      <c r="C44">
        <v>2149</v>
      </c>
      <c r="D44" t="s">
        <v>2318</v>
      </c>
    </row>
    <row r="45" spans="1:4" x14ac:dyDescent="0.25">
      <c r="A45" t="s">
        <v>2339</v>
      </c>
      <c r="B45" t="s">
        <v>5</v>
      </c>
      <c r="C45">
        <v>2060</v>
      </c>
      <c r="D45" t="s">
        <v>2318</v>
      </c>
    </row>
    <row r="46" spans="1:4" x14ac:dyDescent="0.25">
      <c r="A46" t="s">
        <v>2340</v>
      </c>
      <c r="B46" t="s">
        <v>5</v>
      </c>
      <c r="C46">
        <v>2070</v>
      </c>
      <c r="D46" t="s">
        <v>2318</v>
      </c>
    </row>
    <row r="47" spans="1:4" x14ac:dyDescent="0.25">
      <c r="A47" t="s">
        <v>2340</v>
      </c>
      <c r="B47" t="s">
        <v>5</v>
      </c>
      <c r="C47">
        <v>2066</v>
      </c>
      <c r="D47" t="s">
        <v>2318</v>
      </c>
    </row>
    <row r="48" spans="1:4" x14ac:dyDescent="0.25">
      <c r="A48" t="s">
        <v>2341</v>
      </c>
      <c r="B48" t="s">
        <v>5</v>
      </c>
      <c r="C48">
        <v>2234</v>
      </c>
      <c r="D48" t="s">
        <v>2318</v>
      </c>
    </row>
    <row r="49" spans="1:4" x14ac:dyDescent="0.25">
      <c r="A49" t="s">
        <v>2342</v>
      </c>
      <c r="B49" t="s">
        <v>5</v>
      </c>
      <c r="C49">
        <v>2345</v>
      </c>
      <c r="D49" t="s">
        <v>2318</v>
      </c>
    </row>
    <row r="50" spans="1:4" x14ac:dyDescent="0.25">
      <c r="A50" t="s">
        <v>2343</v>
      </c>
      <c r="B50" t="s">
        <v>5</v>
      </c>
      <c r="C50">
        <v>2125</v>
      </c>
      <c r="D50" t="s">
        <v>2318</v>
      </c>
    </row>
    <row r="51" spans="1:4" x14ac:dyDescent="0.25">
      <c r="A51" t="s">
        <v>2344</v>
      </c>
      <c r="B51" t="s">
        <v>5</v>
      </c>
      <c r="C51">
        <v>2084</v>
      </c>
      <c r="D51" t="s">
        <v>2318</v>
      </c>
    </row>
    <row r="52" spans="1:4" x14ac:dyDescent="0.25">
      <c r="A52" t="s">
        <v>2345</v>
      </c>
      <c r="B52" t="s">
        <v>5</v>
      </c>
      <c r="C52">
        <v>2293</v>
      </c>
      <c r="D52" t="s">
        <v>2318</v>
      </c>
    </row>
    <row r="53" spans="1:4" x14ac:dyDescent="0.25">
      <c r="A53" t="s">
        <v>2345</v>
      </c>
      <c r="B53" t="s">
        <v>5</v>
      </c>
      <c r="C53">
        <v>2277</v>
      </c>
      <c r="D53" t="s">
        <v>2318</v>
      </c>
    </row>
    <row r="54" spans="1:4" x14ac:dyDescent="0.25">
      <c r="A54" t="s">
        <v>2346</v>
      </c>
      <c r="B54" t="s">
        <v>5</v>
      </c>
      <c r="C54">
        <v>2278</v>
      </c>
      <c r="D54" t="s">
        <v>2318</v>
      </c>
    </row>
    <row r="55" spans="1:4" x14ac:dyDescent="0.25">
      <c r="A55" t="s">
        <v>2346</v>
      </c>
      <c r="B55" t="s">
        <v>5</v>
      </c>
      <c r="C55">
        <v>2304</v>
      </c>
      <c r="D55" t="s">
        <v>2318</v>
      </c>
    </row>
    <row r="56" spans="1:4" x14ac:dyDescent="0.25">
      <c r="A56" t="s">
        <v>2347</v>
      </c>
      <c r="B56" t="s">
        <v>5</v>
      </c>
      <c r="C56">
        <v>2294</v>
      </c>
      <c r="D56" t="s">
        <v>2318</v>
      </c>
    </row>
    <row r="57" spans="1:4" x14ac:dyDescent="0.25">
      <c r="A57" t="s">
        <v>2348</v>
      </c>
      <c r="B57" t="s">
        <v>5</v>
      </c>
      <c r="C57">
        <v>2321</v>
      </c>
      <c r="D57" t="s">
        <v>2318</v>
      </c>
    </row>
    <row r="58" spans="1:4" x14ac:dyDescent="0.25">
      <c r="A58" t="s">
        <v>2349</v>
      </c>
      <c r="B58" t="s">
        <v>5</v>
      </c>
      <c r="C58">
        <v>2191</v>
      </c>
      <c r="D58" t="s">
        <v>2318</v>
      </c>
    </row>
    <row r="59" spans="1:4" x14ac:dyDescent="0.25">
      <c r="A59" t="s">
        <v>2350</v>
      </c>
      <c r="B59" t="s">
        <v>5</v>
      </c>
      <c r="C59">
        <v>2075</v>
      </c>
      <c r="D59" t="s">
        <v>2318</v>
      </c>
    </row>
    <row r="60" spans="1:4" x14ac:dyDescent="0.25">
      <c r="A60" t="s">
        <v>2351</v>
      </c>
      <c r="B60" t="s">
        <v>5</v>
      </c>
      <c r="C60">
        <v>2071</v>
      </c>
      <c r="D60" t="s">
        <v>2318</v>
      </c>
    </row>
    <row r="61" spans="1:4" x14ac:dyDescent="0.25">
      <c r="A61" t="s">
        <v>2352</v>
      </c>
      <c r="B61" t="s">
        <v>5</v>
      </c>
      <c r="C61">
        <v>2088</v>
      </c>
      <c r="D61" t="s">
        <v>2318</v>
      </c>
    </row>
    <row r="62" spans="1:4" x14ac:dyDescent="0.25">
      <c r="A62" t="s">
        <v>2353</v>
      </c>
      <c r="B62" t="s">
        <v>5</v>
      </c>
      <c r="C62">
        <v>2081</v>
      </c>
      <c r="D62" t="s">
        <v>2318</v>
      </c>
    </row>
    <row r="63" spans="1:4" x14ac:dyDescent="0.25">
      <c r="A63" t="s">
        <v>2353</v>
      </c>
      <c r="B63" t="s">
        <v>5</v>
      </c>
      <c r="C63">
        <v>2077</v>
      </c>
      <c r="D63" t="s">
        <v>2318</v>
      </c>
    </row>
    <row r="64" spans="1:4" x14ac:dyDescent="0.25">
      <c r="A64" t="s">
        <v>2354</v>
      </c>
      <c r="B64" t="s">
        <v>5</v>
      </c>
      <c r="C64">
        <v>2106</v>
      </c>
      <c r="D64" t="s">
        <v>2318</v>
      </c>
    </row>
    <row r="65" spans="1:4" x14ac:dyDescent="0.25">
      <c r="A65" t="s">
        <v>2354</v>
      </c>
      <c r="B65" t="s">
        <v>5</v>
      </c>
      <c r="C65">
        <v>2099</v>
      </c>
      <c r="D65" t="s">
        <v>2318</v>
      </c>
    </row>
    <row r="66" spans="1:4" x14ac:dyDescent="0.25">
      <c r="A66" t="s">
        <v>2355</v>
      </c>
      <c r="B66" t="s">
        <v>5</v>
      </c>
      <c r="C66">
        <v>2089</v>
      </c>
      <c r="D66" t="s">
        <v>2318</v>
      </c>
    </row>
    <row r="67" spans="1:4" x14ac:dyDescent="0.25">
      <c r="A67" t="s">
        <v>2356</v>
      </c>
      <c r="B67" t="s">
        <v>5</v>
      </c>
      <c r="C67">
        <v>2103</v>
      </c>
      <c r="D67" t="s">
        <v>2318</v>
      </c>
    </row>
    <row r="68" spans="1:4" x14ac:dyDescent="0.25">
      <c r="A68" t="s">
        <v>2357</v>
      </c>
      <c r="B68" t="s">
        <v>5</v>
      </c>
      <c r="C68">
        <v>932</v>
      </c>
      <c r="D68" t="s">
        <v>2318</v>
      </c>
    </row>
    <row r="69" spans="1:4" x14ac:dyDescent="0.25">
      <c r="A69" t="s">
        <v>2358</v>
      </c>
      <c r="B69" t="s">
        <v>5</v>
      </c>
      <c r="C69">
        <v>2339</v>
      </c>
      <c r="D69" t="s">
        <v>2318</v>
      </c>
    </row>
    <row r="70" spans="1:4" x14ac:dyDescent="0.25">
      <c r="A70" t="s">
        <v>2358</v>
      </c>
      <c r="B70" t="s">
        <v>5</v>
      </c>
      <c r="C70">
        <v>2100</v>
      </c>
      <c r="D70" t="s">
        <v>2318</v>
      </c>
    </row>
    <row r="71" spans="1:4" x14ac:dyDescent="0.25">
      <c r="A71" t="s">
        <v>2358</v>
      </c>
      <c r="B71" t="s">
        <v>5</v>
      </c>
      <c r="C71">
        <v>2082</v>
      </c>
      <c r="D71" t="s">
        <v>2318</v>
      </c>
    </row>
    <row r="72" spans="1:4" x14ac:dyDescent="0.25">
      <c r="A72" t="s">
        <v>2359</v>
      </c>
      <c r="B72" t="s">
        <v>5</v>
      </c>
      <c r="C72">
        <v>951</v>
      </c>
      <c r="D72" t="s">
        <v>2318</v>
      </c>
    </row>
    <row r="73" spans="1:4" x14ac:dyDescent="0.25">
      <c r="A73" t="s">
        <v>2359</v>
      </c>
      <c r="B73" t="s">
        <v>5</v>
      </c>
      <c r="C73">
        <v>2078</v>
      </c>
      <c r="D73" t="s">
        <v>2318</v>
      </c>
    </row>
    <row r="74" spans="1:4" x14ac:dyDescent="0.25">
      <c r="A74" t="s">
        <v>2360</v>
      </c>
      <c r="B74" t="s">
        <v>5</v>
      </c>
      <c r="C74">
        <v>2073</v>
      </c>
      <c r="D74" t="s">
        <v>2318</v>
      </c>
    </row>
    <row r="75" spans="1:4" x14ac:dyDescent="0.25">
      <c r="A75" t="s">
        <v>2360</v>
      </c>
      <c r="B75" t="s">
        <v>5</v>
      </c>
      <c r="C75">
        <v>2107</v>
      </c>
      <c r="D75" t="s">
        <v>2318</v>
      </c>
    </row>
    <row r="76" spans="1:4" x14ac:dyDescent="0.25">
      <c r="A76" t="s">
        <v>2361</v>
      </c>
      <c r="B76" t="s">
        <v>5</v>
      </c>
      <c r="C76">
        <v>2065</v>
      </c>
      <c r="D76" t="s">
        <v>2318</v>
      </c>
    </row>
    <row r="77" spans="1:4" x14ac:dyDescent="0.25">
      <c r="A77" t="s">
        <v>2361</v>
      </c>
      <c r="B77" t="s">
        <v>5</v>
      </c>
      <c r="C77">
        <v>2079</v>
      </c>
      <c r="D77" t="s">
        <v>2318</v>
      </c>
    </row>
    <row r="78" spans="1:4" x14ac:dyDescent="0.25">
      <c r="A78" t="s">
        <v>2361</v>
      </c>
      <c r="B78" t="s">
        <v>5</v>
      </c>
      <c r="C78">
        <v>2104</v>
      </c>
      <c r="D78" t="s">
        <v>2318</v>
      </c>
    </row>
    <row r="79" spans="1:4" x14ac:dyDescent="0.25">
      <c r="A79" t="s">
        <v>2362</v>
      </c>
      <c r="B79" t="s">
        <v>5</v>
      </c>
      <c r="C79">
        <v>2074</v>
      </c>
      <c r="D79" t="s">
        <v>2318</v>
      </c>
    </row>
    <row r="80" spans="1:4" x14ac:dyDescent="0.25">
      <c r="A80" t="s">
        <v>2362</v>
      </c>
      <c r="B80" t="s">
        <v>5</v>
      </c>
      <c r="C80">
        <v>2080</v>
      </c>
      <c r="D80" t="s">
        <v>2318</v>
      </c>
    </row>
    <row r="81" spans="1:4" x14ac:dyDescent="0.25">
      <c r="A81" t="s">
        <v>2362</v>
      </c>
      <c r="B81" t="s">
        <v>5</v>
      </c>
      <c r="C81">
        <v>2067</v>
      </c>
      <c r="D81" t="s">
        <v>2318</v>
      </c>
    </row>
    <row r="82" spans="1:4" x14ac:dyDescent="0.25">
      <c r="A82" t="s">
        <v>2363</v>
      </c>
      <c r="B82" t="s">
        <v>5</v>
      </c>
      <c r="C82">
        <v>2091</v>
      </c>
      <c r="D82" t="s">
        <v>2318</v>
      </c>
    </row>
    <row r="83" spans="1:4" x14ac:dyDescent="0.25">
      <c r="A83" t="s">
        <v>2363</v>
      </c>
      <c r="B83" t="s">
        <v>5</v>
      </c>
      <c r="C83">
        <v>2336</v>
      </c>
      <c r="D83" t="s">
        <v>2318</v>
      </c>
    </row>
    <row r="84" spans="1:4" x14ac:dyDescent="0.25">
      <c r="A84" t="s">
        <v>2363</v>
      </c>
      <c r="B84" t="s">
        <v>5</v>
      </c>
      <c r="C84">
        <v>2109</v>
      </c>
      <c r="D84" t="s">
        <v>2318</v>
      </c>
    </row>
    <row r="85" spans="1:4" x14ac:dyDescent="0.25">
      <c r="A85" t="s">
        <v>2364</v>
      </c>
      <c r="B85" t="s">
        <v>5</v>
      </c>
      <c r="C85">
        <v>2069</v>
      </c>
      <c r="D85" t="s">
        <v>2318</v>
      </c>
    </row>
    <row r="86" spans="1:4" x14ac:dyDescent="0.25">
      <c r="A86" t="s">
        <v>2364</v>
      </c>
      <c r="B86" t="s">
        <v>5</v>
      </c>
      <c r="C86">
        <v>2086</v>
      </c>
      <c r="D86" t="s">
        <v>2318</v>
      </c>
    </row>
    <row r="87" spans="1:4" x14ac:dyDescent="0.25">
      <c r="A87" t="s">
        <v>2364</v>
      </c>
      <c r="B87" t="s">
        <v>5</v>
      </c>
      <c r="C87">
        <v>2062</v>
      </c>
      <c r="D87" t="s">
        <v>2318</v>
      </c>
    </row>
    <row r="88" spans="1:4" x14ac:dyDescent="0.25">
      <c r="A88" t="s">
        <v>2365</v>
      </c>
      <c r="B88" t="s">
        <v>10</v>
      </c>
      <c r="C88">
        <v>318</v>
      </c>
      <c r="D88" t="s">
        <v>2318</v>
      </c>
    </row>
    <row r="89" spans="1:4" x14ac:dyDescent="0.25">
      <c r="A89" t="s">
        <v>2366</v>
      </c>
      <c r="B89" t="s">
        <v>10</v>
      </c>
      <c r="C89">
        <v>2308</v>
      </c>
      <c r="D89" t="s">
        <v>2318</v>
      </c>
    </row>
    <row r="90" spans="1:4" x14ac:dyDescent="0.25">
      <c r="A90" t="s">
        <v>2367</v>
      </c>
      <c r="B90" t="s">
        <v>10</v>
      </c>
      <c r="C90">
        <v>2147</v>
      </c>
      <c r="D90" t="s">
        <v>2318</v>
      </c>
    </row>
    <row r="91" spans="1:4" x14ac:dyDescent="0.25">
      <c r="A91" t="s">
        <v>2368</v>
      </c>
      <c r="B91" t="s">
        <v>10</v>
      </c>
      <c r="C91">
        <v>1402</v>
      </c>
      <c r="D91" t="s">
        <v>2318</v>
      </c>
    </row>
    <row r="92" spans="1:4" x14ac:dyDescent="0.25">
      <c r="A92" t="s">
        <v>2368</v>
      </c>
      <c r="B92" t="s">
        <v>10</v>
      </c>
      <c r="C92">
        <v>2209</v>
      </c>
      <c r="D92" t="s">
        <v>2318</v>
      </c>
    </row>
    <row r="93" spans="1:4" x14ac:dyDescent="0.25">
      <c r="A93" t="s">
        <v>2369</v>
      </c>
      <c r="B93" t="s">
        <v>10</v>
      </c>
      <c r="C93">
        <v>1013</v>
      </c>
      <c r="D93" t="s">
        <v>2318</v>
      </c>
    </row>
    <row r="94" spans="1:4" x14ac:dyDescent="0.25">
      <c r="A94" t="s">
        <v>2370</v>
      </c>
      <c r="B94" t="s">
        <v>10</v>
      </c>
      <c r="C94">
        <v>553</v>
      </c>
      <c r="D94" t="s">
        <v>2318</v>
      </c>
    </row>
    <row r="95" spans="1:4" x14ac:dyDescent="0.25">
      <c r="A95" t="s">
        <v>2371</v>
      </c>
      <c r="B95" t="s">
        <v>10</v>
      </c>
      <c r="C95">
        <v>2318</v>
      </c>
      <c r="D95" t="s">
        <v>2318</v>
      </c>
    </row>
    <row r="96" spans="1:4" x14ac:dyDescent="0.25">
      <c r="A96" t="s">
        <v>2372</v>
      </c>
      <c r="B96" t="s">
        <v>10</v>
      </c>
      <c r="C96">
        <v>2117</v>
      </c>
      <c r="D96" t="s">
        <v>2318</v>
      </c>
    </row>
    <row r="97" spans="1:4" x14ac:dyDescent="0.25">
      <c r="A97" t="s">
        <v>2373</v>
      </c>
      <c r="B97" t="s">
        <v>10</v>
      </c>
      <c r="C97">
        <v>1308</v>
      </c>
      <c r="D97" t="s">
        <v>2318</v>
      </c>
    </row>
    <row r="98" spans="1:4" x14ac:dyDescent="0.25">
      <c r="A98" t="s">
        <v>2374</v>
      </c>
      <c r="B98" t="s">
        <v>10</v>
      </c>
      <c r="C98">
        <v>1604</v>
      </c>
      <c r="D98" t="s">
        <v>2318</v>
      </c>
    </row>
    <row r="99" spans="1:4" x14ac:dyDescent="0.25">
      <c r="A99" t="s">
        <v>2375</v>
      </c>
      <c r="B99" t="s">
        <v>15</v>
      </c>
      <c r="C99">
        <v>2318</v>
      </c>
      <c r="D99" t="s">
        <v>2318</v>
      </c>
    </row>
    <row r="100" spans="1:4" x14ac:dyDescent="0.25">
      <c r="A100" t="s">
        <v>2376</v>
      </c>
      <c r="B100" t="s">
        <v>5</v>
      </c>
      <c r="C100">
        <v>443</v>
      </c>
      <c r="D100" t="s">
        <v>2318</v>
      </c>
    </row>
    <row r="101" spans="1:4" x14ac:dyDescent="0.25">
      <c r="A101" t="s">
        <v>2377</v>
      </c>
      <c r="B101" t="s">
        <v>15</v>
      </c>
      <c r="C101">
        <v>2456</v>
      </c>
      <c r="D101" t="s">
        <v>2318</v>
      </c>
    </row>
    <row r="102" spans="1:4" x14ac:dyDescent="0.25">
      <c r="A102" t="s">
        <v>2377</v>
      </c>
      <c r="B102" t="s">
        <v>9</v>
      </c>
      <c r="C102">
        <v>2456</v>
      </c>
      <c r="D102" t="s">
        <v>2318</v>
      </c>
    </row>
    <row r="103" spans="1:4" x14ac:dyDescent="0.25">
      <c r="A103" t="s">
        <v>2378</v>
      </c>
      <c r="B103" t="s">
        <v>5</v>
      </c>
      <c r="C103">
        <v>443</v>
      </c>
      <c r="D103" t="s">
        <v>2318</v>
      </c>
    </row>
    <row r="104" spans="1:4" x14ac:dyDescent="0.25">
      <c r="A104" t="s">
        <v>2379</v>
      </c>
      <c r="B104" t="s">
        <v>2320</v>
      </c>
      <c r="C104">
        <v>203</v>
      </c>
      <c r="D104" t="s">
        <v>2318</v>
      </c>
    </row>
    <row r="105" spans="1:4" x14ac:dyDescent="0.25">
      <c r="A105" t="s">
        <v>2380</v>
      </c>
      <c r="B105" t="s">
        <v>2320</v>
      </c>
      <c r="C105">
        <v>2474</v>
      </c>
      <c r="D105" t="s">
        <v>2318</v>
      </c>
    </row>
    <row r="106" spans="1:4" x14ac:dyDescent="0.25">
      <c r="A106" t="s">
        <v>2381</v>
      </c>
      <c r="B106" t="s">
        <v>6</v>
      </c>
      <c r="C106">
        <v>2512</v>
      </c>
      <c r="D106" t="s">
        <v>2319</v>
      </c>
    </row>
    <row r="107" spans="1:4" x14ac:dyDescent="0.25">
      <c r="A107" t="s">
        <v>2382</v>
      </c>
      <c r="B107" t="s">
        <v>13</v>
      </c>
      <c r="C107">
        <v>604</v>
      </c>
      <c r="D107" t="s">
        <v>2318</v>
      </c>
    </row>
    <row r="108" spans="1:4" x14ac:dyDescent="0.25">
      <c r="A108" t="s">
        <v>2383</v>
      </c>
      <c r="B108" t="s">
        <v>13</v>
      </c>
      <c r="C108">
        <v>922</v>
      </c>
      <c r="D108" t="s">
        <v>2318</v>
      </c>
    </row>
    <row r="109" spans="1:4" x14ac:dyDescent="0.25">
      <c r="A109" t="s">
        <v>2384</v>
      </c>
      <c r="B109" t="s">
        <v>10</v>
      </c>
      <c r="C109">
        <v>2513</v>
      </c>
      <c r="D109" t="s">
        <v>2319</v>
      </c>
    </row>
    <row r="110" spans="1:4" x14ac:dyDescent="0.25">
      <c r="A110" t="s">
        <v>2385</v>
      </c>
      <c r="B110" t="s">
        <v>9</v>
      </c>
      <c r="C110">
        <v>2508</v>
      </c>
      <c r="D110" t="s">
        <v>2318</v>
      </c>
    </row>
    <row r="111" spans="1:4" x14ac:dyDescent="0.25">
      <c r="A111" t="s">
        <v>2386</v>
      </c>
      <c r="B111" t="s">
        <v>6</v>
      </c>
      <c r="C111">
        <v>2514</v>
      </c>
      <c r="D111" t="s">
        <v>2319</v>
      </c>
    </row>
    <row r="112" spans="1:4" x14ac:dyDescent="0.25">
      <c r="A112" t="s">
        <v>2387</v>
      </c>
      <c r="B112" t="s">
        <v>10</v>
      </c>
      <c r="C112">
        <v>2508</v>
      </c>
      <c r="D112" t="s">
        <v>2318</v>
      </c>
    </row>
    <row r="113" spans="1:4" x14ac:dyDescent="0.25">
      <c r="A113" t="s">
        <v>2388</v>
      </c>
      <c r="B113" t="s">
        <v>10</v>
      </c>
      <c r="C113">
        <v>1423</v>
      </c>
      <c r="D113" t="s">
        <v>2318</v>
      </c>
    </row>
    <row r="114" spans="1:4" x14ac:dyDescent="0.25">
      <c r="A114" t="s">
        <v>2389</v>
      </c>
      <c r="B114" t="s">
        <v>13</v>
      </c>
      <c r="C114">
        <v>2208</v>
      </c>
      <c r="D114" t="s">
        <v>2318</v>
      </c>
    </row>
    <row r="115" spans="1:4" x14ac:dyDescent="0.25">
      <c r="A115" t="s">
        <v>2390</v>
      </c>
      <c r="B115" t="s">
        <v>6</v>
      </c>
      <c r="C115">
        <v>1687</v>
      </c>
      <c r="D115" t="s">
        <v>2318</v>
      </c>
    </row>
    <row r="116" spans="1:4" x14ac:dyDescent="0.25">
      <c r="A116" t="s">
        <v>2391</v>
      </c>
      <c r="B116" t="s">
        <v>10</v>
      </c>
      <c r="C116">
        <v>2149</v>
      </c>
      <c r="D116" t="s">
        <v>2318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Clube cinema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2026-07-22T20:36:53Z</cp:lastPrinted>
  <dcterms:created xsi:type="dcterms:W3CDTF">2020-05-07T21:56:31Z</dcterms:created>
  <dcterms:modified xsi:type="dcterms:W3CDTF">2026-08-10T14:41:09Z</dcterms:modified>
</cp:coreProperties>
</file>